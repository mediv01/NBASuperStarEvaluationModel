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s\SPt68\NBA历史积分数据库\开源部分\"/>
    </mc:Choice>
  </mc:AlternateContent>
  <xr:revisionPtr revIDLastSave="0" documentId="13_ncr:1_{2002520C-52C0-461D-A89A-795723B8F190}" xr6:coauthVersionLast="36" xr6:coauthVersionMax="36" xr10:uidLastSave="{00000000-0000-0000-0000-000000000000}"/>
  <workbookProtection workbookAlgorithmName="SHA-512" workbookHashValue="QirrF2S50rjGVDKs1aVa4CTjOL0tORxpcFuZ30LAR8LB9zxB/ciATq0o9IHp3hwynYIdmNzzzGP7xDNeVSvJEw==" workbookSaltValue="OFu4GsjOq00NhcXbKeqhEg==" workbookSpinCount="100000" lockStructure="1"/>
  <bookViews>
    <workbookView xWindow="0" yWindow="0" windowWidth="17950" windowHeight="5820" tabRatio="566" xr2:uid="{00000000-000D-0000-FFFF-FFFF00000000}"/>
  </bookViews>
  <sheets>
    <sheet name="注意事项" sheetId="46" r:id="rId1"/>
    <sheet name="总积分展示" sheetId="23" r:id="rId2"/>
    <sheet name="原始运算表格" sheetId="1" r:id="rId3"/>
    <sheet name="每年积分汇总1" sheetId="44" r:id="rId4"/>
    <sheet name="每年积分汇总2" sheetId="45" r:id="rId5"/>
    <sheet name="C01" sheetId="3" r:id="rId6"/>
    <sheet name="C02" sheetId="4" r:id="rId7"/>
    <sheet name="C03" sheetId="5" r:id="rId8"/>
    <sheet name="C04" sheetId="6" r:id="rId9"/>
    <sheet name="C05" sheetId="7" r:id="rId10"/>
    <sheet name="C06" sheetId="8" r:id="rId11"/>
    <sheet name="C07" sheetId="9" r:id="rId12"/>
    <sheet name="C08" sheetId="10" r:id="rId13"/>
    <sheet name="C09" sheetId="11" r:id="rId14"/>
    <sheet name="C10" sheetId="12" r:id="rId15"/>
    <sheet name="C11" sheetId="13" r:id="rId16"/>
    <sheet name="C12" sheetId="14" r:id="rId17"/>
    <sheet name="C13" sheetId="15" r:id="rId18"/>
    <sheet name="C14" sheetId="16" r:id="rId19"/>
    <sheet name="C15" sheetId="17" r:id="rId20"/>
    <sheet name="C16" sheetId="18" r:id="rId21"/>
    <sheet name="C17" sheetId="19" r:id="rId22"/>
    <sheet name="C18" sheetId="20" r:id="rId23"/>
    <sheet name="C19" sheetId="21" r:id="rId24"/>
    <sheet name="C20" sheetId="22" r:id="rId25"/>
    <sheet name="C21" sheetId="24" r:id="rId26"/>
    <sheet name="C22" sheetId="25" r:id="rId27"/>
    <sheet name="C23" sheetId="26" r:id="rId28"/>
    <sheet name="C24" sheetId="27" r:id="rId29"/>
    <sheet name="C25" sheetId="28" r:id="rId30"/>
    <sheet name="C26" sheetId="29" r:id="rId31"/>
    <sheet name="C27" sheetId="30" r:id="rId32"/>
    <sheet name="C28" sheetId="31" r:id="rId33"/>
    <sheet name="C29" sheetId="32" r:id="rId34"/>
    <sheet name="C30" sheetId="33" r:id="rId35"/>
    <sheet name="C31" sheetId="34" r:id="rId36"/>
    <sheet name="C32" sheetId="35" r:id="rId37"/>
    <sheet name="C33" sheetId="36" r:id="rId38"/>
    <sheet name="C34" sheetId="37" r:id="rId39"/>
    <sheet name="C35" sheetId="38" r:id="rId40"/>
    <sheet name="C36" sheetId="39" r:id="rId41"/>
    <sheet name="C37" sheetId="40" r:id="rId42"/>
    <sheet name="C38" sheetId="41" r:id="rId43"/>
    <sheet name="C39" sheetId="42" r:id="rId44"/>
    <sheet name="C40" sheetId="43" r:id="rId45"/>
    <sheet name="模板" sheetId="2" r:id="rId46"/>
  </sheets>
  <definedNames>
    <definedName name="_xlnm._FilterDatabase" localSheetId="1" hidden="1">总积分展示!$A$2:$Z$42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" i="45" l="1"/>
  <c r="AN1" i="45"/>
  <c r="AM1" i="45"/>
  <c r="AL1" i="45"/>
  <c r="AK1" i="45"/>
  <c r="AJ1" i="45"/>
  <c r="AI1" i="45"/>
  <c r="AH1" i="45"/>
  <c r="AG1" i="45"/>
  <c r="AF1" i="45"/>
  <c r="AE1" i="45"/>
  <c r="AD1" i="45"/>
  <c r="AC1" i="45"/>
  <c r="AB1" i="45"/>
  <c r="AA1" i="45"/>
  <c r="Z1" i="45"/>
  <c r="Y1" i="45"/>
  <c r="X1" i="45"/>
  <c r="W1" i="45"/>
  <c r="V1" i="45"/>
  <c r="U1" i="45"/>
  <c r="T1" i="45"/>
  <c r="S1" i="45"/>
  <c r="R1" i="45"/>
  <c r="Q1" i="45"/>
  <c r="P1" i="45"/>
  <c r="O1" i="45"/>
  <c r="N1" i="45"/>
  <c r="M1" i="45"/>
  <c r="L1" i="45"/>
  <c r="K1" i="45"/>
  <c r="J1" i="45"/>
  <c r="I1" i="45"/>
  <c r="H1" i="45"/>
  <c r="G1" i="45"/>
  <c r="F1" i="45"/>
  <c r="E1" i="45"/>
  <c r="D1" i="45"/>
  <c r="C1" i="45"/>
  <c r="B1" i="45"/>
  <c r="B1" i="44"/>
  <c r="C1" i="44"/>
  <c r="D1" i="44"/>
  <c r="E1" i="44"/>
  <c r="F1" i="44"/>
  <c r="G1" i="44"/>
  <c r="H1" i="44"/>
  <c r="I1" i="44"/>
  <c r="J1" i="44"/>
  <c r="K1" i="44"/>
  <c r="L1" i="44"/>
  <c r="M1" i="44"/>
  <c r="N1" i="44"/>
  <c r="O1" i="44"/>
  <c r="P1" i="44"/>
  <c r="Q1" i="44"/>
  <c r="R1" i="44"/>
  <c r="S1" i="44"/>
  <c r="T1" i="44"/>
  <c r="U1" i="44"/>
  <c r="V1" i="44"/>
  <c r="W1" i="44"/>
  <c r="X1" i="44"/>
  <c r="Y1" i="44"/>
  <c r="Z1" i="44"/>
  <c r="AA1" i="44"/>
  <c r="AB1" i="44"/>
  <c r="AC1" i="44"/>
  <c r="AD1" i="44"/>
  <c r="AE1" i="44"/>
  <c r="AF1" i="44"/>
  <c r="AG1" i="44"/>
  <c r="AH1" i="44"/>
  <c r="AI1" i="44"/>
  <c r="AJ1" i="44"/>
  <c r="AK1" i="44"/>
  <c r="AL1" i="44"/>
  <c r="AM1" i="44"/>
  <c r="AN1" i="44"/>
  <c r="AO1" i="44"/>
  <c r="B35" i="23"/>
  <c r="B37" i="23"/>
  <c r="B41" i="23"/>
  <c r="B40" i="23"/>
  <c r="B38" i="23"/>
  <c r="B42" i="23"/>
  <c r="B39" i="23"/>
  <c r="B21" i="23"/>
  <c r="B33" i="23"/>
  <c r="B36" i="23"/>
  <c r="B34" i="23"/>
  <c r="B20" i="23"/>
  <c r="B30" i="23"/>
  <c r="B31" i="23"/>
  <c r="B27" i="23"/>
  <c r="B17" i="23"/>
  <c r="B24" i="23"/>
  <c r="B32" i="23"/>
  <c r="B29" i="23"/>
  <c r="B18" i="23"/>
  <c r="B23" i="23"/>
  <c r="B22" i="23"/>
  <c r="B15" i="23"/>
  <c r="B26" i="23"/>
  <c r="B13" i="23"/>
  <c r="B28" i="23"/>
  <c r="B19" i="23"/>
  <c r="B16" i="23"/>
  <c r="B25" i="23"/>
  <c r="B14" i="23"/>
  <c r="B12" i="23"/>
  <c r="B11" i="23"/>
  <c r="B9" i="23"/>
  <c r="B7" i="23"/>
  <c r="B8" i="23"/>
  <c r="B10" i="23"/>
  <c r="B6" i="23"/>
  <c r="B4" i="23"/>
  <c r="B5" i="23"/>
  <c r="B3" i="23"/>
  <c r="B44" i="1"/>
  <c r="B34" i="1"/>
  <c r="B35" i="1"/>
  <c r="B36" i="1"/>
  <c r="B37" i="1"/>
  <c r="B38" i="1"/>
  <c r="B39" i="1"/>
  <c r="B40" i="1"/>
  <c r="B41" i="1"/>
  <c r="B42" i="1"/>
  <c r="B43" i="1"/>
  <c r="B24" i="1"/>
  <c r="B25" i="1"/>
  <c r="B26" i="1"/>
  <c r="B27" i="1"/>
  <c r="B28" i="1"/>
  <c r="B29" i="1"/>
  <c r="B30" i="1"/>
  <c r="B31" i="1"/>
  <c r="B32" i="1"/>
  <c r="B33" i="1"/>
  <c r="Z79" i="43"/>
  <c r="W79" i="43"/>
  <c r="V79" i="43"/>
  <c r="B79" i="43"/>
  <c r="Z78" i="43"/>
  <c r="W78" i="43"/>
  <c r="V78" i="43"/>
  <c r="B78" i="43"/>
  <c r="Z77" i="43"/>
  <c r="W77" i="43"/>
  <c r="V77" i="43"/>
  <c r="B77" i="43"/>
  <c r="Z76" i="43"/>
  <c r="W76" i="43"/>
  <c r="V76" i="43"/>
  <c r="B76" i="43"/>
  <c r="Z75" i="43"/>
  <c r="W75" i="43"/>
  <c r="V75" i="43"/>
  <c r="B75" i="43"/>
  <c r="Z74" i="43"/>
  <c r="W74" i="43"/>
  <c r="V74" i="43"/>
  <c r="B74" i="43"/>
  <c r="Z73" i="43"/>
  <c r="W73" i="43"/>
  <c r="V73" i="43"/>
  <c r="B73" i="43"/>
  <c r="Z72" i="43"/>
  <c r="W72" i="43"/>
  <c r="V72" i="43"/>
  <c r="B72" i="43"/>
  <c r="Z71" i="43"/>
  <c r="W71" i="43"/>
  <c r="V71" i="43"/>
  <c r="B71" i="43"/>
  <c r="Z70" i="43"/>
  <c r="W70" i="43"/>
  <c r="V70" i="43"/>
  <c r="B70" i="43"/>
  <c r="Z69" i="43"/>
  <c r="W69" i="43"/>
  <c r="V69" i="43"/>
  <c r="B69" i="43"/>
  <c r="Z68" i="43"/>
  <c r="W68" i="43"/>
  <c r="V68" i="43"/>
  <c r="B68" i="43"/>
  <c r="Z67" i="43"/>
  <c r="W67" i="43"/>
  <c r="V67" i="43"/>
  <c r="B67" i="43"/>
  <c r="Z66" i="43"/>
  <c r="W66" i="43"/>
  <c r="V66" i="43"/>
  <c r="B66" i="43"/>
  <c r="Z65" i="43"/>
  <c r="W65" i="43"/>
  <c r="V65" i="43"/>
  <c r="B65" i="43"/>
  <c r="Z64" i="43"/>
  <c r="W64" i="43"/>
  <c r="V64" i="43"/>
  <c r="B64" i="43"/>
  <c r="Z63" i="43"/>
  <c r="W63" i="43"/>
  <c r="V63" i="43"/>
  <c r="B63" i="43"/>
  <c r="Z62" i="43"/>
  <c r="W62" i="43"/>
  <c r="V62" i="43"/>
  <c r="B62" i="43"/>
  <c r="Z61" i="43"/>
  <c r="W61" i="43"/>
  <c r="V61" i="43"/>
  <c r="B61" i="43"/>
  <c r="Z60" i="43"/>
  <c r="W60" i="43"/>
  <c r="V60" i="43"/>
  <c r="B60" i="43"/>
  <c r="Z59" i="43"/>
  <c r="W59" i="43"/>
  <c r="V59" i="43"/>
  <c r="B59" i="43"/>
  <c r="Z58" i="43"/>
  <c r="W58" i="43"/>
  <c r="V58" i="43"/>
  <c r="B58" i="43"/>
  <c r="Z57" i="43"/>
  <c r="W57" i="43"/>
  <c r="V57" i="43"/>
  <c r="B57" i="43"/>
  <c r="Z56" i="43"/>
  <c r="W56" i="43"/>
  <c r="V56" i="43"/>
  <c r="B56" i="43"/>
  <c r="Z55" i="43"/>
  <c r="W55" i="43"/>
  <c r="V55" i="43"/>
  <c r="B55" i="43"/>
  <c r="Z54" i="43"/>
  <c r="W54" i="43"/>
  <c r="V54" i="43"/>
  <c r="B54" i="43"/>
  <c r="Z53" i="43"/>
  <c r="W53" i="43"/>
  <c r="V53" i="43"/>
  <c r="B53" i="43"/>
  <c r="Z52" i="43"/>
  <c r="W52" i="43"/>
  <c r="V52" i="43"/>
  <c r="B52" i="43"/>
  <c r="Z51" i="43"/>
  <c r="W51" i="43"/>
  <c r="V51" i="43"/>
  <c r="B51" i="43"/>
  <c r="Z50" i="43"/>
  <c r="W50" i="43"/>
  <c r="V50" i="43"/>
  <c r="B50" i="43"/>
  <c r="Z49" i="43"/>
  <c r="W49" i="43"/>
  <c r="V49" i="43"/>
  <c r="B49" i="43"/>
  <c r="Z48" i="43"/>
  <c r="W48" i="43"/>
  <c r="V48" i="43"/>
  <c r="B48" i="43"/>
  <c r="Z47" i="43"/>
  <c r="W47" i="43"/>
  <c r="V47" i="43"/>
  <c r="B47" i="43"/>
  <c r="Z46" i="43"/>
  <c r="W46" i="43"/>
  <c r="V46" i="43"/>
  <c r="B46" i="43"/>
  <c r="Z45" i="43"/>
  <c r="W45" i="43"/>
  <c r="V45" i="43"/>
  <c r="B45" i="43"/>
  <c r="Z44" i="43"/>
  <c r="W44" i="43"/>
  <c r="V44" i="43"/>
  <c r="B44" i="43"/>
  <c r="Z43" i="43"/>
  <c r="W43" i="43"/>
  <c r="V43" i="43"/>
  <c r="B43" i="43"/>
  <c r="Z42" i="43"/>
  <c r="W42" i="43"/>
  <c r="V42" i="43"/>
  <c r="B42" i="43"/>
  <c r="Z41" i="43"/>
  <c r="W41" i="43"/>
  <c r="V41" i="43"/>
  <c r="B41" i="43"/>
  <c r="Z40" i="43"/>
  <c r="W40" i="43"/>
  <c r="V40" i="43"/>
  <c r="B40" i="43"/>
  <c r="Z39" i="43"/>
  <c r="W39" i="43"/>
  <c r="V39" i="43"/>
  <c r="B39" i="43"/>
  <c r="Z38" i="43"/>
  <c r="W38" i="43"/>
  <c r="V38" i="43"/>
  <c r="B38" i="43"/>
  <c r="Z37" i="43"/>
  <c r="W37" i="43"/>
  <c r="V37" i="43"/>
  <c r="B37" i="43"/>
  <c r="Z36" i="43"/>
  <c r="W36" i="43"/>
  <c r="V36" i="43"/>
  <c r="B36" i="43"/>
  <c r="Z35" i="43"/>
  <c r="W35" i="43"/>
  <c r="V35" i="43"/>
  <c r="B35" i="43"/>
  <c r="Z34" i="43"/>
  <c r="W34" i="43"/>
  <c r="V34" i="43"/>
  <c r="B34" i="43"/>
  <c r="Z33" i="43"/>
  <c r="W33" i="43"/>
  <c r="V33" i="43"/>
  <c r="B33" i="43"/>
  <c r="Z32" i="43"/>
  <c r="W32" i="43"/>
  <c r="V32" i="43"/>
  <c r="B32" i="43"/>
  <c r="Z31" i="43"/>
  <c r="W31" i="43"/>
  <c r="V31" i="43"/>
  <c r="B31" i="43"/>
  <c r="Z30" i="43"/>
  <c r="W30" i="43"/>
  <c r="V30" i="43"/>
  <c r="B30" i="43"/>
  <c r="Z29" i="43"/>
  <c r="W29" i="43"/>
  <c r="V29" i="43"/>
  <c r="B29" i="43"/>
  <c r="Z28" i="43"/>
  <c r="W28" i="43"/>
  <c r="V28" i="43"/>
  <c r="B28" i="43"/>
  <c r="Z27" i="43"/>
  <c r="W27" i="43"/>
  <c r="V27" i="43"/>
  <c r="B27" i="43"/>
  <c r="Z26" i="43"/>
  <c r="W26" i="43"/>
  <c r="V26" i="43"/>
  <c r="B26" i="43"/>
  <c r="Z25" i="43"/>
  <c r="W25" i="43"/>
  <c r="V25" i="43"/>
  <c r="B25" i="43"/>
  <c r="Z24" i="43"/>
  <c r="W24" i="43"/>
  <c r="V24" i="43"/>
  <c r="B24" i="43"/>
  <c r="Z23" i="43"/>
  <c r="W23" i="43"/>
  <c r="V23" i="43"/>
  <c r="B23" i="43"/>
  <c r="Z22" i="43"/>
  <c r="W22" i="43"/>
  <c r="V22" i="43"/>
  <c r="B22" i="43"/>
  <c r="Z21" i="43"/>
  <c r="W21" i="43"/>
  <c r="V21" i="43"/>
  <c r="B21" i="43"/>
  <c r="Z20" i="43"/>
  <c r="W20" i="43"/>
  <c r="V20" i="43"/>
  <c r="B20" i="43"/>
  <c r="Z19" i="43"/>
  <c r="W19" i="43"/>
  <c r="V19" i="43"/>
  <c r="B19" i="43"/>
  <c r="Z18" i="43"/>
  <c r="W18" i="43"/>
  <c r="V18" i="43"/>
  <c r="B18" i="43"/>
  <c r="Z17" i="43"/>
  <c r="W17" i="43"/>
  <c r="V17" i="43"/>
  <c r="B17" i="43"/>
  <c r="Z16" i="43"/>
  <c r="W16" i="43"/>
  <c r="V16" i="43"/>
  <c r="B16" i="43"/>
  <c r="Z15" i="43"/>
  <c r="W15" i="43"/>
  <c r="V15" i="43"/>
  <c r="B15" i="43"/>
  <c r="Z14" i="43"/>
  <c r="W14" i="43"/>
  <c r="V14" i="43"/>
  <c r="B14" i="43"/>
  <c r="Z13" i="43"/>
  <c r="W13" i="43"/>
  <c r="V13" i="43"/>
  <c r="B13" i="43"/>
  <c r="Z12" i="43"/>
  <c r="W12" i="43"/>
  <c r="V12" i="43"/>
  <c r="B12" i="43"/>
  <c r="Z11" i="43"/>
  <c r="W11" i="43"/>
  <c r="V11" i="43"/>
  <c r="B11" i="43"/>
  <c r="Z10" i="43"/>
  <c r="W10" i="43"/>
  <c r="V10" i="43"/>
  <c r="B10" i="43"/>
  <c r="Z9" i="43"/>
  <c r="W9" i="43"/>
  <c r="V9" i="43"/>
  <c r="B9" i="43"/>
  <c r="Z8" i="43"/>
  <c r="W8" i="43"/>
  <c r="V8" i="43"/>
  <c r="B8" i="43"/>
  <c r="Z7" i="43"/>
  <c r="W7" i="43"/>
  <c r="V7" i="43"/>
  <c r="E7" i="43"/>
  <c r="F7" i="43" s="1"/>
  <c r="B7" i="43"/>
  <c r="U5" i="43"/>
  <c r="T5" i="43"/>
  <c r="R35" i="23" s="1"/>
  <c r="S5" i="43"/>
  <c r="R5" i="43"/>
  <c r="P35" i="23" s="1"/>
  <c r="Q5" i="43"/>
  <c r="O35" i="23" s="1"/>
  <c r="P5" i="43"/>
  <c r="N35" i="23" s="1"/>
  <c r="O5" i="43"/>
  <c r="M35" i="23" s="1"/>
  <c r="N5" i="43"/>
  <c r="M5" i="43"/>
  <c r="L5" i="43"/>
  <c r="J35" i="23" s="1"/>
  <c r="K5" i="43"/>
  <c r="J5" i="43"/>
  <c r="H35" i="23" s="1"/>
  <c r="I5" i="43"/>
  <c r="G35" i="23" s="1"/>
  <c r="H5" i="43"/>
  <c r="F35" i="23" s="1"/>
  <c r="G5" i="43"/>
  <c r="E35" i="23" s="1"/>
  <c r="D5" i="43"/>
  <c r="C5" i="43"/>
  <c r="Z79" i="42"/>
  <c r="W79" i="42"/>
  <c r="V79" i="42"/>
  <c r="B79" i="42"/>
  <c r="Z78" i="42"/>
  <c r="W78" i="42"/>
  <c r="V78" i="42"/>
  <c r="B78" i="42"/>
  <c r="Z77" i="42"/>
  <c r="W77" i="42"/>
  <c r="V77" i="42"/>
  <c r="B77" i="42"/>
  <c r="Z76" i="42"/>
  <c r="W76" i="42"/>
  <c r="V76" i="42"/>
  <c r="B76" i="42"/>
  <c r="Z75" i="42"/>
  <c r="W75" i="42"/>
  <c r="V75" i="42"/>
  <c r="B75" i="42"/>
  <c r="Z74" i="42"/>
  <c r="W74" i="42"/>
  <c r="V74" i="42"/>
  <c r="B74" i="42"/>
  <c r="Z73" i="42"/>
  <c r="W73" i="42"/>
  <c r="V73" i="42"/>
  <c r="B73" i="42"/>
  <c r="Z72" i="42"/>
  <c r="W72" i="42"/>
  <c r="V72" i="42"/>
  <c r="B72" i="42"/>
  <c r="Z71" i="42"/>
  <c r="W71" i="42"/>
  <c r="V71" i="42"/>
  <c r="B71" i="42"/>
  <c r="Z70" i="42"/>
  <c r="W70" i="42"/>
  <c r="V70" i="42"/>
  <c r="B70" i="42"/>
  <c r="Z69" i="42"/>
  <c r="W69" i="42"/>
  <c r="V69" i="42"/>
  <c r="B69" i="42"/>
  <c r="Z68" i="42"/>
  <c r="W68" i="42"/>
  <c r="V68" i="42"/>
  <c r="B68" i="42"/>
  <c r="Z67" i="42"/>
  <c r="W67" i="42"/>
  <c r="V67" i="42"/>
  <c r="B67" i="42"/>
  <c r="Z66" i="42"/>
  <c r="W66" i="42"/>
  <c r="V66" i="42"/>
  <c r="B66" i="42"/>
  <c r="Z65" i="42"/>
  <c r="W65" i="42"/>
  <c r="V65" i="42"/>
  <c r="B65" i="42"/>
  <c r="Z64" i="42"/>
  <c r="W64" i="42"/>
  <c r="V64" i="42"/>
  <c r="B64" i="42"/>
  <c r="Z63" i="42"/>
  <c r="W63" i="42"/>
  <c r="V63" i="42"/>
  <c r="B63" i="42"/>
  <c r="Z62" i="42"/>
  <c r="W62" i="42"/>
  <c r="V62" i="42"/>
  <c r="B62" i="42"/>
  <c r="Z61" i="42"/>
  <c r="W61" i="42"/>
  <c r="V61" i="42"/>
  <c r="B61" i="42"/>
  <c r="Z60" i="42"/>
  <c r="W60" i="42"/>
  <c r="V60" i="42"/>
  <c r="B60" i="42"/>
  <c r="Z59" i="42"/>
  <c r="W59" i="42"/>
  <c r="V59" i="42"/>
  <c r="B59" i="42"/>
  <c r="Z58" i="42"/>
  <c r="W58" i="42"/>
  <c r="V58" i="42"/>
  <c r="B58" i="42"/>
  <c r="Z57" i="42"/>
  <c r="W57" i="42"/>
  <c r="V57" i="42"/>
  <c r="B57" i="42"/>
  <c r="Z56" i="42"/>
  <c r="W56" i="42"/>
  <c r="V56" i="42"/>
  <c r="B56" i="42"/>
  <c r="Z55" i="42"/>
  <c r="W55" i="42"/>
  <c r="V55" i="42"/>
  <c r="B55" i="42"/>
  <c r="Z54" i="42"/>
  <c r="W54" i="42"/>
  <c r="V54" i="42"/>
  <c r="B54" i="42"/>
  <c r="Z53" i="42"/>
  <c r="W53" i="42"/>
  <c r="V53" i="42"/>
  <c r="B53" i="42"/>
  <c r="Z52" i="42"/>
  <c r="W52" i="42"/>
  <c r="V52" i="42"/>
  <c r="B52" i="42"/>
  <c r="Z51" i="42"/>
  <c r="W51" i="42"/>
  <c r="V51" i="42"/>
  <c r="B51" i="42"/>
  <c r="Z50" i="42"/>
  <c r="W50" i="42"/>
  <c r="V50" i="42"/>
  <c r="B50" i="42"/>
  <c r="Z49" i="42"/>
  <c r="W49" i="42"/>
  <c r="V49" i="42"/>
  <c r="B49" i="42"/>
  <c r="Z48" i="42"/>
  <c r="W48" i="42"/>
  <c r="V48" i="42"/>
  <c r="B48" i="42"/>
  <c r="Z47" i="42"/>
  <c r="W47" i="42"/>
  <c r="V47" i="42"/>
  <c r="B47" i="42"/>
  <c r="Z46" i="42"/>
  <c r="W46" i="42"/>
  <c r="V46" i="42"/>
  <c r="B46" i="42"/>
  <c r="Z45" i="42"/>
  <c r="W45" i="42"/>
  <c r="V45" i="42"/>
  <c r="B45" i="42"/>
  <c r="Z44" i="42"/>
  <c r="W44" i="42"/>
  <c r="V44" i="42"/>
  <c r="B44" i="42"/>
  <c r="Z43" i="42"/>
  <c r="W43" i="42"/>
  <c r="V43" i="42"/>
  <c r="B43" i="42"/>
  <c r="Z42" i="42"/>
  <c r="W42" i="42"/>
  <c r="V42" i="42"/>
  <c r="B42" i="42"/>
  <c r="Z41" i="42"/>
  <c r="W41" i="42"/>
  <c r="V41" i="42"/>
  <c r="B41" i="42"/>
  <c r="Z40" i="42"/>
  <c r="W40" i="42"/>
  <c r="V40" i="42"/>
  <c r="B40" i="42"/>
  <c r="Z39" i="42"/>
  <c r="W39" i="42"/>
  <c r="V39" i="42"/>
  <c r="B39" i="42"/>
  <c r="Z38" i="42"/>
  <c r="W38" i="42"/>
  <c r="V38" i="42"/>
  <c r="B38" i="42"/>
  <c r="Z37" i="42"/>
  <c r="W37" i="42"/>
  <c r="V37" i="42"/>
  <c r="B37" i="42"/>
  <c r="Z36" i="42"/>
  <c r="W36" i="42"/>
  <c r="V36" i="42"/>
  <c r="B36" i="42"/>
  <c r="Z35" i="42"/>
  <c r="W35" i="42"/>
  <c r="V35" i="42"/>
  <c r="B35" i="42"/>
  <c r="Z34" i="42"/>
  <c r="W34" i="42"/>
  <c r="V34" i="42"/>
  <c r="B34" i="42"/>
  <c r="Z33" i="42"/>
  <c r="W33" i="42"/>
  <c r="V33" i="42"/>
  <c r="B33" i="42"/>
  <c r="Z32" i="42"/>
  <c r="W32" i="42"/>
  <c r="V32" i="42"/>
  <c r="B32" i="42"/>
  <c r="Z31" i="42"/>
  <c r="W31" i="42"/>
  <c r="V31" i="42"/>
  <c r="B31" i="42"/>
  <c r="Z30" i="42"/>
  <c r="W30" i="42"/>
  <c r="V30" i="42"/>
  <c r="B30" i="42"/>
  <c r="Z29" i="42"/>
  <c r="W29" i="42"/>
  <c r="V29" i="42"/>
  <c r="B29" i="42"/>
  <c r="Z28" i="42"/>
  <c r="W28" i="42"/>
  <c r="V28" i="42"/>
  <c r="B28" i="42"/>
  <c r="Z27" i="42"/>
  <c r="W27" i="42"/>
  <c r="V27" i="42"/>
  <c r="B27" i="42"/>
  <c r="Z26" i="42"/>
  <c r="W26" i="42"/>
  <c r="V26" i="42"/>
  <c r="B26" i="42"/>
  <c r="Z25" i="42"/>
  <c r="W25" i="42"/>
  <c r="V25" i="42"/>
  <c r="B25" i="42"/>
  <c r="Z24" i="42"/>
  <c r="W24" i="42"/>
  <c r="V24" i="42"/>
  <c r="B24" i="42"/>
  <c r="Z23" i="42"/>
  <c r="W23" i="42"/>
  <c r="V23" i="42"/>
  <c r="B23" i="42"/>
  <c r="Z22" i="42"/>
  <c r="W22" i="42"/>
  <c r="V22" i="42"/>
  <c r="B22" i="42"/>
  <c r="Z21" i="42"/>
  <c r="W21" i="42"/>
  <c r="V21" i="42"/>
  <c r="B21" i="42"/>
  <c r="Z20" i="42"/>
  <c r="W20" i="42"/>
  <c r="V20" i="42"/>
  <c r="B20" i="42"/>
  <c r="Z19" i="42"/>
  <c r="W19" i="42"/>
  <c r="V19" i="42"/>
  <c r="B19" i="42"/>
  <c r="Z18" i="42"/>
  <c r="W18" i="42"/>
  <c r="V18" i="42"/>
  <c r="B18" i="42"/>
  <c r="Z17" i="42"/>
  <c r="W17" i="42"/>
  <c r="V17" i="42"/>
  <c r="B17" i="42"/>
  <c r="Z16" i="42"/>
  <c r="W16" i="42"/>
  <c r="V16" i="42"/>
  <c r="B16" i="42"/>
  <c r="Z15" i="42"/>
  <c r="W15" i="42"/>
  <c r="V15" i="42"/>
  <c r="B15" i="42"/>
  <c r="Z14" i="42"/>
  <c r="W14" i="42"/>
  <c r="V14" i="42"/>
  <c r="B14" i="42"/>
  <c r="Z13" i="42"/>
  <c r="W13" i="42"/>
  <c r="V13" i="42"/>
  <c r="B13" i="42"/>
  <c r="Z12" i="42"/>
  <c r="W12" i="42"/>
  <c r="V12" i="42"/>
  <c r="B12" i="42"/>
  <c r="Z11" i="42"/>
  <c r="W11" i="42"/>
  <c r="V11" i="42"/>
  <c r="B11" i="42"/>
  <c r="Z10" i="42"/>
  <c r="W10" i="42"/>
  <c r="V10" i="42"/>
  <c r="B10" i="42"/>
  <c r="Z9" i="42"/>
  <c r="W9" i="42"/>
  <c r="V9" i="42"/>
  <c r="B9" i="42"/>
  <c r="Z8" i="42"/>
  <c r="W8" i="42"/>
  <c r="V8" i="42"/>
  <c r="B8" i="42"/>
  <c r="Z7" i="42"/>
  <c r="W7" i="42"/>
  <c r="V7" i="42"/>
  <c r="E7" i="42"/>
  <c r="F7" i="42" s="1"/>
  <c r="B7" i="42"/>
  <c r="U5" i="42"/>
  <c r="S37" i="23" s="1"/>
  <c r="T5" i="42"/>
  <c r="R37" i="23" s="1"/>
  <c r="S5" i="42"/>
  <c r="Q37" i="23" s="1"/>
  <c r="R5" i="42"/>
  <c r="P37" i="23" s="1"/>
  <c r="Q5" i="42"/>
  <c r="O37" i="23" s="1"/>
  <c r="P5" i="42"/>
  <c r="N37" i="23" s="1"/>
  <c r="O5" i="42"/>
  <c r="M37" i="23" s="1"/>
  <c r="N5" i="42"/>
  <c r="L43" i="1" s="1"/>
  <c r="M5" i="42"/>
  <c r="K37" i="23" s="1"/>
  <c r="L5" i="42"/>
  <c r="J37" i="23" s="1"/>
  <c r="K5" i="42"/>
  <c r="J5" i="42"/>
  <c r="H37" i="23" s="1"/>
  <c r="I5" i="42"/>
  <c r="G37" i="23" s="1"/>
  <c r="H5" i="42"/>
  <c r="F37" i="23" s="1"/>
  <c r="G5" i="42"/>
  <c r="E37" i="23" s="1"/>
  <c r="D5" i="42"/>
  <c r="C5" i="42"/>
  <c r="C37" i="23" s="1"/>
  <c r="Z79" i="41"/>
  <c r="W79" i="41"/>
  <c r="V79" i="41"/>
  <c r="B79" i="41"/>
  <c r="Z78" i="41"/>
  <c r="W78" i="41"/>
  <c r="V78" i="41"/>
  <c r="B78" i="41"/>
  <c r="Z77" i="41"/>
  <c r="W77" i="41"/>
  <c r="V77" i="41"/>
  <c r="B77" i="41"/>
  <c r="Z76" i="41"/>
  <c r="W76" i="41"/>
  <c r="V76" i="41"/>
  <c r="B76" i="41"/>
  <c r="Z75" i="41"/>
  <c r="W75" i="41"/>
  <c r="V75" i="41"/>
  <c r="B75" i="41"/>
  <c r="Z74" i="41"/>
  <c r="W74" i="41"/>
  <c r="V74" i="41"/>
  <c r="B74" i="41"/>
  <c r="Z73" i="41"/>
  <c r="W73" i="41"/>
  <c r="V73" i="41"/>
  <c r="B73" i="41"/>
  <c r="Z72" i="41"/>
  <c r="W72" i="41"/>
  <c r="V72" i="41"/>
  <c r="B72" i="41"/>
  <c r="Z71" i="41"/>
  <c r="W71" i="41"/>
  <c r="V71" i="41"/>
  <c r="B71" i="41"/>
  <c r="Z70" i="41"/>
  <c r="W70" i="41"/>
  <c r="V70" i="41"/>
  <c r="B70" i="41"/>
  <c r="Z69" i="41"/>
  <c r="W69" i="41"/>
  <c r="V69" i="41"/>
  <c r="B69" i="41"/>
  <c r="Z68" i="41"/>
  <c r="W68" i="41"/>
  <c r="V68" i="41"/>
  <c r="B68" i="41"/>
  <c r="Z67" i="41"/>
  <c r="W67" i="41"/>
  <c r="V67" i="41"/>
  <c r="B67" i="41"/>
  <c r="Z66" i="41"/>
  <c r="W66" i="41"/>
  <c r="V66" i="41"/>
  <c r="B66" i="41"/>
  <c r="Z65" i="41"/>
  <c r="W65" i="41"/>
  <c r="V65" i="41"/>
  <c r="B65" i="41"/>
  <c r="Z64" i="41"/>
  <c r="W64" i="41"/>
  <c r="V64" i="41"/>
  <c r="B64" i="41"/>
  <c r="Z63" i="41"/>
  <c r="W63" i="41"/>
  <c r="V63" i="41"/>
  <c r="B63" i="41"/>
  <c r="Z62" i="41"/>
  <c r="W62" i="41"/>
  <c r="V62" i="41"/>
  <c r="B62" i="41"/>
  <c r="Z61" i="41"/>
  <c r="W61" i="41"/>
  <c r="V61" i="41"/>
  <c r="B61" i="41"/>
  <c r="Z60" i="41"/>
  <c r="W60" i="41"/>
  <c r="V60" i="41"/>
  <c r="B60" i="41"/>
  <c r="Z59" i="41"/>
  <c r="W59" i="41"/>
  <c r="V59" i="41"/>
  <c r="B59" i="41"/>
  <c r="Z58" i="41"/>
  <c r="W58" i="41"/>
  <c r="V58" i="41"/>
  <c r="B58" i="41"/>
  <c r="Z57" i="41"/>
  <c r="W57" i="41"/>
  <c r="V57" i="41"/>
  <c r="B57" i="41"/>
  <c r="Z56" i="41"/>
  <c r="W56" i="41"/>
  <c r="V56" i="41"/>
  <c r="B56" i="41"/>
  <c r="Z55" i="41"/>
  <c r="W55" i="41"/>
  <c r="V55" i="41"/>
  <c r="B55" i="41"/>
  <c r="Z54" i="41"/>
  <c r="W54" i="41"/>
  <c r="V54" i="41"/>
  <c r="B54" i="41"/>
  <c r="Z53" i="41"/>
  <c r="W53" i="41"/>
  <c r="V53" i="41"/>
  <c r="B53" i="41"/>
  <c r="Z52" i="41"/>
  <c r="W52" i="41"/>
  <c r="V52" i="41"/>
  <c r="B52" i="41"/>
  <c r="Z51" i="41"/>
  <c r="W51" i="41"/>
  <c r="V51" i="41"/>
  <c r="B51" i="41"/>
  <c r="Z50" i="41"/>
  <c r="W50" i="41"/>
  <c r="V50" i="41"/>
  <c r="B50" i="41"/>
  <c r="Z49" i="41"/>
  <c r="W49" i="41"/>
  <c r="V49" i="41"/>
  <c r="B49" i="41"/>
  <c r="Z48" i="41"/>
  <c r="W48" i="41"/>
  <c r="V48" i="41"/>
  <c r="B48" i="41"/>
  <c r="Z47" i="41"/>
  <c r="W47" i="41"/>
  <c r="V47" i="41"/>
  <c r="B47" i="41"/>
  <c r="Z46" i="41"/>
  <c r="W46" i="41"/>
  <c r="V46" i="41"/>
  <c r="B46" i="41"/>
  <c r="Z45" i="41"/>
  <c r="W45" i="41"/>
  <c r="V45" i="41"/>
  <c r="B45" i="41"/>
  <c r="Z44" i="41"/>
  <c r="W44" i="41"/>
  <c r="V44" i="41"/>
  <c r="B44" i="41"/>
  <c r="Z43" i="41"/>
  <c r="W43" i="41"/>
  <c r="V43" i="41"/>
  <c r="B43" i="41"/>
  <c r="Z42" i="41"/>
  <c r="W42" i="41"/>
  <c r="V42" i="41"/>
  <c r="B42" i="41"/>
  <c r="Z41" i="41"/>
  <c r="W41" i="41"/>
  <c r="V41" i="41"/>
  <c r="B41" i="41"/>
  <c r="Z40" i="41"/>
  <c r="W40" i="41"/>
  <c r="V40" i="41"/>
  <c r="B40" i="41"/>
  <c r="Z39" i="41"/>
  <c r="W39" i="41"/>
  <c r="V39" i="41"/>
  <c r="B39" i="41"/>
  <c r="Z38" i="41"/>
  <c r="W38" i="41"/>
  <c r="V38" i="41"/>
  <c r="B38" i="41"/>
  <c r="Z37" i="41"/>
  <c r="W37" i="41"/>
  <c r="V37" i="41"/>
  <c r="B37" i="41"/>
  <c r="Z36" i="41"/>
  <c r="W36" i="41"/>
  <c r="V36" i="41"/>
  <c r="B36" i="41"/>
  <c r="Z35" i="41"/>
  <c r="W35" i="41"/>
  <c r="V35" i="41"/>
  <c r="B35" i="41"/>
  <c r="Z34" i="41"/>
  <c r="W34" i="41"/>
  <c r="V34" i="41"/>
  <c r="B34" i="41"/>
  <c r="Z33" i="41"/>
  <c r="W33" i="41"/>
  <c r="V33" i="41"/>
  <c r="B33" i="41"/>
  <c r="Z32" i="41"/>
  <c r="W32" i="41"/>
  <c r="V32" i="41"/>
  <c r="B32" i="41"/>
  <c r="Z31" i="41"/>
  <c r="W31" i="41"/>
  <c r="V31" i="41"/>
  <c r="B31" i="41"/>
  <c r="Z30" i="41"/>
  <c r="W30" i="41"/>
  <c r="V30" i="41"/>
  <c r="B30" i="41"/>
  <c r="Z29" i="41"/>
  <c r="W29" i="41"/>
  <c r="V29" i="41"/>
  <c r="B29" i="41"/>
  <c r="Z28" i="41"/>
  <c r="W28" i="41"/>
  <c r="V28" i="41"/>
  <c r="B28" i="41"/>
  <c r="Z27" i="41"/>
  <c r="W27" i="41"/>
  <c r="V27" i="41"/>
  <c r="B27" i="41"/>
  <c r="Z26" i="41"/>
  <c r="W26" i="41"/>
  <c r="V26" i="41"/>
  <c r="B26" i="41"/>
  <c r="Z25" i="41"/>
  <c r="W25" i="41"/>
  <c r="V25" i="41"/>
  <c r="B25" i="41"/>
  <c r="Z24" i="41"/>
  <c r="W24" i="41"/>
  <c r="V24" i="41"/>
  <c r="B24" i="41"/>
  <c r="Z23" i="41"/>
  <c r="W23" i="41"/>
  <c r="V23" i="41"/>
  <c r="B23" i="41"/>
  <c r="Z22" i="41"/>
  <c r="W22" i="41"/>
  <c r="V22" i="41"/>
  <c r="B22" i="41"/>
  <c r="Z21" i="41"/>
  <c r="W21" i="41"/>
  <c r="V21" i="41"/>
  <c r="B21" i="41"/>
  <c r="Z20" i="41"/>
  <c r="W20" i="41"/>
  <c r="V20" i="41"/>
  <c r="B20" i="41"/>
  <c r="Z19" i="41"/>
  <c r="W19" i="41"/>
  <c r="V19" i="41"/>
  <c r="B19" i="41"/>
  <c r="Z18" i="41"/>
  <c r="W18" i="41"/>
  <c r="V18" i="41"/>
  <c r="B18" i="41"/>
  <c r="Z17" i="41"/>
  <c r="W17" i="41"/>
  <c r="V17" i="41"/>
  <c r="B17" i="41"/>
  <c r="Z16" i="41"/>
  <c r="W16" i="41"/>
  <c r="V16" i="41"/>
  <c r="B16" i="41"/>
  <c r="Z15" i="41"/>
  <c r="W15" i="41"/>
  <c r="V15" i="41"/>
  <c r="B15" i="41"/>
  <c r="Z14" i="41"/>
  <c r="W14" i="41"/>
  <c r="V14" i="41"/>
  <c r="B14" i="41"/>
  <c r="Z13" i="41"/>
  <c r="W13" i="41"/>
  <c r="V13" i="41"/>
  <c r="B13" i="41"/>
  <c r="Z12" i="41"/>
  <c r="W12" i="41"/>
  <c r="V12" i="41"/>
  <c r="B12" i="41"/>
  <c r="Z11" i="41"/>
  <c r="W11" i="41"/>
  <c r="V11" i="41"/>
  <c r="B11" i="41"/>
  <c r="Z10" i="41"/>
  <c r="W10" i="41"/>
  <c r="V10" i="41"/>
  <c r="B10" i="41"/>
  <c r="Z9" i="41"/>
  <c r="W9" i="41"/>
  <c r="V9" i="41"/>
  <c r="B9" i="41"/>
  <c r="Z8" i="41"/>
  <c r="W8" i="41"/>
  <c r="V8" i="41"/>
  <c r="B8" i="41"/>
  <c r="Z7" i="41"/>
  <c r="W7" i="41"/>
  <c r="V7" i="41"/>
  <c r="E7" i="41"/>
  <c r="E8" i="41" s="1"/>
  <c r="F8" i="41" s="1"/>
  <c r="B7" i="41"/>
  <c r="U5" i="41"/>
  <c r="S41" i="23" s="1"/>
  <c r="T5" i="41"/>
  <c r="R41" i="23" s="1"/>
  <c r="S5" i="41"/>
  <c r="Q41" i="23" s="1"/>
  <c r="R5" i="41"/>
  <c r="Q5" i="41"/>
  <c r="P5" i="41"/>
  <c r="N41" i="23" s="1"/>
  <c r="O5" i="41"/>
  <c r="M41" i="23" s="1"/>
  <c r="N5" i="41"/>
  <c r="L41" i="23" s="1"/>
  <c r="M5" i="41"/>
  <c r="K41" i="23" s="1"/>
  <c r="L5" i="41"/>
  <c r="J41" i="23" s="1"/>
  <c r="K5" i="41"/>
  <c r="I41" i="23" s="1"/>
  <c r="J5" i="41"/>
  <c r="H42" i="1" s="1"/>
  <c r="I5" i="41"/>
  <c r="H5" i="41"/>
  <c r="F42" i="1" s="1"/>
  <c r="G5" i="41"/>
  <c r="E41" i="23" s="1"/>
  <c r="D5" i="41"/>
  <c r="D41" i="23" s="1"/>
  <c r="C5" i="41"/>
  <c r="C41" i="23" s="1"/>
  <c r="Z79" i="40"/>
  <c r="W79" i="40"/>
  <c r="V79" i="40"/>
  <c r="B79" i="40"/>
  <c r="Z78" i="40"/>
  <c r="W78" i="40"/>
  <c r="V78" i="40"/>
  <c r="B78" i="40"/>
  <c r="Z77" i="40"/>
  <c r="W77" i="40"/>
  <c r="V77" i="40"/>
  <c r="B77" i="40"/>
  <c r="Z76" i="40"/>
  <c r="W76" i="40"/>
  <c r="V76" i="40"/>
  <c r="B76" i="40"/>
  <c r="Z75" i="40"/>
  <c r="W75" i="40"/>
  <c r="V75" i="40"/>
  <c r="B75" i="40"/>
  <c r="Z74" i="40"/>
  <c r="W74" i="40"/>
  <c r="V74" i="40"/>
  <c r="B74" i="40"/>
  <c r="Z73" i="40"/>
  <c r="W73" i="40"/>
  <c r="V73" i="40"/>
  <c r="B73" i="40"/>
  <c r="Z72" i="40"/>
  <c r="W72" i="40"/>
  <c r="V72" i="40"/>
  <c r="B72" i="40"/>
  <c r="Z71" i="40"/>
  <c r="W71" i="40"/>
  <c r="V71" i="40"/>
  <c r="B71" i="40"/>
  <c r="Z70" i="40"/>
  <c r="W70" i="40"/>
  <c r="V70" i="40"/>
  <c r="B70" i="40"/>
  <c r="Z69" i="40"/>
  <c r="W69" i="40"/>
  <c r="V69" i="40"/>
  <c r="B69" i="40"/>
  <c r="Z68" i="40"/>
  <c r="W68" i="40"/>
  <c r="V68" i="40"/>
  <c r="B68" i="40"/>
  <c r="Z67" i="40"/>
  <c r="W67" i="40"/>
  <c r="V67" i="40"/>
  <c r="B67" i="40"/>
  <c r="Z66" i="40"/>
  <c r="W66" i="40"/>
  <c r="V66" i="40"/>
  <c r="B66" i="40"/>
  <c r="Z65" i="40"/>
  <c r="W65" i="40"/>
  <c r="V65" i="40"/>
  <c r="B65" i="40"/>
  <c r="Z64" i="40"/>
  <c r="W64" i="40"/>
  <c r="V64" i="40"/>
  <c r="B64" i="40"/>
  <c r="Z63" i="40"/>
  <c r="W63" i="40"/>
  <c r="V63" i="40"/>
  <c r="B63" i="40"/>
  <c r="Z62" i="40"/>
  <c r="W62" i="40"/>
  <c r="V62" i="40"/>
  <c r="B62" i="40"/>
  <c r="Z61" i="40"/>
  <c r="W61" i="40"/>
  <c r="V61" i="40"/>
  <c r="B61" i="40"/>
  <c r="Z60" i="40"/>
  <c r="W60" i="40"/>
  <c r="V60" i="40"/>
  <c r="B60" i="40"/>
  <c r="Z59" i="40"/>
  <c r="W59" i="40"/>
  <c r="V59" i="40"/>
  <c r="B59" i="40"/>
  <c r="Z58" i="40"/>
  <c r="W58" i="40"/>
  <c r="V58" i="40"/>
  <c r="B58" i="40"/>
  <c r="Z57" i="40"/>
  <c r="W57" i="40"/>
  <c r="V57" i="40"/>
  <c r="B57" i="40"/>
  <c r="Z56" i="40"/>
  <c r="W56" i="40"/>
  <c r="V56" i="40"/>
  <c r="B56" i="40"/>
  <c r="Z55" i="40"/>
  <c r="W55" i="40"/>
  <c r="V55" i="40"/>
  <c r="B55" i="40"/>
  <c r="Z54" i="40"/>
  <c r="W54" i="40"/>
  <c r="V54" i="40"/>
  <c r="B54" i="40"/>
  <c r="Z53" i="40"/>
  <c r="W53" i="40"/>
  <c r="V53" i="40"/>
  <c r="B53" i="40"/>
  <c r="Z52" i="40"/>
  <c r="W52" i="40"/>
  <c r="V52" i="40"/>
  <c r="B52" i="40"/>
  <c r="Z51" i="40"/>
  <c r="W51" i="40"/>
  <c r="V51" i="40"/>
  <c r="B51" i="40"/>
  <c r="Z50" i="40"/>
  <c r="W50" i="40"/>
  <c r="V50" i="40"/>
  <c r="B50" i="40"/>
  <c r="Z49" i="40"/>
  <c r="W49" i="40"/>
  <c r="V49" i="40"/>
  <c r="B49" i="40"/>
  <c r="Z48" i="40"/>
  <c r="W48" i="40"/>
  <c r="V48" i="40"/>
  <c r="B48" i="40"/>
  <c r="Z47" i="40"/>
  <c r="W47" i="40"/>
  <c r="V47" i="40"/>
  <c r="B47" i="40"/>
  <c r="Z46" i="40"/>
  <c r="W46" i="40"/>
  <c r="V46" i="40"/>
  <c r="B46" i="40"/>
  <c r="Z45" i="40"/>
  <c r="W45" i="40"/>
  <c r="V45" i="40"/>
  <c r="B45" i="40"/>
  <c r="Z44" i="40"/>
  <c r="W44" i="40"/>
  <c r="V44" i="40"/>
  <c r="B44" i="40"/>
  <c r="Z43" i="40"/>
  <c r="W43" i="40"/>
  <c r="V43" i="40"/>
  <c r="B43" i="40"/>
  <c r="Z42" i="40"/>
  <c r="W42" i="40"/>
  <c r="V42" i="40"/>
  <c r="B42" i="40"/>
  <c r="Z41" i="40"/>
  <c r="W41" i="40"/>
  <c r="V41" i="40"/>
  <c r="B41" i="40"/>
  <c r="Z40" i="40"/>
  <c r="W40" i="40"/>
  <c r="V40" i="40"/>
  <c r="B40" i="40"/>
  <c r="Z39" i="40"/>
  <c r="W39" i="40"/>
  <c r="V39" i="40"/>
  <c r="B39" i="40"/>
  <c r="Z38" i="40"/>
  <c r="W38" i="40"/>
  <c r="V38" i="40"/>
  <c r="B38" i="40"/>
  <c r="Z37" i="40"/>
  <c r="W37" i="40"/>
  <c r="V37" i="40"/>
  <c r="B37" i="40"/>
  <c r="Z36" i="40"/>
  <c r="W36" i="40"/>
  <c r="V36" i="40"/>
  <c r="B36" i="40"/>
  <c r="Z35" i="40"/>
  <c r="W35" i="40"/>
  <c r="V35" i="40"/>
  <c r="B35" i="40"/>
  <c r="Z34" i="40"/>
  <c r="W34" i="40"/>
  <c r="V34" i="40"/>
  <c r="B34" i="40"/>
  <c r="Z33" i="40"/>
  <c r="W33" i="40"/>
  <c r="V33" i="40"/>
  <c r="B33" i="40"/>
  <c r="Z32" i="40"/>
  <c r="W32" i="40"/>
  <c r="V32" i="40"/>
  <c r="B32" i="40"/>
  <c r="Z31" i="40"/>
  <c r="W31" i="40"/>
  <c r="V31" i="40"/>
  <c r="B31" i="40"/>
  <c r="Z30" i="40"/>
  <c r="W30" i="40"/>
  <c r="V30" i="40"/>
  <c r="B30" i="40"/>
  <c r="Z29" i="40"/>
  <c r="W29" i="40"/>
  <c r="V29" i="40"/>
  <c r="B29" i="40"/>
  <c r="Z28" i="40"/>
  <c r="W28" i="40"/>
  <c r="V28" i="40"/>
  <c r="B28" i="40"/>
  <c r="Z27" i="40"/>
  <c r="W27" i="40"/>
  <c r="V27" i="40"/>
  <c r="B27" i="40"/>
  <c r="Z26" i="40"/>
  <c r="W26" i="40"/>
  <c r="V26" i="40"/>
  <c r="B26" i="40"/>
  <c r="Z25" i="40"/>
  <c r="W25" i="40"/>
  <c r="V25" i="40"/>
  <c r="B25" i="40"/>
  <c r="Z24" i="40"/>
  <c r="W24" i="40"/>
  <c r="V24" i="40"/>
  <c r="B24" i="40"/>
  <c r="Z23" i="40"/>
  <c r="W23" i="40"/>
  <c r="V23" i="40"/>
  <c r="B23" i="40"/>
  <c r="Z22" i="40"/>
  <c r="W22" i="40"/>
  <c r="V22" i="40"/>
  <c r="B22" i="40"/>
  <c r="Z21" i="40"/>
  <c r="W21" i="40"/>
  <c r="V21" i="40"/>
  <c r="B21" i="40"/>
  <c r="Z20" i="40"/>
  <c r="W20" i="40"/>
  <c r="V20" i="40"/>
  <c r="B20" i="40"/>
  <c r="Z19" i="40"/>
  <c r="W19" i="40"/>
  <c r="V19" i="40"/>
  <c r="B19" i="40"/>
  <c r="Z18" i="40"/>
  <c r="W18" i="40"/>
  <c r="V18" i="40"/>
  <c r="B18" i="40"/>
  <c r="Z17" i="40"/>
  <c r="W17" i="40"/>
  <c r="V17" i="40"/>
  <c r="B17" i="40"/>
  <c r="Z16" i="40"/>
  <c r="W16" i="40"/>
  <c r="V16" i="40"/>
  <c r="B16" i="40"/>
  <c r="Z15" i="40"/>
  <c r="W15" i="40"/>
  <c r="V15" i="40"/>
  <c r="B15" i="40"/>
  <c r="Z14" i="40"/>
  <c r="W14" i="40"/>
  <c r="V14" i="40"/>
  <c r="B14" i="40"/>
  <c r="Z13" i="40"/>
  <c r="W13" i="40"/>
  <c r="V13" i="40"/>
  <c r="B13" i="40"/>
  <c r="Z12" i="40"/>
  <c r="W12" i="40"/>
  <c r="V12" i="40"/>
  <c r="B12" i="40"/>
  <c r="Z11" i="40"/>
  <c r="W11" i="40"/>
  <c r="V11" i="40"/>
  <c r="B11" i="40"/>
  <c r="Z10" i="40"/>
  <c r="W10" i="40"/>
  <c r="V10" i="40"/>
  <c r="B10" i="40"/>
  <c r="Z9" i="40"/>
  <c r="W9" i="40"/>
  <c r="V9" i="40"/>
  <c r="B9" i="40"/>
  <c r="Z8" i="40"/>
  <c r="W8" i="40"/>
  <c r="V8" i="40"/>
  <c r="B8" i="40"/>
  <c r="Z7" i="40"/>
  <c r="W7" i="40"/>
  <c r="V7" i="40"/>
  <c r="E7" i="40"/>
  <c r="F7" i="40" s="1"/>
  <c r="B7" i="40"/>
  <c r="U5" i="40"/>
  <c r="S40" i="23" s="1"/>
  <c r="T5" i="40"/>
  <c r="R40" i="23" s="1"/>
  <c r="S5" i="40"/>
  <c r="Q40" i="23" s="1"/>
  <c r="R5" i="40"/>
  <c r="P40" i="23" s="1"/>
  <c r="Q5" i="40"/>
  <c r="P5" i="40"/>
  <c r="N40" i="23" s="1"/>
  <c r="O5" i="40"/>
  <c r="M40" i="23" s="1"/>
  <c r="N5" i="40"/>
  <c r="M5" i="40"/>
  <c r="K40" i="23" s="1"/>
  <c r="L5" i="40"/>
  <c r="J40" i="23" s="1"/>
  <c r="K5" i="40"/>
  <c r="I40" i="23" s="1"/>
  <c r="J5" i="40"/>
  <c r="H40" i="23" s="1"/>
  <c r="I5" i="40"/>
  <c r="H5" i="40"/>
  <c r="F40" i="23" s="1"/>
  <c r="G5" i="40"/>
  <c r="E40" i="23" s="1"/>
  <c r="D5" i="40"/>
  <c r="C5" i="40"/>
  <c r="C40" i="23" s="1"/>
  <c r="Z79" i="39"/>
  <c r="W79" i="39"/>
  <c r="V79" i="39"/>
  <c r="Z78" i="39"/>
  <c r="W78" i="39"/>
  <c r="V78" i="39"/>
  <c r="Z77" i="39"/>
  <c r="W77" i="39"/>
  <c r="V77" i="39"/>
  <c r="Z76" i="39"/>
  <c r="W76" i="39"/>
  <c r="V76" i="39"/>
  <c r="Z75" i="39"/>
  <c r="W75" i="39"/>
  <c r="V75" i="39"/>
  <c r="Z74" i="39"/>
  <c r="W74" i="39"/>
  <c r="V74" i="39"/>
  <c r="Z73" i="39"/>
  <c r="W73" i="39"/>
  <c r="V73" i="39"/>
  <c r="Z72" i="39"/>
  <c r="W72" i="39"/>
  <c r="V72" i="39"/>
  <c r="Z71" i="39"/>
  <c r="W71" i="39"/>
  <c r="V71" i="39"/>
  <c r="Z70" i="39"/>
  <c r="W70" i="39"/>
  <c r="V70" i="39"/>
  <c r="Z69" i="39"/>
  <c r="W69" i="39"/>
  <c r="V69" i="39"/>
  <c r="Z68" i="39"/>
  <c r="W68" i="39"/>
  <c r="V68" i="39"/>
  <c r="Z67" i="39"/>
  <c r="W67" i="39"/>
  <c r="V67" i="39"/>
  <c r="Z66" i="39"/>
  <c r="W66" i="39"/>
  <c r="V66" i="39"/>
  <c r="Z65" i="39"/>
  <c r="W65" i="39"/>
  <c r="V65" i="39"/>
  <c r="Z64" i="39"/>
  <c r="W64" i="39"/>
  <c r="V64" i="39"/>
  <c r="Z63" i="39"/>
  <c r="W63" i="39"/>
  <c r="V63" i="39"/>
  <c r="Z62" i="39"/>
  <c r="W62" i="39"/>
  <c r="V62" i="39"/>
  <c r="Z61" i="39"/>
  <c r="W61" i="39"/>
  <c r="V61" i="39"/>
  <c r="Z60" i="39"/>
  <c r="W60" i="39"/>
  <c r="V60" i="39"/>
  <c r="Z59" i="39"/>
  <c r="W59" i="39"/>
  <c r="V59" i="39"/>
  <c r="Z58" i="39"/>
  <c r="W58" i="39"/>
  <c r="V58" i="39"/>
  <c r="Z57" i="39"/>
  <c r="W57" i="39"/>
  <c r="V57" i="39"/>
  <c r="Z56" i="39"/>
  <c r="W56" i="39"/>
  <c r="V56" i="39"/>
  <c r="Z55" i="39"/>
  <c r="W55" i="39"/>
  <c r="V55" i="39"/>
  <c r="Z54" i="39"/>
  <c r="W54" i="39"/>
  <c r="V54" i="39"/>
  <c r="Z53" i="39"/>
  <c r="W53" i="39"/>
  <c r="V53" i="39"/>
  <c r="Z52" i="39"/>
  <c r="W52" i="39"/>
  <c r="V52" i="39"/>
  <c r="Z51" i="39"/>
  <c r="W51" i="39"/>
  <c r="V51" i="39"/>
  <c r="Z50" i="39"/>
  <c r="W50" i="39"/>
  <c r="V50" i="39"/>
  <c r="Z49" i="39"/>
  <c r="W49" i="39"/>
  <c r="V49" i="39"/>
  <c r="Z48" i="39"/>
  <c r="W48" i="39"/>
  <c r="V48" i="39"/>
  <c r="Z47" i="39"/>
  <c r="W47" i="39"/>
  <c r="V47" i="39"/>
  <c r="Z46" i="39"/>
  <c r="W46" i="39"/>
  <c r="V46" i="39"/>
  <c r="Z45" i="39"/>
  <c r="W45" i="39"/>
  <c r="V45" i="39"/>
  <c r="Z44" i="39"/>
  <c r="W44" i="39"/>
  <c r="V44" i="39"/>
  <c r="Z43" i="39"/>
  <c r="W43" i="39"/>
  <c r="V43" i="39"/>
  <c r="Z42" i="39"/>
  <c r="W42" i="39"/>
  <c r="V42" i="39"/>
  <c r="Z41" i="39"/>
  <c r="W41" i="39"/>
  <c r="V41" i="39"/>
  <c r="Z40" i="39"/>
  <c r="W40" i="39"/>
  <c r="V40" i="39"/>
  <c r="Z39" i="39"/>
  <c r="W39" i="39"/>
  <c r="V39" i="39"/>
  <c r="Z38" i="39"/>
  <c r="W38" i="39"/>
  <c r="V38" i="39"/>
  <c r="Z37" i="39"/>
  <c r="W37" i="39"/>
  <c r="V37" i="39"/>
  <c r="Z36" i="39"/>
  <c r="W36" i="39"/>
  <c r="V36" i="39"/>
  <c r="Z35" i="39"/>
  <c r="W35" i="39"/>
  <c r="V35" i="39"/>
  <c r="Z34" i="39"/>
  <c r="W34" i="39"/>
  <c r="V34" i="39"/>
  <c r="Z33" i="39"/>
  <c r="W33" i="39"/>
  <c r="V33" i="39"/>
  <c r="Z32" i="39"/>
  <c r="W32" i="39"/>
  <c r="V32" i="39"/>
  <c r="Z31" i="39"/>
  <c r="W31" i="39"/>
  <c r="V31" i="39"/>
  <c r="Z30" i="39"/>
  <c r="W30" i="39"/>
  <c r="V30" i="39"/>
  <c r="Z29" i="39"/>
  <c r="W29" i="39"/>
  <c r="V29" i="39"/>
  <c r="Z28" i="39"/>
  <c r="W28" i="39"/>
  <c r="V28" i="39"/>
  <c r="Z27" i="39"/>
  <c r="W27" i="39"/>
  <c r="V27" i="39"/>
  <c r="Z26" i="39"/>
  <c r="W26" i="39"/>
  <c r="V26" i="39"/>
  <c r="Z25" i="39"/>
  <c r="W25" i="39"/>
  <c r="V25" i="39"/>
  <c r="Z24" i="39"/>
  <c r="W24" i="39"/>
  <c r="V24" i="39"/>
  <c r="Z23" i="39"/>
  <c r="W23" i="39"/>
  <c r="V23" i="39"/>
  <c r="Z22" i="39"/>
  <c r="W22" i="39"/>
  <c r="V22" i="39"/>
  <c r="Z21" i="39"/>
  <c r="W21" i="39"/>
  <c r="V21" i="39"/>
  <c r="Z20" i="39"/>
  <c r="W20" i="39"/>
  <c r="V20" i="39"/>
  <c r="Z19" i="39"/>
  <c r="W19" i="39"/>
  <c r="V19" i="39"/>
  <c r="Z18" i="39"/>
  <c r="W18" i="39"/>
  <c r="V18" i="39"/>
  <c r="Z17" i="39"/>
  <c r="W17" i="39"/>
  <c r="V17" i="39"/>
  <c r="Z16" i="39"/>
  <c r="W16" i="39"/>
  <c r="V16" i="39"/>
  <c r="Z15" i="39"/>
  <c r="W15" i="39"/>
  <c r="V15" i="39"/>
  <c r="Z14" i="39"/>
  <c r="W14" i="39"/>
  <c r="V14" i="39"/>
  <c r="Z13" i="39"/>
  <c r="W13" i="39"/>
  <c r="V13" i="39"/>
  <c r="Z12" i="39"/>
  <c r="W12" i="39"/>
  <c r="V12" i="39"/>
  <c r="Z11" i="39"/>
  <c r="W11" i="39"/>
  <c r="V11" i="39"/>
  <c r="Z10" i="39"/>
  <c r="W10" i="39"/>
  <c r="V10" i="39"/>
  <c r="Z9" i="39"/>
  <c r="W9" i="39"/>
  <c r="V9" i="39"/>
  <c r="Z8" i="39"/>
  <c r="W8" i="39"/>
  <c r="V8" i="39"/>
  <c r="Z7" i="39"/>
  <c r="W7" i="39"/>
  <c r="V7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E7" i="39"/>
  <c r="F7" i="39" s="1"/>
  <c r="B7" i="39"/>
  <c r="U5" i="39"/>
  <c r="S38" i="23" s="1"/>
  <c r="T5" i="39"/>
  <c r="R38" i="23" s="1"/>
  <c r="S5" i="39"/>
  <c r="Q38" i="23" s="1"/>
  <c r="R5" i="39"/>
  <c r="P40" i="1" s="1"/>
  <c r="Q5" i="39"/>
  <c r="O38" i="23" s="1"/>
  <c r="P5" i="39"/>
  <c r="O5" i="39"/>
  <c r="M38" i="23" s="1"/>
  <c r="N5" i="39"/>
  <c r="L38" i="23" s="1"/>
  <c r="M5" i="39"/>
  <c r="K38" i="23" s="1"/>
  <c r="L5" i="39"/>
  <c r="J38" i="23" s="1"/>
  <c r="K5" i="39"/>
  <c r="I38" i="23" s="1"/>
  <c r="J5" i="39"/>
  <c r="H40" i="1" s="1"/>
  <c r="I5" i="39"/>
  <c r="G38" i="23" s="1"/>
  <c r="H5" i="39"/>
  <c r="G5" i="39"/>
  <c r="E38" i="23" s="1"/>
  <c r="D5" i="39"/>
  <c r="D38" i="23" s="1"/>
  <c r="C5" i="39"/>
  <c r="C38" i="23" s="1"/>
  <c r="Z79" i="38"/>
  <c r="W79" i="38"/>
  <c r="V79" i="38"/>
  <c r="B79" i="38"/>
  <c r="Z78" i="38"/>
  <c r="W78" i="38"/>
  <c r="V78" i="38"/>
  <c r="B78" i="38"/>
  <c r="Z77" i="38"/>
  <c r="W77" i="38"/>
  <c r="V77" i="38"/>
  <c r="B77" i="38"/>
  <c r="Z76" i="38"/>
  <c r="W76" i="38"/>
  <c r="V76" i="38"/>
  <c r="B76" i="38"/>
  <c r="Z75" i="38"/>
  <c r="W75" i="38"/>
  <c r="V75" i="38"/>
  <c r="B75" i="38"/>
  <c r="Z74" i="38"/>
  <c r="W74" i="38"/>
  <c r="V74" i="38"/>
  <c r="B74" i="38"/>
  <c r="Z73" i="38"/>
  <c r="W73" i="38"/>
  <c r="V73" i="38"/>
  <c r="B73" i="38"/>
  <c r="Z72" i="38"/>
  <c r="W72" i="38"/>
  <c r="V72" i="38"/>
  <c r="B72" i="38"/>
  <c r="Z71" i="38"/>
  <c r="W71" i="38"/>
  <c r="V71" i="38"/>
  <c r="B71" i="38"/>
  <c r="Z70" i="38"/>
  <c r="W70" i="38"/>
  <c r="V70" i="38"/>
  <c r="B70" i="38"/>
  <c r="Z69" i="38"/>
  <c r="W69" i="38"/>
  <c r="V69" i="38"/>
  <c r="B69" i="38"/>
  <c r="Z68" i="38"/>
  <c r="W68" i="38"/>
  <c r="V68" i="38"/>
  <c r="B68" i="38"/>
  <c r="Z67" i="38"/>
  <c r="W67" i="38"/>
  <c r="V67" i="38"/>
  <c r="B67" i="38"/>
  <c r="Z66" i="38"/>
  <c r="W66" i="38"/>
  <c r="V66" i="38"/>
  <c r="B66" i="38"/>
  <c r="Z65" i="38"/>
  <c r="W65" i="38"/>
  <c r="V65" i="38"/>
  <c r="B65" i="38"/>
  <c r="Z64" i="38"/>
  <c r="W64" i="38"/>
  <c r="V64" i="38"/>
  <c r="B64" i="38"/>
  <c r="Z63" i="38"/>
  <c r="W63" i="38"/>
  <c r="V63" i="38"/>
  <c r="B63" i="38"/>
  <c r="Z62" i="38"/>
  <c r="W62" i="38"/>
  <c r="V62" i="38"/>
  <c r="B62" i="38"/>
  <c r="Z61" i="38"/>
  <c r="W61" i="38"/>
  <c r="V61" i="38"/>
  <c r="B61" i="38"/>
  <c r="Z60" i="38"/>
  <c r="W60" i="38"/>
  <c r="V60" i="38"/>
  <c r="B60" i="38"/>
  <c r="Z59" i="38"/>
  <c r="W59" i="38"/>
  <c r="V59" i="38"/>
  <c r="B59" i="38"/>
  <c r="Z58" i="38"/>
  <c r="W58" i="38"/>
  <c r="V58" i="38"/>
  <c r="B58" i="38"/>
  <c r="Z57" i="38"/>
  <c r="W57" i="38"/>
  <c r="V57" i="38"/>
  <c r="B57" i="38"/>
  <c r="Z56" i="38"/>
  <c r="W56" i="38"/>
  <c r="V56" i="38"/>
  <c r="B56" i="38"/>
  <c r="Z55" i="38"/>
  <c r="W55" i="38"/>
  <c r="V55" i="38"/>
  <c r="B55" i="38"/>
  <c r="Z54" i="38"/>
  <c r="W54" i="38"/>
  <c r="V54" i="38"/>
  <c r="B54" i="38"/>
  <c r="Z53" i="38"/>
  <c r="W53" i="38"/>
  <c r="V53" i="38"/>
  <c r="B53" i="38"/>
  <c r="Z52" i="38"/>
  <c r="W52" i="38"/>
  <c r="V52" i="38"/>
  <c r="B52" i="38"/>
  <c r="Z51" i="38"/>
  <c r="W51" i="38"/>
  <c r="V51" i="38"/>
  <c r="B51" i="38"/>
  <c r="Z50" i="38"/>
  <c r="W50" i="38"/>
  <c r="V50" i="38"/>
  <c r="B50" i="38"/>
  <c r="Z49" i="38"/>
  <c r="W49" i="38"/>
  <c r="V49" i="38"/>
  <c r="B49" i="38"/>
  <c r="Z48" i="38"/>
  <c r="W48" i="38"/>
  <c r="V48" i="38"/>
  <c r="B48" i="38"/>
  <c r="Z47" i="38"/>
  <c r="W47" i="38"/>
  <c r="V47" i="38"/>
  <c r="B47" i="38"/>
  <c r="Z46" i="38"/>
  <c r="W46" i="38"/>
  <c r="V46" i="38"/>
  <c r="B46" i="38"/>
  <c r="Z45" i="38"/>
  <c r="W45" i="38"/>
  <c r="V45" i="38"/>
  <c r="B45" i="38"/>
  <c r="Z44" i="38"/>
  <c r="W44" i="38"/>
  <c r="V44" i="38"/>
  <c r="B44" i="38"/>
  <c r="Z43" i="38"/>
  <c r="W43" i="38"/>
  <c r="V43" i="38"/>
  <c r="B43" i="38"/>
  <c r="Z42" i="38"/>
  <c r="W42" i="38"/>
  <c r="V42" i="38"/>
  <c r="B42" i="38"/>
  <c r="Z41" i="38"/>
  <c r="W41" i="38"/>
  <c r="V41" i="38"/>
  <c r="B41" i="38"/>
  <c r="Z40" i="38"/>
  <c r="W40" i="38"/>
  <c r="V40" i="38"/>
  <c r="B40" i="38"/>
  <c r="Z39" i="38"/>
  <c r="W39" i="38"/>
  <c r="V39" i="38"/>
  <c r="B39" i="38"/>
  <c r="Z38" i="38"/>
  <c r="W38" i="38"/>
  <c r="V38" i="38"/>
  <c r="B38" i="38"/>
  <c r="Z37" i="38"/>
  <c r="W37" i="38"/>
  <c r="V37" i="38"/>
  <c r="B37" i="38"/>
  <c r="Z36" i="38"/>
  <c r="W36" i="38"/>
  <c r="V36" i="38"/>
  <c r="B36" i="38"/>
  <c r="Z35" i="38"/>
  <c r="W35" i="38"/>
  <c r="V35" i="38"/>
  <c r="B35" i="38"/>
  <c r="Z34" i="38"/>
  <c r="W34" i="38"/>
  <c r="V34" i="38"/>
  <c r="B34" i="38"/>
  <c r="Z33" i="38"/>
  <c r="W33" i="38"/>
  <c r="V33" i="38"/>
  <c r="B33" i="38"/>
  <c r="Z32" i="38"/>
  <c r="W32" i="38"/>
  <c r="V32" i="38"/>
  <c r="B32" i="38"/>
  <c r="Z31" i="38"/>
  <c r="W31" i="38"/>
  <c r="V31" i="38"/>
  <c r="B31" i="38"/>
  <c r="Z30" i="38"/>
  <c r="W30" i="38"/>
  <c r="V30" i="38"/>
  <c r="B30" i="38"/>
  <c r="Z29" i="38"/>
  <c r="W29" i="38"/>
  <c r="V29" i="38"/>
  <c r="B29" i="38"/>
  <c r="Z28" i="38"/>
  <c r="W28" i="38"/>
  <c r="V28" i="38"/>
  <c r="B28" i="38"/>
  <c r="Z27" i="38"/>
  <c r="W27" i="38"/>
  <c r="V27" i="38"/>
  <c r="B27" i="38"/>
  <c r="Z26" i="38"/>
  <c r="W26" i="38"/>
  <c r="V26" i="38"/>
  <c r="B26" i="38"/>
  <c r="Z25" i="38"/>
  <c r="W25" i="38"/>
  <c r="V25" i="38"/>
  <c r="B25" i="38"/>
  <c r="Z24" i="38"/>
  <c r="W24" i="38"/>
  <c r="V24" i="38"/>
  <c r="B24" i="38"/>
  <c r="Z23" i="38"/>
  <c r="W23" i="38"/>
  <c r="V23" i="38"/>
  <c r="B23" i="38"/>
  <c r="Z22" i="38"/>
  <c r="W22" i="38"/>
  <c r="V22" i="38"/>
  <c r="B22" i="38"/>
  <c r="Z21" i="38"/>
  <c r="W21" i="38"/>
  <c r="V21" i="38"/>
  <c r="B21" i="38"/>
  <c r="Z20" i="38"/>
  <c r="W20" i="38"/>
  <c r="V20" i="38"/>
  <c r="B20" i="38"/>
  <c r="Z19" i="38"/>
  <c r="W19" i="38"/>
  <c r="V19" i="38"/>
  <c r="B19" i="38"/>
  <c r="Z18" i="38"/>
  <c r="W18" i="38"/>
  <c r="V18" i="38"/>
  <c r="B18" i="38"/>
  <c r="Z17" i="38"/>
  <c r="W17" i="38"/>
  <c r="V17" i="38"/>
  <c r="B17" i="38"/>
  <c r="Z16" i="38"/>
  <c r="W16" i="38"/>
  <c r="V16" i="38"/>
  <c r="B16" i="38"/>
  <c r="Z15" i="38"/>
  <c r="W15" i="38"/>
  <c r="V15" i="38"/>
  <c r="B15" i="38"/>
  <c r="Z14" i="38"/>
  <c r="W14" i="38"/>
  <c r="V14" i="38"/>
  <c r="B14" i="38"/>
  <c r="Z13" i="38"/>
  <c r="W13" i="38"/>
  <c r="V13" i="38"/>
  <c r="B13" i="38"/>
  <c r="Z12" i="38"/>
  <c r="W12" i="38"/>
  <c r="V12" i="38"/>
  <c r="B12" i="38"/>
  <c r="Z11" i="38"/>
  <c r="W11" i="38"/>
  <c r="V11" i="38"/>
  <c r="B11" i="38"/>
  <c r="Z10" i="38"/>
  <c r="W10" i="38"/>
  <c r="V10" i="38"/>
  <c r="B10" i="38"/>
  <c r="Z9" i="38"/>
  <c r="W9" i="38"/>
  <c r="V9" i="38"/>
  <c r="B9" i="38"/>
  <c r="Z8" i="38"/>
  <c r="W8" i="38"/>
  <c r="V8" i="38"/>
  <c r="B8" i="38"/>
  <c r="Z7" i="38"/>
  <c r="W7" i="38"/>
  <c r="V7" i="38"/>
  <c r="E7" i="38"/>
  <c r="F7" i="38" s="1"/>
  <c r="B7" i="38"/>
  <c r="U5" i="38"/>
  <c r="S42" i="23" s="1"/>
  <c r="T5" i="38"/>
  <c r="R42" i="23" s="1"/>
  <c r="S5" i="38"/>
  <c r="Q42" i="23" s="1"/>
  <c r="R5" i="38"/>
  <c r="P42" i="23" s="1"/>
  <c r="Q5" i="38"/>
  <c r="O42" i="23" s="1"/>
  <c r="P5" i="38"/>
  <c r="N42" i="23" s="1"/>
  <c r="O5" i="38"/>
  <c r="M42" i="23" s="1"/>
  <c r="N5" i="38"/>
  <c r="M5" i="38"/>
  <c r="K42" i="23" s="1"/>
  <c r="L5" i="38"/>
  <c r="J42" i="23" s="1"/>
  <c r="K5" i="38"/>
  <c r="I42" i="23" s="1"/>
  <c r="J5" i="38"/>
  <c r="H42" i="23" s="1"/>
  <c r="I5" i="38"/>
  <c r="G42" i="23" s="1"/>
  <c r="H5" i="38"/>
  <c r="F42" i="23" s="1"/>
  <c r="G5" i="38"/>
  <c r="E42" i="23" s="1"/>
  <c r="D5" i="38"/>
  <c r="C5" i="38"/>
  <c r="C42" i="23" s="1"/>
  <c r="Z79" i="37"/>
  <c r="W79" i="37"/>
  <c r="V79" i="37"/>
  <c r="B79" i="37"/>
  <c r="Z78" i="37"/>
  <c r="W78" i="37"/>
  <c r="V78" i="37"/>
  <c r="B78" i="37"/>
  <c r="Z77" i="37"/>
  <c r="W77" i="37"/>
  <c r="V77" i="37"/>
  <c r="B77" i="37"/>
  <c r="Z76" i="37"/>
  <c r="W76" i="37"/>
  <c r="V76" i="37"/>
  <c r="B76" i="37"/>
  <c r="Z75" i="37"/>
  <c r="W75" i="37"/>
  <c r="V75" i="37"/>
  <c r="B75" i="37"/>
  <c r="Z74" i="37"/>
  <c r="W74" i="37"/>
  <c r="V74" i="37"/>
  <c r="B74" i="37"/>
  <c r="Z73" i="37"/>
  <c r="W73" i="37"/>
  <c r="V73" i="37"/>
  <c r="B73" i="37"/>
  <c r="Z72" i="37"/>
  <c r="W72" i="37"/>
  <c r="V72" i="37"/>
  <c r="B72" i="37"/>
  <c r="Z71" i="37"/>
  <c r="W71" i="37"/>
  <c r="V71" i="37"/>
  <c r="B71" i="37"/>
  <c r="Z70" i="37"/>
  <c r="W70" i="37"/>
  <c r="V70" i="37"/>
  <c r="B70" i="37"/>
  <c r="Z69" i="37"/>
  <c r="W69" i="37"/>
  <c r="V69" i="37"/>
  <c r="B69" i="37"/>
  <c r="Z68" i="37"/>
  <c r="W68" i="37"/>
  <c r="V68" i="37"/>
  <c r="B68" i="37"/>
  <c r="Z67" i="37"/>
  <c r="W67" i="37"/>
  <c r="V67" i="37"/>
  <c r="B67" i="37"/>
  <c r="Z66" i="37"/>
  <c r="W66" i="37"/>
  <c r="V66" i="37"/>
  <c r="B66" i="37"/>
  <c r="Z65" i="37"/>
  <c r="W65" i="37"/>
  <c r="V65" i="37"/>
  <c r="B65" i="37"/>
  <c r="Z64" i="37"/>
  <c r="W64" i="37"/>
  <c r="V64" i="37"/>
  <c r="B64" i="37"/>
  <c r="Z63" i="37"/>
  <c r="W63" i="37"/>
  <c r="V63" i="37"/>
  <c r="B63" i="37"/>
  <c r="Z62" i="37"/>
  <c r="W62" i="37"/>
  <c r="V62" i="37"/>
  <c r="B62" i="37"/>
  <c r="Z61" i="37"/>
  <c r="W61" i="37"/>
  <c r="V61" i="37"/>
  <c r="B61" i="37"/>
  <c r="Z60" i="37"/>
  <c r="W60" i="37"/>
  <c r="V60" i="37"/>
  <c r="B60" i="37"/>
  <c r="Z59" i="37"/>
  <c r="W59" i="37"/>
  <c r="V59" i="37"/>
  <c r="B59" i="37"/>
  <c r="Z58" i="37"/>
  <c r="W58" i="37"/>
  <c r="V58" i="37"/>
  <c r="B58" i="37"/>
  <c r="Z57" i="37"/>
  <c r="W57" i="37"/>
  <c r="V57" i="37"/>
  <c r="B57" i="37"/>
  <c r="Z56" i="37"/>
  <c r="W56" i="37"/>
  <c r="V56" i="37"/>
  <c r="B56" i="37"/>
  <c r="Z55" i="37"/>
  <c r="W55" i="37"/>
  <c r="V55" i="37"/>
  <c r="B55" i="37"/>
  <c r="Z54" i="37"/>
  <c r="W54" i="37"/>
  <c r="V54" i="37"/>
  <c r="B54" i="37"/>
  <c r="Z53" i="37"/>
  <c r="W53" i="37"/>
  <c r="V53" i="37"/>
  <c r="B53" i="37"/>
  <c r="Z52" i="37"/>
  <c r="W52" i="37"/>
  <c r="V52" i="37"/>
  <c r="B52" i="37"/>
  <c r="Z51" i="37"/>
  <c r="W51" i="37"/>
  <c r="V51" i="37"/>
  <c r="B51" i="37"/>
  <c r="Z50" i="37"/>
  <c r="W50" i="37"/>
  <c r="V50" i="37"/>
  <c r="B50" i="37"/>
  <c r="Z49" i="37"/>
  <c r="W49" i="37"/>
  <c r="V49" i="37"/>
  <c r="B49" i="37"/>
  <c r="Z48" i="37"/>
  <c r="W48" i="37"/>
  <c r="V48" i="37"/>
  <c r="B48" i="37"/>
  <c r="Z47" i="37"/>
  <c r="W47" i="37"/>
  <c r="V47" i="37"/>
  <c r="B47" i="37"/>
  <c r="Z46" i="37"/>
  <c r="W46" i="37"/>
  <c r="V46" i="37"/>
  <c r="B46" i="37"/>
  <c r="Z45" i="37"/>
  <c r="W45" i="37"/>
  <c r="V45" i="37"/>
  <c r="B45" i="37"/>
  <c r="Z44" i="37"/>
  <c r="W44" i="37"/>
  <c r="V44" i="37"/>
  <c r="B44" i="37"/>
  <c r="Z43" i="37"/>
  <c r="W43" i="37"/>
  <c r="V43" i="37"/>
  <c r="B43" i="37"/>
  <c r="Z42" i="37"/>
  <c r="W42" i="37"/>
  <c r="V42" i="37"/>
  <c r="B42" i="37"/>
  <c r="Z41" i="37"/>
  <c r="W41" i="37"/>
  <c r="V41" i="37"/>
  <c r="B41" i="37"/>
  <c r="Z40" i="37"/>
  <c r="W40" i="37"/>
  <c r="V40" i="37"/>
  <c r="B40" i="37"/>
  <c r="Z39" i="37"/>
  <c r="W39" i="37"/>
  <c r="V39" i="37"/>
  <c r="B39" i="37"/>
  <c r="Z38" i="37"/>
  <c r="W38" i="37"/>
  <c r="V38" i="37"/>
  <c r="B38" i="37"/>
  <c r="Z37" i="37"/>
  <c r="W37" i="37"/>
  <c r="V37" i="37"/>
  <c r="B37" i="37"/>
  <c r="Z36" i="37"/>
  <c r="W36" i="37"/>
  <c r="V36" i="37"/>
  <c r="B36" i="37"/>
  <c r="Z35" i="37"/>
  <c r="W35" i="37"/>
  <c r="V35" i="37"/>
  <c r="B35" i="37"/>
  <c r="Z34" i="37"/>
  <c r="W34" i="37"/>
  <c r="V34" i="37"/>
  <c r="B34" i="37"/>
  <c r="Z33" i="37"/>
  <c r="W33" i="37"/>
  <c r="V33" i="37"/>
  <c r="B33" i="37"/>
  <c r="Z32" i="37"/>
  <c r="W32" i="37"/>
  <c r="V32" i="37"/>
  <c r="B32" i="37"/>
  <c r="Z31" i="37"/>
  <c r="W31" i="37"/>
  <c r="V31" i="37"/>
  <c r="B31" i="37"/>
  <c r="Z30" i="37"/>
  <c r="W30" i="37"/>
  <c r="V30" i="37"/>
  <c r="B30" i="37"/>
  <c r="Z29" i="37"/>
  <c r="W29" i="37"/>
  <c r="V29" i="37"/>
  <c r="B29" i="37"/>
  <c r="Z28" i="37"/>
  <c r="W28" i="37"/>
  <c r="V28" i="37"/>
  <c r="B28" i="37"/>
  <c r="Z27" i="37"/>
  <c r="W27" i="37"/>
  <c r="V27" i="37"/>
  <c r="B27" i="37"/>
  <c r="Z26" i="37"/>
  <c r="W26" i="37"/>
  <c r="V26" i="37"/>
  <c r="B26" i="37"/>
  <c r="Z25" i="37"/>
  <c r="W25" i="37"/>
  <c r="V25" i="37"/>
  <c r="B25" i="37"/>
  <c r="Z24" i="37"/>
  <c r="W24" i="37"/>
  <c r="V24" i="37"/>
  <c r="B24" i="37"/>
  <c r="Z23" i="37"/>
  <c r="W23" i="37"/>
  <c r="V23" i="37"/>
  <c r="B23" i="37"/>
  <c r="Z22" i="37"/>
  <c r="W22" i="37"/>
  <c r="V22" i="37"/>
  <c r="B22" i="37"/>
  <c r="Z21" i="37"/>
  <c r="W21" i="37"/>
  <c r="V21" i="37"/>
  <c r="B21" i="37"/>
  <c r="Z20" i="37"/>
  <c r="W20" i="37"/>
  <c r="V20" i="37"/>
  <c r="B20" i="37"/>
  <c r="Z19" i="37"/>
  <c r="W19" i="37"/>
  <c r="V19" i="37"/>
  <c r="B19" i="37"/>
  <c r="Z18" i="37"/>
  <c r="W18" i="37"/>
  <c r="V18" i="37"/>
  <c r="B18" i="37"/>
  <c r="Z17" i="37"/>
  <c r="W17" i="37"/>
  <c r="V17" i="37"/>
  <c r="B17" i="37"/>
  <c r="Z16" i="37"/>
  <c r="W16" i="37"/>
  <c r="V16" i="37"/>
  <c r="B16" i="37"/>
  <c r="Z15" i="37"/>
  <c r="W15" i="37"/>
  <c r="V15" i="37"/>
  <c r="B15" i="37"/>
  <c r="Z14" i="37"/>
  <c r="W14" i="37"/>
  <c r="V14" i="37"/>
  <c r="B14" i="37"/>
  <c r="Z13" i="37"/>
  <c r="W13" i="37"/>
  <c r="V13" i="37"/>
  <c r="B13" i="37"/>
  <c r="Z12" i="37"/>
  <c r="W12" i="37"/>
  <c r="V12" i="37"/>
  <c r="B12" i="37"/>
  <c r="Z11" i="37"/>
  <c r="W11" i="37"/>
  <c r="V11" i="37"/>
  <c r="B11" i="37"/>
  <c r="Z10" i="37"/>
  <c r="W10" i="37"/>
  <c r="V10" i="37"/>
  <c r="B10" i="37"/>
  <c r="Z9" i="37"/>
  <c r="W9" i="37"/>
  <c r="V9" i="37"/>
  <c r="B9" i="37"/>
  <c r="Z8" i="37"/>
  <c r="W8" i="37"/>
  <c r="V8" i="37"/>
  <c r="B8" i="37"/>
  <c r="Z7" i="37"/>
  <c r="W7" i="37"/>
  <c r="V7" i="37"/>
  <c r="E7" i="37"/>
  <c r="F7" i="37" s="1"/>
  <c r="B7" i="37"/>
  <c r="U5" i="37"/>
  <c r="S39" i="23" s="1"/>
  <c r="T5" i="37"/>
  <c r="R39" i="23" s="1"/>
  <c r="S5" i="37"/>
  <c r="Q39" i="23" s="1"/>
  <c r="R5" i="37"/>
  <c r="Q5" i="37"/>
  <c r="O39" i="23" s="1"/>
  <c r="P5" i="37"/>
  <c r="N39" i="23" s="1"/>
  <c r="O5" i="37"/>
  <c r="M39" i="23" s="1"/>
  <c r="N5" i="37"/>
  <c r="M5" i="37"/>
  <c r="K39" i="23" s="1"/>
  <c r="L5" i="37"/>
  <c r="J39" i="23" s="1"/>
  <c r="K5" i="37"/>
  <c r="I39" i="23" s="1"/>
  <c r="J5" i="37"/>
  <c r="I5" i="37"/>
  <c r="G39" i="23" s="1"/>
  <c r="H5" i="37"/>
  <c r="F39" i="23" s="1"/>
  <c r="G5" i="37"/>
  <c r="E39" i="23" s="1"/>
  <c r="D5" i="37"/>
  <c r="C5" i="37"/>
  <c r="C39" i="23" s="1"/>
  <c r="Z79" i="36"/>
  <c r="W79" i="36"/>
  <c r="V79" i="36"/>
  <c r="B79" i="36"/>
  <c r="Z78" i="36"/>
  <c r="W78" i="36"/>
  <c r="V78" i="36"/>
  <c r="B78" i="36"/>
  <c r="Z77" i="36"/>
  <c r="W77" i="36"/>
  <c r="V77" i="36"/>
  <c r="B77" i="36"/>
  <c r="Z76" i="36"/>
  <c r="W76" i="36"/>
  <c r="V76" i="36"/>
  <c r="B76" i="36"/>
  <c r="Z75" i="36"/>
  <c r="W75" i="36"/>
  <c r="V75" i="36"/>
  <c r="B75" i="36"/>
  <c r="Z74" i="36"/>
  <c r="W74" i="36"/>
  <c r="V74" i="36"/>
  <c r="B74" i="36"/>
  <c r="Z73" i="36"/>
  <c r="W73" i="36"/>
  <c r="V73" i="36"/>
  <c r="B73" i="36"/>
  <c r="Z72" i="36"/>
  <c r="W72" i="36"/>
  <c r="V72" i="36"/>
  <c r="B72" i="36"/>
  <c r="Z71" i="36"/>
  <c r="W71" i="36"/>
  <c r="V71" i="36"/>
  <c r="B71" i="36"/>
  <c r="Z70" i="36"/>
  <c r="W70" i="36"/>
  <c r="V70" i="36"/>
  <c r="B70" i="36"/>
  <c r="Z69" i="36"/>
  <c r="W69" i="36"/>
  <c r="V69" i="36"/>
  <c r="B69" i="36"/>
  <c r="Z68" i="36"/>
  <c r="W68" i="36"/>
  <c r="V68" i="36"/>
  <c r="B68" i="36"/>
  <c r="Z67" i="36"/>
  <c r="W67" i="36"/>
  <c r="V67" i="36"/>
  <c r="B67" i="36"/>
  <c r="Z66" i="36"/>
  <c r="W66" i="36"/>
  <c r="V66" i="36"/>
  <c r="B66" i="36"/>
  <c r="Z65" i="36"/>
  <c r="W65" i="36"/>
  <c r="V65" i="36"/>
  <c r="B65" i="36"/>
  <c r="Z64" i="36"/>
  <c r="W64" i="36"/>
  <c r="V64" i="36"/>
  <c r="B64" i="36"/>
  <c r="Z63" i="36"/>
  <c r="W63" i="36"/>
  <c r="V63" i="36"/>
  <c r="B63" i="36"/>
  <c r="Z62" i="36"/>
  <c r="W62" i="36"/>
  <c r="V62" i="36"/>
  <c r="B62" i="36"/>
  <c r="Z61" i="36"/>
  <c r="W61" i="36"/>
  <c r="V61" i="36"/>
  <c r="B61" i="36"/>
  <c r="Z60" i="36"/>
  <c r="W60" i="36"/>
  <c r="V60" i="36"/>
  <c r="B60" i="36"/>
  <c r="Z59" i="36"/>
  <c r="W59" i="36"/>
  <c r="V59" i="36"/>
  <c r="B59" i="36"/>
  <c r="Z58" i="36"/>
  <c r="W58" i="36"/>
  <c r="V58" i="36"/>
  <c r="B58" i="36"/>
  <c r="Z57" i="36"/>
  <c r="W57" i="36"/>
  <c r="V57" i="36"/>
  <c r="B57" i="36"/>
  <c r="Z56" i="36"/>
  <c r="W56" i="36"/>
  <c r="V56" i="36"/>
  <c r="B56" i="36"/>
  <c r="Z55" i="36"/>
  <c r="W55" i="36"/>
  <c r="V55" i="36"/>
  <c r="B55" i="36"/>
  <c r="Z54" i="36"/>
  <c r="W54" i="36"/>
  <c r="V54" i="36"/>
  <c r="B54" i="36"/>
  <c r="Z53" i="36"/>
  <c r="W53" i="36"/>
  <c r="V53" i="36"/>
  <c r="B53" i="36"/>
  <c r="Z52" i="36"/>
  <c r="W52" i="36"/>
  <c r="V52" i="36"/>
  <c r="B52" i="36"/>
  <c r="Z51" i="36"/>
  <c r="W51" i="36"/>
  <c r="V51" i="36"/>
  <c r="B51" i="36"/>
  <c r="Z50" i="36"/>
  <c r="W50" i="36"/>
  <c r="V50" i="36"/>
  <c r="B50" i="36"/>
  <c r="Z49" i="36"/>
  <c r="W49" i="36"/>
  <c r="V49" i="36"/>
  <c r="B49" i="36"/>
  <c r="Z48" i="36"/>
  <c r="W48" i="36"/>
  <c r="V48" i="36"/>
  <c r="B48" i="36"/>
  <c r="Z47" i="36"/>
  <c r="W47" i="36"/>
  <c r="V47" i="36"/>
  <c r="B47" i="36"/>
  <c r="Z46" i="36"/>
  <c r="W46" i="36"/>
  <c r="V46" i="36"/>
  <c r="B46" i="36"/>
  <c r="Z45" i="36"/>
  <c r="W45" i="36"/>
  <c r="V45" i="36"/>
  <c r="B45" i="36"/>
  <c r="Z44" i="36"/>
  <c r="W44" i="36"/>
  <c r="V44" i="36"/>
  <c r="B44" i="36"/>
  <c r="Z43" i="36"/>
  <c r="W43" i="36"/>
  <c r="V43" i="36"/>
  <c r="B43" i="36"/>
  <c r="Z42" i="36"/>
  <c r="W42" i="36"/>
  <c r="V42" i="36"/>
  <c r="B42" i="36"/>
  <c r="Z41" i="36"/>
  <c r="W41" i="36"/>
  <c r="V41" i="36"/>
  <c r="B41" i="36"/>
  <c r="Z40" i="36"/>
  <c r="W40" i="36"/>
  <c r="V40" i="36"/>
  <c r="B40" i="36"/>
  <c r="Z39" i="36"/>
  <c r="W39" i="36"/>
  <c r="V39" i="36"/>
  <c r="B39" i="36"/>
  <c r="Z38" i="36"/>
  <c r="W38" i="36"/>
  <c r="V38" i="36"/>
  <c r="B38" i="36"/>
  <c r="Z37" i="36"/>
  <c r="W37" i="36"/>
  <c r="V37" i="36"/>
  <c r="B37" i="36"/>
  <c r="Z36" i="36"/>
  <c r="W36" i="36"/>
  <c r="V36" i="36"/>
  <c r="B36" i="36"/>
  <c r="Z35" i="36"/>
  <c r="W35" i="36"/>
  <c r="V35" i="36"/>
  <c r="B35" i="36"/>
  <c r="Z34" i="36"/>
  <c r="W34" i="36"/>
  <c r="V34" i="36"/>
  <c r="B34" i="36"/>
  <c r="Z33" i="36"/>
  <c r="W33" i="36"/>
  <c r="V33" i="36"/>
  <c r="B33" i="36"/>
  <c r="Z32" i="36"/>
  <c r="W32" i="36"/>
  <c r="V32" i="36"/>
  <c r="B32" i="36"/>
  <c r="Z31" i="36"/>
  <c r="W31" i="36"/>
  <c r="V31" i="36"/>
  <c r="B31" i="36"/>
  <c r="Z30" i="36"/>
  <c r="W30" i="36"/>
  <c r="V30" i="36"/>
  <c r="B30" i="36"/>
  <c r="Z29" i="36"/>
  <c r="W29" i="36"/>
  <c r="V29" i="36"/>
  <c r="B29" i="36"/>
  <c r="Z28" i="36"/>
  <c r="W28" i="36"/>
  <c r="V28" i="36"/>
  <c r="B28" i="36"/>
  <c r="Z27" i="36"/>
  <c r="W27" i="36"/>
  <c r="V27" i="36"/>
  <c r="B27" i="36"/>
  <c r="Z26" i="36"/>
  <c r="W26" i="36"/>
  <c r="V26" i="36"/>
  <c r="B26" i="36"/>
  <c r="Z25" i="36"/>
  <c r="W25" i="36"/>
  <c r="V25" i="36"/>
  <c r="B25" i="36"/>
  <c r="Z24" i="36"/>
  <c r="W24" i="36"/>
  <c r="V24" i="36"/>
  <c r="B24" i="36"/>
  <c r="Z23" i="36"/>
  <c r="W23" i="36"/>
  <c r="V23" i="36"/>
  <c r="B23" i="36"/>
  <c r="Z22" i="36"/>
  <c r="W22" i="36"/>
  <c r="V22" i="36"/>
  <c r="B22" i="36"/>
  <c r="Z21" i="36"/>
  <c r="W21" i="36"/>
  <c r="V21" i="36"/>
  <c r="B21" i="36"/>
  <c r="Z20" i="36"/>
  <c r="W20" i="36"/>
  <c r="V20" i="36"/>
  <c r="B20" i="36"/>
  <c r="Z19" i="36"/>
  <c r="W19" i="36"/>
  <c r="V19" i="36"/>
  <c r="B19" i="36"/>
  <c r="Z18" i="36"/>
  <c r="W18" i="36"/>
  <c r="V18" i="36"/>
  <c r="B18" i="36"/>
  <c r="Z17" i="36"/>
  <c r="W17" i="36"/>
  <c r="V17" i="36"/>
  <c r="B17" i="36"/>
  <c r="Z16" i="36"/>
  <c r="W16" i="36"/>
  <c r="V16" i="36"/>
  <c r="B16" i="36"/>
  <c r="Z15" i="36"/>
  <c r="W15" i="36"/>
  <c r="V15" i="36"/>
  <c r="B15" i="36"/>
  <c r="Z14" i="36"/>
  <c r="W14" i="36"/>
  <c r="V14" i="36"/>
  <c r="B14" i="36"/>
  <c r="Z13" i="36"/>
  <c r="W13" i="36"/>
  <c r="V13" i="36"/>
  <c r="B13" i="36"/>
  <c r="Z12" i="36"/>
  <c r="W12" i="36"/>
  <c r="V12" i="36"/>
  <c r="B12" i="36"/>
  <c r="Z11" i="36"/>
  <c r="W11" i="36"/>
  <c r="V11" i="36"/>
  <c r="B11" i="36"/>
  <c r="Z10" i="36"/>
  <c r="W10" i="36"/>
  <c r="V10" i="36"/>
  <c r="B10" i="36"/>
  <c r="Z9" i="36"/>
  <c r="W9" i="36"/>
  <c r="V9" i="36"/>
  <c r="B9" i="36"/>
  <c r="Z8" i="36"/>
  <c r="W8" i="36"/>
  <c r="V8" i="36"/>
  <c r="B8" i="36"/>
  <c r="Z7" i="36"/>
  <c r="W7" i="36"/>
  <c r="V7" i="36"/>
  <c r="E7" i="36"/>
  <c r="F7" i="36" s="1"/>
  <c r="B7" i="36"/>
  <c r="U5" i="36"/>
  <c r="T5" i="36"/>
  <c r="R21" i="23" s="1"/>
  <c r="S5" i="36"/>
  <c r="Q21" i="23" s="1"/>
  <c r="R5" i="36"/>
  <c r="P21" i="23" s="1"/>
  <c r="Q5" i="36"/>
  <c r="O21" i="23" s="1"/>
  <c r="P5" i="36"/>
  <c r="N21" i="23" s="1"/>
  <c r="O5" i="36"/>
  <c r="M21" i="23" s="1"/>
  <c r="N5" i="36"/>
  <c r="L37" i="1" s="1"/>
  <c r="M5" i="36"/>
  <c r="L5" i="36"/>
  <c r="K5" i="36"/>
  <c r="I21" i="23" s="1"/>
  <c r="J5" i="36"/>
  <c r="H21" i="23" s="1"/>
  <c r="I5" i="36"/>
  <c r="G21" i="23" s="1"/>
  <c r="H5" i="36"/>
  <c r="F21" i="23" s="1"/>
  <c r="G5" i="36"/>
  <c r="E21" i="23" s="1"/>
  <c r="D5" i="36"/>
  <c r="C5" i="36"/>
  <c r="Z79" i="35"/>
  <c r="W79" i="35"/>
  <c r="V79" i="35"/>
  <c r="B79" i="35"/>
  <c r="Z78" i="35"/>
  <c r="W78" i="35"/>
  <c r="V78" i="35"/>
  <c r="B78" i="35"/>
  <c r="Z77" i="35"/>
  <c r="W77" i="35"/>
  <c r="V77" i="35"/>
  <c r="B77" i="35"/>
  <c r="Z76" i="35"/>
  <c r="W76" i="35"/>
  <c r="V76" i="35"/>
  <c r="B76" i="35"/>
  <c r="Z75" i="35"/>
  <c r="W75" i="35"/>
  <c r="V75" i="35"/>
  <c r="B75" i="35"/>
  <c r="Z74" i="35"/>
  <c r="W74" i="35"/>
  <c r="V74" i="35"/>
  <c r="B74" i="35"/>
  <c r="Z73" i="35"/>
  <c r="W73" i="35"/>
  <c r="V73" i="35"/>
  <c r="B73" i="35"/>
  <c r="Z72" i="35"/>
  <c r="W72" i="35"/>
  <c r="V72" i="35"/>
  <c r="B72" i="35"/>
  <c r="Z71" i="35"/>
  <c r="W71" i="35"/>
  <c r="V71" i="35"/>
  <c r="B71" i="35"/>
  <c r="Z70" i="35"/>
  <c r="W70" i="35"/>
  <c r="V70" i="35"/>
  <c r="B70" i="35"/>
  <c r="Z69" i="35"/>
  <c r="W69" i="35"/>
  <c r="V69" i="35"/>
  <c r="B69" i="35"/>
  <c r="Z68" i="35"/>
  <c r="W68" i="35"/>
  <c r="V68" i="35"/>
  <c r="B68" i="35"/>
  <c r="Z67" i="35"/>
  <c r="W67" i="35"/>
  <c r="V67" i="35"/>
  <c r="B67" i="35"/>
  <c r="Z66" i="35"/>
  <c r="W66" i="35"/>
  <c r="V66" i="35"/>
  <c r="B66" i="35"/>
  <c r="Z65" i="35"/>
  <c r="W65" i="35"/>
  <c r="V65" i="35"/>
  <c r="B65" i="35"/>
  <c r="Z64" i="35"/>
  <c r="W64" i="35"/>
  <c r="V64" i="35"/>
  <c r="B64" i="35"/>
  <c r="Z63" i="35"/>
  <c r="W63" i="35"/>
  <c r="V63" i="35"/>
  <c r="B63" i="35"/>
  <c r="Z62" i="35"/>
  <c r="W62" i="35"/>
  <c r="V62" i="35"/>
  <c r="B62" i="35"/>
  <c r="Z61" i="35"/>
  <c r="W61" i="35"/>
  <c r="V61" i="35"/>
  <c r="B61" i="35"/>
  <c r="Z60" i="35"/>
  <c r="W60" i="35"/>
  <c r="V60" i="35"/>
  <c r="B60" i="35"/>
  <c r="Z59" i="35"/>
  <c r="W59" i="35"/>
  <c r="V59" i="35"/>
  <c r="B59" i="35"/>
  <c r="Z58" i="35"/>
  <c r="W58" i="35"/>
  <c r="V58" i="35"/>
  <c r="B58" i="35"/>
  <c r="Z57" i="35"/>
  <c r="W57" i="35"/>
  <c r="V57" i="35"/>
  <c r="B57" i="35"/>
  <c r="Z56" i="35"/>
  <c r="W56" i="35"/>
  <c r="V56" i="35"/>
  <c r="B56" i="35"/>
  <c r="Z55" i="35"/>
  <c r="W55" i="35"/>
  <c r="V55" i="35"/>
  <c r="B55" i="35"/>
  <c r="Z54" i="35"/>
  <c r="W54" i="35"/>
  <c r="V54" i="35"/>
  <c r="B54" i="35"/>
  <c r="Z53" i="35"/>
  <c r="W53" i="35"/>
  <c r="V53" i="35"/>
  <c r="B53" i="35"/>
  <c r="Z52" i="35"/>
  <c r="W52" i="35"/>
  <c r="V52" i="35"/>
  <c r="B52" i="35"/>
  <c r="Z51" i="35"/>
  <c r="W51" i="35"/>
  <c r="V51" i="35"/>
  <c r="B51" i="35"/>
  <c r="Z50" i="35"/>
  <c r="W50" i="35"/>
  <c r="V50" i="35"/>
  <c r="B50" i="35"/>
  <c r="Z49" i="35"/>
  <c r="W49" i="35"/>
  <c r="V49" i="35"/>
  <c r="B49" i="35"/>
  <c r="Z48" i="35"/>
  <c r="W48" i="35"/>
  <c r="V48" i="35"/>
  <c r="B48" i="35"/>
  <c r="Z47" i="35"/>
  <c r="W47" i="35"/>
  <c r="V47" i="35"/>
  <c r="B47" i="35"/>
  <c r="Z46" i="35"/>
  <c r="W46" i="35"/>
  <c r="V46" i="35"/>
  <c r="B46" i="35"/>
  <c r="Z45" i="35"/>
  <c r="W45" i="35"/>
  <c r="V45" i="35"/>
  <c r="B45" i="35"/>
  <c r="Z44" i="35"/>
  <c r="W44" i="35"/>
  <c r="V44" i="35"/>
  <c r="B44" i="35"/>
  <c r="Z43" i="35"/>
  <c r="W43" i="35"/>
  <c r="V43" i="35"/>
  <c r="B43" i="35"/>
  <c r="Z42" i="35"/>
  <c r="W42" i="35"/>
  <c r="V42" i="35"/>
  <c r="B42" i="35"/>
  <c r="Z41" i="35"/>
  <c r="W41" i="35"/>
  <c r="V41" i="35"/>
  <c r="B41" i="35"/>
  <c r="Z40" i="35"/>
  <c r="W40" i="35"/>
  <c r="V40" i="35"/>
  <c r="B40" i="35"/>
  <c r="Z39" i="35"/>
  <c r="W39" i="35"/>
  <c r="V39" i="35"/>
  <c r="B39" i="35"/>
  <c r="Z38" i="35"/>
  <c r="W38" i="35"/>
  <c r="V38" i="35"/>
  <c r="B38" i="35"/>
  <c r="Z37" i="35"/>
  <c r="W37" i="35"/>
  <c r="V37" i="35"/>
  <c r="B37" i="35"/>
  <c r="Z36" i="35"/>
  <c r="W36" i="35"/>
  <c r="V36" i="35"/>
  <c r="B36" i="35"/>
  <c r="Z35" i="35"/>
  <c r="W35" i="35"/>
  <c r="V35" i="35"/>
  <c r="B35" i="35"/>
  <c r="Z34" i="35"/>
  <c r="W34" i="35"/>
  <c r="V34" i="35"/>
  <c r="B34" i="35"/>
  <c r="Z33" i="35"/>
  <c r="W33" i="35"/>
  <c r="V33" i="35"/>
  <c r="B33" i="35"/>
  <c r="Z32" i="35"/>
  <c r="W32" i="35"/>
  <c r="V32" i="35"/>
  <c r="B32" i="35"/>
  <c r="Z31" i="35"/>
  <c r="W31" i="35"/>
  <c r="V31" i="35"/>
  <c r="B31" i="35"/>
  <c r="Z30" i="35"/>
  <c r="W30" i="35"/>
  <c r="V30" i="35"/>
  <c r="B30" i="35"/>
  <c r="Z29" i="35"/>
  <c r="W29" i="35"/>
  <c r="V29" i="35"/>
  <c r="B29" i="35"/>
  <c r="Z28" i="35"/>
  <c r="W28" i="35"/>
  <c r="V28" i="35"/>
  <c r="B28" i="35"/>
  <c r="Z27" i="35"/>
  <c r="W27" i="35"/>
  <c r="V27" i="35"/>
  <c r="B27" i="35"/>
  <c r="Z26" i="35"/>
  <c r="W26" i="35"/>
  <c r="V26" i="35"/>
  <c r="B26" i="35"/>
  <c r="Z25" i="35"/>
  <c r="W25" i="35"/>
  <c r="V25" i="35"/>
  <c r="B25" i="35"/>
  <c r="Z24" i="35"/>
  <c r="W24" i="35"/>
  <c r="V24" i="35"/>
  <c r="B24" i="35"/>
  <c r="Z23" i="35"/>
  <c r="W23" i="35"/>
  <c r="V23" i="35"/>
  <c r="B23" i="35"/>
  <c r="Z22" i="35"/>
  <c r="W22" i="35"/>
  <c r="V22" i="35"/>
  <c r="B22" i="35"/>
  <c r="Z21" i="35"/>
  <c r="W21" i="35"/>
  <c r="V21" i="35"/>
  <c r="B21" i="35"/>
  <c r="Z20" i="35"/>
  <c r="W20" i="35"/>
  <c r="V20" i="35"/>
  <c r="B20" i="35"/>
  <c r="Z19" i="35"/>
  <c r="W19" i="35"/>
  <c r="V19" i="35"/>
  <c r="B19" i="35"/>
  <c r="Z18" i="35"/>
  <c r="W18" i="35"/>
  <c r="V18" i="35"/>
  <c r="B18" i="35"/>
  <c r="Z17" i="35"/>
  <c r="W17" i="35"/>
  <c r="V17" i="35"/>
  <c r="B17" i="35"/>
  <c r="Z16" i="35"/>
  <c r="W16" i="35"/>
  <c r="V16" i="35"/>
  <c r="B16" i="35"/>
  <c r="Z15" i="35"/>
  <c r="W15" i="35"/>
  <c r="V15" i="35"/>
  <c r="B15" i="35"/>
  <c r="Z14" i="35"/>
  <c r="W14" i="35"/>
  <c r="V14" i="35"/>
  <c r="B14" i="35"/>
  <c r="Z13" i="35"/>
  <c r="W13" i="35"/>
  <c r="V13" i="35"/>
  <c r="B13" i="35"/>
  <c r="Z12" i="35"/>
  <c r="W12" i="35"/>
  <c r="V12" i="35"/>
  <c r="B12" i="35"/>
  <c r="Z11" i="35"/>
  <c r="W11" i="35"/>
  <c r="V11" i="35"/>
  <c r="B11" i="35"/>
  <c r="Z10" i="35"/>
  <c r="W10" i="35"/>
  <c r="V10" i="35"/>
  <c r="B10" i="35"/>
  <c r="Z9" i="35"/>
  <c r="W9" i="35"/>
  <c r="V9" i="35"/>
  <c r="B9" i="35"/>
  <c r="Z8" i="35"/>
  <c r="W8" i="35"/>
  <c r="V8" i="35"/>
  <c r="B8" i="35"/>
  <c r="Z7" i="35"/>
  <c r="W7" i="35"/>
  <c r="V7" i="35"/>
  <c r="E7" i="35"/>
  <c r="F7" i="35" s="1"/>
  <c r="B7" i="35"/>
  <c r="U5" i="35"/>
  <c r="S33" i="23" s="1"/>
  <c r="T5" i="35"/>
  <c r="S5" i="35"/>
  <c r="R5" i="35"/>
  <c r="Q5" i="35"/>
  <c r="O33" i="23" s="1"/>
  <c r="P5" i="35"/>
  <c r="N33" i="23" s="1"/>
  <c r="O5" i="35"/>
  <c r="M33" i="23" s="1"/>
  <c r="N5" i="35"/>
  <c r="M5" i="35"/>
  <c r="K33" i="23" s="1"/>
  <c r="L5" i="35"/>
  <c r="K5" i="35"/>
  <c r="J5" i="35"/>
  <c r="I5" i="35"/>
  <c r="G33" i="23" s="1"/>
  <c r="H5" i="35"/>
  <c r="F36" i="1" s="1"/>
  <c r="G5" i="35"/>
  <c r="E33" i="23" s="1"/>
  <c r="D5" i="35"/>
  <c r="C5" i="35"/>
  <c r="C33" i="23" s="1"/>
  <c r="Z79" i="34"/>
  <c r="W79" i="34"/>
  <c r="V79" i="34"/>
  <c r="Z78" i="34"/>
  <c r="W78" i="34"/>
  <c r="V78" i="34"/>
  <c r="Z77" i="34"/>
  <c r="W77" i="34"/>
  <c r="V77" i="34"/>
  <c r="Z76" i="34"/>
  <c r="W76" i="34"/>
  <c r="V76" i="34"/>
  <c r="Z75" i="34"/>
  <c r="W75" i="34"/>
  <c r="V75" i="34"/>
  <c r="Z74" i="34"/>
  <c r="W74" i="34"/>
  <c r="V74" i="34"/>
  <c r="Z73" i="34"/>
  <c r="W73" i="34"/>
  <c r="V73" i="34"/>
  <c r="Z72" i="34"/>
  <c r="W72" i="34"/>
  <c r="V72" i="34"/>
  <c r="Z71" i="34"/>
  <c r="W71" i="34"/>
  <c r="V71" i="34"/>
  <c r="Z70" i="34"/>
  <c r="W70" i="34"/>
  <c r="V70" i="34"/>
  <c r="Z69" i="34"/>
  <c r="W69" i="34"/>
  <c r="V69" i="34"/>
  <c r="Z68" i="34"/>
  <c r="W68" i="34"/>
  <c r="V68" i="34"/>
  <c r="Z67" i="34"/>
  <c r="W67" i="34"/>
  <c r="V67" i="34"/>
  <c r="Z66" i="34"/>
  <c r="W66" i="34"/>
  <c r="V66" i="34"/>
  <c r="Z65" i="34"/>
  <c r="W65" i="34"/>
  <c r="V65" i="34"/>
  <c r="Z64" i="34"/>
  <c r="W64" i="34"/>
  <c r="V64" i="34"/>
  <c r="Z63" i="34"/>
  <c r="W63" i="34"/>
  <c r="V63" i="34"/>
  <c r="Z62" i="34"/>
  <c r="W62" i="34"/>
  <c r="V62" i="34"/>
  <c r="Z61" i="34"/>
  <c r="W61" i="34"/>
  <c r="V61" i="34"/>
  <c r="Z60" i="34"/>
  <c r="W60" i="34"/>
  <c r="V60" i="34"/>
  <c r="Z59" i="34"/>
  <c r="W59" i="34"/>
  <c r="V59" i="34"/>
  <c r="Z58" i="34"/>
  <c r="W58" i="34"/>
  <c r="V58" i="34"/>
  <c r="Z57" i="34"/>
  <c r="W57" i="34"/>
  <c r="V57" i="34"/>
  <c r="Z56" i="34"/>
  <c r="W56" i="34"/>
  <c r="V56" i="34"/>
  <c r="Z55" i="34"/>
  <c r="W55" i="34"/>
  <c r="V55" i="34"/>
  <c r="Z54" i="34"/>
  <c r="W54" i="34"/>
  <c r="V54" i="34"/>
  <c r="Z53" i="34"/>
  <c r="W53" i="34"/>
  <c r="V53" i="34"/>
  <c r="Z52" i="34"/>
  <c r="W52" i="34"/>
  <c r="V52" i="34"/>
  <c r="Z51" i="34"/>
  <c r="W51" i="34"/>
  <c r="V51" i="34"/>
  <c r="Z50" i="34"/>
  <c r="W50" i="34"/>
  <c r="V50" i="34"/>
  <c r="Z49" i="34"/>
  <c r="W49" i="34"/>
  <c r="V49" i="34"/>
  <c r="Z48" i="34"/>
  <c r="W48" i="34"/>
  <c r="V48" i="34"/>
  <c r="Z47" i="34"/>
  <c r="W47" i="34"/>
  <c r="V47" i="34"/>
  <c r="Z46" i="34"/>
  <c r="W46" i="34"/>
  <c r="V46" i="34"/>
  <c r="Z45" i="34"/>
  <c r="W45" i="34"/>
  <c r="V45" i="34"/>
  <c r="Z44" i="34"/>
  <c r="W44" i="34"/>
  <c r="V44" i="34"/>
  <c r="Z43" i="34"/>
  <c r="W43" i="34"/>
  <c r="V43" i="34"/>
  <c r="Z42" i="34"/>
  <c r="W42" i="34"/>
  <c r="V42" i="34"/>
  <c r="Z41" i="34"/>
  <c r="W41" i="34"/>
  <c r="V41" i="34"/>
  <c r="Z40" i="34"/>
  <c r="W40" i="34"/>
  <c r="V40" i="34"/>
  <c r="Z39" i="34"/>
  <c r="W39" i="34"/>
  <c r="V39" i="34"/>
  <c r="Z38" i="34"/>
  <c r="W38" i="34"/>
  <c r="V38" i="34"/>
  <c r="Z37" i="34"/>
  <c r="W37" i="34"/>
  <c r="V37" i="34"/>
  <c r="Z36" i="34"/>
  <c r="W36" i="34"/>
  <c r="V36" i="34"/>
  <c r="Z35" i="34"/>
  <c r="W35" i="34"/>
  <c r="V35" i="34"/>
  <c r="Z34" i="34"/>
  <c r="W34" i="34"/>
  <c r="V34" i="34"/>
  <c r="Z33" i="34"/>
  <c r="W33" i="34"/>
  <c r="V33" i="34"/>
  <c r="Z32" i="34"/>
  <c r="W32" i="34"/>
  <c r="V32" i="34"/>
  <c r="Z31" i="34"/>
  <c r="W31" i="34"/>
  <c r="V31" i="34"/>
  <c r="Z30" i="34"/>
  <c r="W30" i="34"/>
  <c r="V30" i="34"/>
  <c r="Z29" i="34"/>
  <c r="W29" i="34"/>
  <c r="V29" i="34"/>
  <c r="Z28" i="34"/>
  <c r="W28" i="34"/>
  <c r="V28" i="34"/>
  <c r="Z27" i="34"/>
  <c r="W27" i="34"/>
  <c r="V27" i="34"/>
  <c r="Z26" i="34"/>
  <c r="W26" i="34"/>
  <c r="V26" i="34"/>
  <c r="Z25" i="34"/>
  <c r="W25" i="34"/>
  <c r="V25" i="34"/>
  <c r="Z24" i="34"/>
  <c r="W24" i="34"/>
  <c r="V24" i="34"/>
  <c r="Z23" i="34"/>
  <c r="W23" i="34"/>
  <c r="V23" i="34"/>
  <c r="Z22" i="34"/>
  <c r="W22" i="34"/>
  <c r="V22" i="34"/>
  <c r="Z21" i="34"/>
  <c r="W21" i="34"/>
  <c r="V21" i="34"/>
  <c r="Z20" i="34"/>
  <c r="W20" i="34"/>
  <c r="V20" i="34"/>
  <c r="Z19" i="34"/>
  <c r="W19" i="34"/>
  <c r="V19" i="34"/>
  <c r="Z18" i="34"/>
  <c r="W18" i="34"/>
  <c r="V18" i="34"/>
  <c r="Z17" i="34"/>
  <c r="W17" i="34"/>
  <c r="V17" i="34"/>
  <c r="Z16" i="34"/>
  <c r="W16" i="34"/>
  <c r="V16" i="34"/>
  <c r="Z15" i="34"/>
  <c r="W15" i="34"/>
  <c r="V15" i="34"/>
  <c r="Z14" i="34"/>
  <c r="W14" i="34"/>
  <c r="V14" i="34"/>
  <c r="Z13" i="34"/>
  <c r="W13" i="34"/>
  <c r="V13" i="34"/>
  <c r="Z12" i="34"/>
  <c r="W12" i="34"/>
  <c r="V12" i="34"/>
  <c r="Z11" i="34"/>
  <c r="W11" i="34"/>
  <c r="V11" i="34"/>
  <c r="Z10" i="34"/>
  <c r="W10" i="34"/>
  <c r="V10" i="34"/>
  <c r="Z9" i="34"/>
  <c r="W9" i="34"/>
  <c r="V9" i="34"/>
  <c r="Z8" i="34"/>
  <c r="W8" i="34"/>
  <c r="V8" i="34"/>
  <c r="Z7" i="34"/>
  <c r="W7" i="34"/>
  <c r="V7" i="34"/>
  <c r="B79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B57" i="34"/>
  <c r="B56" i="34"/>
  <c r="B55" i="34"/>
  <c r="B54" i="34"/>
  <c r="B53" i="34"/>
  <c r="B52" i="34"/>
  <c r="B51" i="34"/>
  <c r="B50" i="34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E7" i="34"/>
  <c r="F7" i="34" s="1"/>
  <c r="B7" i="34"/>
  <c r="U5" i="34"/>
  <c r="T5" i="34"/>
  <c r="R36" i="23" s="1"/>
  <c r="S5" i="34"/>
  <c r="R5" i="34"/>
  <c r="Q5" i="34"/>
  <c r="P5" i="34"/>
  <c r="N36" i="23" s="1"/>
  <c r="O5" i="34"/>
  <c r="M36" i="23" s="1"/>
  <c r="N5" i="34"/>
  <c r="M5" i="34"/>
  <c r="L5" i="34"/>
  <c r="J36" i="23" s="1"/>
  <c r="K5" i="34"/>
  <c r="J5" i="34"/>
  <c r="I5" i="34"/>
  <c r="H5" i="34"/>
  <c r="F36" i="23" s="1"/>
  <c r="G5" i="34"/>
  <c r="D5" i="34"/>
  <c r="C5" i="34"/>
  <c r="C36" i="23" s="1"/>
  <c r="Z79" i="33"/>
  <c r="W79" i="33"/>
  <c r="V79" i="33"/>
  <c r="Z78" i="33"/>
  <c r="W78" i="33"/>
  <c r="V78" i="33"/>
  <c r="Z77" i="33"/>
  <c r="W77" i="33"/>
  <c r="V77" i="33"/>
  <c r="Z76" i="33"/>
  <c r="W76" i="33"/>
  <c r="V76" i="33"/>
  <c r="Z75" i="33"/>
  <c r="W75" i="33"/>
  <c r="V75" i="33"/>
  <c r="Z74" i="33"/>
  <c r="W74" i="33"/>
  <c r="V74" i="33"/>
  <c r="Z73" i="33"/>
  <c r="W73" i="33"/>
  <c r="V73" i="33"/>
  <c r="Z72" i="33"/>
  <c r="W72" i="33"/>
  <c r="V72" i="33"/>
  <c r="Z71" i="33"/>
  <c r="W71" i="33"/>
  <c r="V71" i="33"/>
  <c r="Z70" i="33"/>
  <c r="W70" i="33"/>
  <c r="V70" i="33"/>
  <c r="Z69" i="33"/>
  <c r="W69" i="33"/>
  <c r="V69" i="33"/>
  <c r="Z68" i="33"/>
  <c r="W68" i="33"/>
  <c r="V68" i="33"/>
  <c r="Z67" i="33"/>
  <c r="W67" i="33"/>
  <c r="V67" i="33"/>
  <c r="Z66" i="33"/>
  <c r="W66" i="33"/>
  <c r="V66" i="33"/>
  <c r="Z65" i="33"/>
  <c r="W65" i="33"/>
  <c r="V65" i="33"/>
  <c r="Z64" i="33"/>
  <c r="W64" i="33"/>
  <c r="V64" i="33"/>
  <c r="Z63" i="33"/>
  <c r="W63" i="33"/>
  <c r="V63" i="33"/>
  <c r="Z62" i="33"/>
  <c r="W62" i="33"/>
  <c r="V62" i="33"/>
  <c r="Z61" i="33"/>
  <c r="W61" i="33"/>
  <c r="V61" i="33"/>
  <c r="Z60" i="33"/>
  <c r="W60" i="33"/>
  <c r="V60" i="33"/>
  <c r="Z59" i="33"/>
  <c r="W59" i="33"/>
  <c r="V59" i="33"/>
  <c r="Z58" i="33"/>
  <c r="W58" i="33"/>
  <c r="V58" i="33"/>
  <c r="Z57" i="33"/>
  <c r="W57" i="33"/>
  <c r="V57" i="33"/>
  <c r="Z56" i="33"/>
  <c r="W56" i="33"/>
  <c r="V56" i="33"/>
  <c r="Z55" i="33"/>
  <c r="W55" i="33"/>
  <c r="V55" i="33"/>
  <c r="Z54" i="33"/>
  <c r="W54" i="33"/>
  <c r="V54" i="33"/>
  <c r="Z53" i="33"/>
  <c r="W53" i="33"/>
  <c r="V53" i="33"/>
  <c r="Z52" i="33"/>
  <c r="W52" i="33"/>
  <c r="V52" i="33"/>
  <c r="Z51" i="33"/>
  <c r="W51" i="33"/>
  <c r="V51" i="33"/>
  <c r="Z50" i="33"/>
  <c r="W50" i="33"/>
  <c r="V50" i="33"/>
  <c r="Z49" i="33"/>
  <c r="W49" i="33"/>
  <c r="V49" i="33"/>
  <c r="Z48" i="33"/>
  <c r="W48" i="33"/>
  <c r="V48" i="33"/>
  <c r="Z47" i="33"/>
  <c r="W47" i="33"/>
  <c r="V47" i="33"/>
  <c r="Z46" i="33"/>
  <c r="W46" i="33"/>
  <c r="V46" i="33"/>
  <c r="Z45" i="33"/>
  <c r="W45" i="33"/>
  <c r="V45" i="33"/>
  <c r="Z44" i="33"/>
  <c r="W44" i="33"/>
  <c r="V44" i="33"/>
  <c r="Z43" i="33"/>
  <c r="W43" i="33"/>
  <c r="V43" i="33"/>
  <c r="Z42" i="33"/>
  <c r="W42" i="33"/>
  <c r="V42" i="33"/>
  <c r="Z41" i="33"/>
  <c r="W41" i="33"/>
  <c r="V41" i="33"/>
  <c r="Z40" i="33"/>
  <c r="W40" i="33"/>
  <c r="V40" i="33"/>
  <c r="Z39" i="33"/>
  <c r="W39" i="33"/>
  <c r="V39" i="33"/>
  <c r="Z38" i="33"/>
  <c r="W38" i="33"/>
  <c r="V38" i="33"/>
  <c r="Z37" i="33"/>
  <c r="W37" i="33"/>
  <c r="V37" i="33"/>
  <c r="Z36" i="33"/>
  <c r="W36" i="33"/>
  <c r="V36" i="33"/>
  <c r="Z35" i="33"/>
  <c r="W35" i="33"/>
  <c r="V35" i="33"/>
  <c r="Z34" i="33"/>
  <c r="W34" i="33"/>
  <c r="V34" i="33"/>
  <c r="Z33" i="33"/>
  <c r="W33" i="33"/>
  <c r="V33" i="33"/>
  <c r="Z32" i="33"/>
  <c r="W32" i="33"/>
  <c r="V32" i="33"/>
  <c r="Z31" i="33"/>
  <c r="W31" i="33"/>
  <c r="V31" i="33"/>
  <c r="Z30" i="33"/>
  <c r="W30" i="33"/>
  <c r="V30" i="33"/>
  <c r="Z29" i="33"/>
  <c r="W29" i="33"/>
  <c r="V29" i="33"/>
  <c r="Z28" i="33"/>
  <c r="W28" i="33"/>
  <c r="V28" i="33"/>
  <c r="Z27" i="33"/>
  <c r="W27" i="33"/>
  <c r="V27" i="33"/>
  <c r="Z26" i="33"/>
  <c r="W26" i="33"/>
  <c r="V26" i="33"/>
  <c r="Z25" i="33"/>
  <c r="W25" i="33"/>
  <c r="V25" i="33"/>
  <c r="Z24" i="33"/>
  <c r="W24" i="33"/>
  <c r="V24" i="33"/>
  <c r="Z23" i="33"/>
  <c r="W23" i="33"/>
  <c r="V23" i="33"/>
  <c r="Z22" i="33"/>
  <c r="W22" i="33"/>
  <c r="V22" i="33"/>
  <c r="Z21" i="33"/>
  <c r="W21" i="33"/>
  <c r="V21" i="33"/>
  <c r="Z20" i="33"/>
  <c r="W20" i="33"/>
  <c r="V20" i="33"/>
  <c r="Z19" i="33"/>
  <c r="W19" i="33"/>
  <c r="V19" i="33"/>
  <c r="Z18" i="33"/>
  <c r="W18" i="33"/>
  <c r="V18" i="33"/>
  <c r="Z17" i="33"/>
  <c r="W17" i="33"/>
  <c r="V17" i="33"/>
  <c r="Z16" i="33"/>
  <c r="W16" i="33"/>
  <c r="V16" i="33"/>
  <c r="Z15" i="33"/>
  <c r="W15" i="33"/>
  <c r="V15" i="33"/>
  <c r="Z14" i="33"/>
  <c r="W14" i="33"/>
  <c r="V14" i="33"/>
  <c r="Z13" i="33"/>
  <c r="W13" i="33"/>
  <c r="V13" i="33"/>
  <c r="Z12" i="33"/>
  <c r="W12" i="33"/>
  <c r="V12" i="33"/>
  <c r="Z11" i="33"/>
  <c r="W11" i="33"/>
  <c r="V11" i="33"/>
  <c r="Z10" i="33"/>
  <c r="W10" i="33"/>
  <c r="V10" i="33"/>
  <c r="Z9" i="33"/>
  <c r="W9" i="33"/>
  <c r="V9" i="33"/>
  <c r="Z8" i="33"/>
  <c r="W8" i="33"/>
  <c r="V8" i="33"/>
  <c r="Z7" i="33"/>
  <c r="W7" i="33"/>
  <c r="V7" i="33"/>
  <c r="B79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9" i="33"/>
  <c r="B8" i="33"/>
  <c r="E7" i="33"/>
  <c r="F7" i="33" s="1"/>
  <c r="B7" i="33"/>
  <c r="U5" i="33"/>
  <c r="T5" i="33"/>
  <c r="S5" i="33"/>
  <c r="R5" i="33"/>
  <c r="P34" i="1" s="1"/>
  <c r="Q5" i="33"/>
  <c r="P5" i="33"/>
  <c r="N34" i="23" s="1"/>
  <c r="O5" i="33"/>
  <c r="N5" i="33"/>
  <c r="L34" i="23" s="1"/>
  <c r="M5" i="33"/>
  <c r="L5" i="33"/>
  <c r="K5" i="33"/>
  <c r="J5" i="33"/>
  <c r="I5" i="33"/>
  <c r="H5" i="33"/>
  <c r="G5" i="33"/>
  <c r="D5" i="33"/>
  <c r="D34" i="23" s="1"/>
  <c r="C5" i="33"/>
  <c r="Y8" i="35" l="1"/>
  <c r="Y14" i="35"/>
  <c r="Y18" i="35"/>
  <c r="Y26" i="35"/>
  <c r="AE21" i="44" s="1"/>
  <c r="Y10" i="35"/>
  <c r="AE5" i="44" s="1"/>
  <c r="Y12" i="35"/>
  <c r="AE7" i="44" s="1"/>
  <c r="Y16" i="35"/>
  <c r="X16" i="35" s="1"/>
  <c r="Y20" i="35"/>
  <c r="AE15" i="44" s="1"/>
  <c r="Y22" i="35"/>
  <c r="Y24" i="35"/>
  <c r="Y70" i="39"/>
  <c r="Y23" i="35"/>
  <c r="Y45" i="35"/>
  <c r="AE40" i="44" s="1"/>
  <c r="Y65" i="35"/>
  <c r="X65" i="35" s="1"/>
  <c r="Y11" i="35"/>
  <c r="AE6" i="44" s="1"/>
  <c r="Y19" i="35"/>
  <c r="AE14" i="44" s="1"/>
  <c r="Y29" i="35"/>
  <c r="AE24" i="44" s="1"/>
  <c r="Y35" i="35"/>
  <c r="Y39" i="35"/>
  <c r="Y47" i="35"/>
  <c r="Y53" i="35"/>
  <c r="AE48" i="44" s="1"/>
  <c r="Y59" i="35"/>
  <c r="AE54" i="44" s="1"/>
  <c r="Y67" i="35"/>
  <c r="AE62" i="44" s="1"/>
  <c r="Y9" i="35"/>
  <c r="AE4" i="44" s="1"/>
  <c r="Y15" i="35"/>
  <c r="Y21" i="35"/>
  <c r="AE16" i="44" s="1"/>
  <c r="Y27" i="35"/>
  <c r="Y33" i="35"/>
  <c r="Y43" i="35"/>
  <c r="Y51" i="35"/>
  <c r="X51" i="35" s="1"/>
  <c r="Y63" i="35"/>
  <c r="AE58" i="44" s="1"/>
  <c r="Y7" i="35"/>
  <c r="AE2" i="44" s="1"/>
  <c r="AE2" i="45" s="1"/>
  <c r="Y13" i="35"/>
  <c r="AE8" i="44" s="1"/>
  <c r="Y17" i="35"/>
  <c r="Y25" i="35"/>
  <c r="Y31" i="35"/>
  <c r="Y37" i="35"/>
  <c r="AE32" i="44" s="1"/>
  <c r="Y41" i="35"/>
  <c r="AE36" i="44" s="1"/>
  <c r="Y49" i="35"/>
  <c r="AE44" i="44" s="1"/>
  <c r="Y55" i="35"/>
  <c r="X55" i="35" s="1"/>
  <c r="Y57" i="35"/>
  <c r="Y61" i="35"/>
  <c r="AE56" i="44" s="1"/>
  <c r="Y69" i="35"/>
  <c r="AE64" i="44" s="1"/>
  <c r="E8" i="42"/>
  <c r="F8" i="42" s="1"/>
  <c r="F7" i="41"/>
  <c r="V5" i="41"/>
  <c r="T41" i="23" s="1"/>
  <c r="E8" i="40"/>
  <c r="F8" i="40" s="1"/>
  <c r="Y14" i="39"/>
  <c r="AK9" i="44" s="1"/>
  <c r="Y22" i="39"/>
  <c r="Y30" i="39"/>
  <c r="AK25" i="44" s="1"/>
  <c r="Y38" i="39"/>
  <c r="AK33" i="44" s="1"/>
  <c r="Y46" i="39"/>
  <c r="AK41" i="44" s="1"/>
  <c r="Y54" i="39"/>
  <c r="X54" i="39" s="1"/>
  <c r="Y62" i="39"/>
  <c r="AK57" i="44" s="1"/>
  <c r="E8" i="34"/>
  <c r="F8" i="34" s="1"/>
  <c r="Y9" i="34"/>
  <c r="X9" i="34" s="1"/>
  <c r="Y17" i="34"/>
  <c r="P44" i="1"/>
  <c r="N44" i="1"/>
  <c r="F44" i="1"/>
  <c r="S43" i="1"/>
  <c r="H43" i="1"/>
  <c r="E9" i="42"/>
  <c r="E10" i="42" s="1"/>
  <c r="E11" i="42" s="1"/>
  <c r="J42" i="1"/>
  <c r="C42" i="1"/>
  <c r="F41" i="23"/>
  <c r="S42" i="1"/>
  <c r="K41" i="1"/>
  <c r="M40" i="1"/>
  <c r="D40" i="1"/>
  <c r="H38" i="23"/>
  <c r="Y78" i="39"/>
  <c r="AK73" i="44" s="1"/>
  <c r="E8" i="39"/>
  <c r="F8" i="39" s="1"/>
  <c r="O39" i="1"/>
  <c r="F39" i="1"/>
  <c r="Q38" i="1"/>
  <c r="G38" i="1"/>
  <c r="I37" i="1"/>
  <c r="K36" i="1"/>
  <c r="W5" i="34"/>
  <c r="U36" i="23" s="1"/>
  <c r="Y25" i="34"/>
  <c r="X25" i="34" s="1"/>
  <c r="Y33" i="34"/>
  <c r="X33" i="34" s="1"/>
  <c r="Y41" i="34"/>
  <c r="Y49" i="34"/>
  <c r="X49" i="34" s="1"/>
  <c r="Y57" i="34"/>
  <c r="X57" i="34" s="1"/>
  <c r="Y65" i="34"/>
  <c r="X65" i="34" s="1"/>
  <c r="Y73" i="34"/>
  <c r="X73" i="34" s="1"/>
  <c r="D34" i="1"/>
  <c r="O36" i="23"/>
  <c r="O35" i="1"/>
  <c r="Y9" i="33"/>
  <c r="Y33" i="33"/>
  <c r="X33" i="33" s="1"/>
  <c r="Y73" i="33"/>
  <c r="X73" i="33" s="1"/>
  <c r="H36" i="23"/>
  <c r="H35" i="1"/>
  <c r="I33" i="23"/>
  <c r="I36" i="1"/>
  <c r="S21" i="23"/>
  <c r="S37" i="1"/>
  <c r="I35" i="23"/>
  <c r="I44" i="1"/>
  <c r="C34" i="23"/>
  <c r="C34" i="1"/>
  <c r="S34" i="23"/>
  <c r="S34" i="1"/>
  <c r="Y40" i="33"/>
  <c r="AH35" i="44" s="1"/>
  <c r="Y48" i="33"/>
  <c r="Y56" i="33"/>
  <c r="AH51" i="44" s="1"/>
  <c r="Y64" i="33"/>
  <c r="AH59" i="44" s="1"/>
  <c r="D39" i="1"/>
  <c r="D42" i="23"/>
  <c r="N38" i="23"/>
  <c r="N40" i="1"/>
  <c r="R37" i="1"/>
  <c r="H36" i="1"/>
  <c r="H33" i="23"/>
  <c r="P33" i="23"/>
  <c r="P36" i="1"/>
  <c r="J21" i="23"/>
  <c r="J37" i="1"/>
  <c r="D39" i="23"/>
  <c r="D38" i="1"/>
  <c r="L39" i="23"/>
  <c r="L38" i="1"/>
  <c r="N34" i="1"/>
  <c r="Y41" i="33"/>
  <c r="AH36" i="44" s="1"/>
  <c r="K21" i="23"/>
  <c r="K37" i="1"/>
  <c r="I37" i="23"/>
  <c r="I43" i="1"/>
  <c r="I36" i="23"/>
  <c r="I35" i="1"/>
  <c r="F34" i="23"/>
  <c r="F34" i="1"/>
  <c r="Y25" i="33"/>
  <c r="X25" i="33" s="1"/>
  <c r="Y49" i="33"/>
  <c r="X49" i="33" s="1"/>
  <c r="P36" i="23"/>
  <c r="P35" i="1"/>
  <c r="C21" i="23"/>
  <c r="C37" i="1"/>
  <c r="Q35" i="23"/>
  <c r="Q44" i="1"/>
  <c r="G34" i="23"/>
  <c r="G34" i="1"/>
  <c r="Q36" i="23"/>
  <c r="Q35" i="1"/>
  <c r="J33" i="23"/>
  <c r="J36" i="1"/>
  <c r="R33" i="23"/>
  <c r="R36" i="1"/>
  <c r="M34" i="23"/>
  <c r="M34" i="1"/>
  <c r="Y57" i="33"/>
  <c r="AH52" i="44" s="1"/>
  <c r="Q34" i="23"/>
  <c r="Q34" i="1"/>
  <c r="K36" i="23"/>
  <c r="K35" i="1"/>
  <c r="D33" i="23"/>
  <c r="D36" i="1"/>
  <c r="L33" i="23"/>
  <c r="L36" i="1"/>
  <c r="Y28" i="35"/>
  <c r="AE23" i="44" s="1"/>
  <c r="Y30" i="35"/>
  <c r="Y32" i="35"/>
  <c r="X32" i="35" s="1"/>
  <c r="Y34" i="35"/>
  <c r="AE29" i="44" s="1"/>
  <c r="Y36" i="35"/>
  <c r="X36" i="35" s="1"/>
  <c r="Y38" i="35"/>
  <c r="AE33" i="44" s="1"/>
  <c r="Y40" i="35"/>
  <c r="AE35" i="44" s="1"/>
  <c r="Y42" i="35"/>
  <c r="AE37" i="44" s="1"/>
  <c r="Q43" i="1"/>
  <c r="E34" i="23"/>
  <c r="E34" i="1"/>
  <c r="Y17" i="33"/>
  <c r="X17" i="33" s="1"/>
  <c r="Y65" i="33"/>
  <c r="AH60" i="44" s="1"/>
  <c r="J34" i="23"/>
  <c r="J34" i="1"/>
  <c r="R34" i="23"/>
  <c r="R34" i="1"/>
  <c r="D35" i="1"/>
  <c r="D36" i="23"/>
  <c r="L36" i="23"/>
  <c r="L35" i="1"/>
  <c r="M35" i="1"/>
  <c r="G36" i="23"/>
  <c r="G35" i="1"/>
  <c r="Q33" i="23"/>
  <c r="Q36" i="1"/>
  <c r="O34" i="23"/>
  <c r="O34" i="1"/>
  <c r="I34" i="23"/>
  <c r="I34" i="1"/>
  <c r="S36" i="23"/>
  <c r="S35" i="1"/>
  <c r="K34" i="23"/>
  <c r="K34" i="1"/>
  <c r="Y32" i="33"/>
  <c r="AH27" i="44" s="1"/>
  <c r="Y72" i="33"/>
  <c r="X72" i="33" s="1"/>
  <c r="E36" i="23"/>
  <c r="E35" i="1"/>
  <c r="L39" i="1"/>
  <c r="L42" i="23"/>
  <c r="F38" i="23"/>
  <c r="F40" i="1"/>
  <c r="G40" i="23"/>
  <c r="G41" i="1"/>
  <c r="O40" i="23"/>
  <c r="O41" i="1"/>
  <c r="G41" i="23"/>
  <c r="G42" i="1"/>
  <c r="O41" i="23"/>
  <c r="O42" i="1"/>
  <c r="C35" i="1"/>
  <c r="E8" i="37"/>
  <c r="E9" i="37" s="1"/>
  <c r="J43" i="1"/>
  <c r="L42" i="1"/>
  <c r="N41" i="1"/>
  <c r="E41" i="1"/>
  <c r="O40" i="1"/>
  <c r="Q39" i="1"/>
  <c r="H39" i="1"/>
  <c r="S38" i="1"/>
  <c r="J38" i="1"/>
  <c r="M36" i="1"/>
  <c r="F35" i="1"/>
  <c r="Y11" i="33"/>
  <c r="AH6" i="44" s="1"/>
  <c r="Y19" i="33"/>
  <c r="X19" i="33" s="1"/>
  <c r="Y27" i="33"/>
  <c r="Y35" i="33"/>
  <c r="X35" i="33" s="1"/>
  <c r="Y43" i="33"/>
  <c r="X43" i="33" s="1"/>
  <c r="Y51" i="33"/>
  <c r="X51" i="33" s="1"/>
  <c r="Y59" i="33"/>
  <c r="X59" i="33" s="1"/>
  <c r="Y67" i="33"/>
  <c r="X67" i="33" s="1"/>
  <c r="Y75" i="33"/>
  <c r="X75" i="33" s="1"/>
  <c r="Y14" i="34"/>
  <c r="AI9" i="44" s="1"/>
  <c r="Y22" i="34"/>
  <c r="AI17" i="44" s="1"/>
  <c r="Y30" i="34"/>
  <c r="AI25" i="44" s="1"/>
  <c r="Y38" i="34"/>
  <c r="AI33" i="44" s="1"/>
  <c r="Y46" i="34"/>
  <c r="X46" i="34" s="1"/>
  <c r="Y54" i="34"/>
  <c r="X54" i="34" s="1"/>
  <c r="Y62" i="34"/>
  <c r="AI57" i="44" s="1"/>
  <c r="Y70" i="34"/>
  <c r="AI65" i="44" s="1"/>
  <c r="Y78" i="34"/>
  <c r="AI73" i="44" s="1"/>
  <c r="R43" i="1"/>
  <c r="K42" i="1"/>
  <c r="M41" i="1"/>
  <c r="C41" i="1"/>
  <c r="E40" i="1"/>
  <c r="P39" i="1"/>
  <c r="G39" i="1"/>
  <c r="R38" i="1"/>
  <c r="I38" i="1"/>
  <c r="C36" i="1"/>
  <c r="N35" i="1"/>
  <c r="O44" i="1"/>
  <c r="E44" i="1"/>
  <c r="P34" i="23"/>
  <c r="L21" i="23"/>
  <c r="H41" i="23"/>
  <c r="W5" i="37"/>
  <c r="Y9" i="39"/>
  <c r="X9" i="39" s="1"/>
  <c r="W5" i="39"/>
  <c r="Y17" i="39"/>
  <c r="X17" i="39" s="1"/>
  <c r="Y25" i="39"/>
  <c r="X25" i="39" s="1"/>
  <c r="Y33" i="39"/>
  <c r="X33" i="39" s="1"/>
  <c r="Y41" i="39"/>
  <c r="X41" i="39" s="1"/>
  <c r="Y49" i="39"/>
  <c r="Y57" i="39"/>
  <c r="X57" i="39" s="1"/>
  <c r="Y65" i="39"/>
  <c r="X65" i="39" s="1"/>
  <c r="Y73" i="39"/>
  <c r="X73" i="39" s="1"/>
  <c r="P41" i="23"/>
  <c r="P42" i="1"/>
  <c r="P43" i="1"/>
  <c r="G43" i="1"/>
  <c r="R42" i="1"/>
  <c r="I42" i="1"/>
  <c r="S41" i="1"/>
  <c r="J41" i="1"/>
  <c r="L40" i="1"/>
  <c r="C40" i="1"/>
  <c r="N39" i="1"/>
  <c r="E39" i="1"/>
  <c r="O38" i="1"/>
  <c r="F38" i="1"/>
  <c r="Q37" i="1"/>
  <c r="H37" i="1"/>
  <c r="S36" i="1"/>
  <c r="M44" i="1"/>
  <c r="E9" i="41"/>
  <c r="C35" i="23"/>
  <c r="C44" i="1"/>
  <c r="K35" i="23"/>
  <c r="K44" i="1"/>
  <c r="S35" i="23"/>
  <c r="S44" i="1"/>
  <c r="O43" i="1"/>
  <c r="F43" i="1"/>
  <c r="Q42" i="1"/>
  <c r="R41" i="1"/>
  <c r="I41" i="1"/>
  <c r="K40" i="1"/>
  <c r="M39" i="1"/>
  <c r="C39" i="1"/>
  <c r="N38" i="1"/>
  <c r="E38" i="1"/>
  <c r="P37" i="1"/>
  <c r="G37" i="1"/>
  <c r="J35" i="1"/>
  <c r="L34" i="1"/>
  <c r="J44" i="1"/>
  <c r="P38" i="23"/>
  <c r="L37" i="23"/>
  <c r="D21" i="23"/>
  <c r="D37" i="1"/>
  <c r="H34" i="23"/>
  <c r="H34" i="1"/>
  <c r="Y66" i="34"/>
  <c r="AI61" i="44" s="1"/>
  <c r="Y74" i="34"/>
  <c r="AI69" i="44" s="1"/>
  <c r="D37" i="23"/>
  <c r="D43" i="1"/>
  <c r="V5" i="42"/>
  <c r="D35" i="23"/>
  <c r="D44" i="1"/>
  <c r="L35" i="23"/>
  <c r="L44" i="1"/>
  <c r="N43" i="1"/>
  <c r="E43" i="1"/>
  <c r="Q41" i="1"/>
  <c r="H41" i="1"/>
  <c r="S40" i="1"/>
  <c r="J40" i="1"/>
  <c r="K39" i="1"/>
  <c r="M38" i="1"/>
  <c r="O37" i="1"/>
  <c r="F37" i="1"/>
  <c r="G36" i="1"/>
  <c r="R35" i="1"/>
  <c r="F33" i="23"/>
  <c r="Y44" i="35"/>
  <c r="Y46" i="35"/>
  <c r="AE41" i="44" s="1"/>
  <c r="Y48" i="35"/>
  <c r="AE43" i="44" s="1"/>
  <c r="Y50" i="35"/>
  <c r="AE45" i="44" s="1"/>
  <c r="Y52" i="35"/>
  <c r="AE47" i="44" s="1"/>
  <c r="Y54" i="35"/>
  <c r="AE49" i="44" s="1"/>
  <c r="Y56" i="35"/>
  <c r="AE51" i="44" s="1"/>
  <c r="Y58" i="35"/>
  <c r="AE53" i="44" s="1"/>
  <c r="Y60" i="35"/>
  <c r="Y62" i="35"/>
  <c r="AE57" i="44" s="1"/>
  <c r="Y64" i="35"/>
  <c r="AE59" i="44" s="1"/>
  <c r="Y66" i="35"/>
  <c r="AE61" i="44" s="1"/>
  <c r="Y68" i="35"/>
  <c r="AE63" i="44" s="1"/>
  <c r="H39" i="23"/>
  <c r="H38" i="1"/>
  <c r="P39" i="23"/>
  <c r="P38" i="1"/>
  <c r="M43" i="1"/>
  <c r="C43" i="1"/>
  <c r="N42" i="1"/>
  <c r="E42" i="1"/>
  <c r="P41" i="1"/>
  <c r="R40" i="1"/>
  <c r="I40" i="1"/>
  <c r="S39" i="1"/>
  <c r="J39" i="1"/>
  <c r="C38" i="1"/>
  <c r="N37" i="1"/>
  <c r="E37" i="1"/>
  <c r="O36" i="1"/>
  <c r="R44" i="1"/>
  <c r="H44" i="1"/>
  <c r="D40" i="23"/>
  <c r="D41" i="1"/>
  <c r="L40" i="23"/>
  <c r="L41" i="1"/>
  <c r="K43" i="1"/>
  <c r="M42" i="1"/>
  <c r="D42" i="1"/>
  <c r="F41" i="1"/>
  <c r="Q40" i="1"/>
  <c r="G40" i="1"/>
  <c r="R39" i="1"/>
  <c r="I39" i="1"/>
  <c r="K38" i="1"/>
  <c r="M37" i="1"/>
  <c r="N36" i="1"/>
  <c r="E36" i="1"/>
  <c r="G44" i="1"/>
  <c r="Y73" i="35"/>
  <c r="X73" i="35" s="1"/>
  <c r="Y60" i="34"/>
  <c r="X60" i="34" s="1"/>
  <c r="Y42" i="34"/>
  <c r="AI37" i="44" s="1"/>
  <c r="Y10" i="33"/>
  <c r="AH5" i="44" s="1"/>
  <c r="Y26" i="33"/>
  <c r="AH21" i="44" s="1"/>
  <c r="Y28" i="34"/>
  <c r="X28" i="34" s="1"/>
  <c r="Y12" i="38"/>
  <c r="AO7" i="44" s="1"/>
  <c r="Y14" i="38"/>
  <c r="X14" i="38" s="1"/>
  <c r="Y44" i="38"/>
  <c r="X44" i="38" s="1"/>
  <c r="Y46" i="38"/>
  <c r="AO41" i="44" s="1"/>
  <c r="Y48" i="38"/>
  <c r="AO43" i="44" s="1"/>
  <c r="Y50" i="38"/>
  <c r="AO45" i="44" s="1"/>
  <c r="Y70" i="38"/>
  <c r="AO65" i="44" s="1"/>
  <c r="Y72" i="38"/>
  <c r="X72" i="38" s="1"/>
  <c r="Y74" i="38"/>
  <c r="X74" i="38" s="1"/>
  <c r="Y76" i="38"/>
  <c r="AO71" i="44" s="1"/>
  <c r="Y78" i="38"/>
  <c r="X78" i="38" s="1"/>
  <c r="Y11" i="39"/>
  <c r="AK6" i="44" s="1"/>
  <c r="Y23" i="43"/>
  <c r="AG18" i="44" s="1"/>
  <c r="Y25" i="43"/>
  <c r="X25" i="43" s="1"/>
  <c r="Y33" i="43"/>
  <c r="X33" i="43" s="1"/>
  <c r="Y35" i="43"/>
  <c r="X35" i="43" s="1"/>
  <c r="Y37" i="43"/>
  <c r="X37" i="43" s="1"/>
  <c r="Y39" i="43"/>
  <c r="AG34" i="44" s="1"/>
  <c r="Y41" i="43"/>
  <c r="AG36" i="44" s="1"/>
  <c r="Y49" i="43"/>
  <c r="AG44" i="44" s="1"/>
  <c r="Y51" i="43"/>
  <c r="AG46" i="44" s="1"/>
  <c r="Y53" i="43"/>
  <c r="AG48" i="44" s="1"/>
  <c r="Y55" i="43"/>
  <c r="X55" i="43" s="1"/>
  <c r="Y57" i="43"/>
  <c r="X57" i="43" s="1"/>
  <c r="Y26" i="43"/>
  <c r="AG21" i="44" s="1"/>
  <c r="Y34" i="43"/>
  <c r="X34" i="43" s="1"/>
  <c r="Y37" i="34"/>
  <c r="AI32" i="44" s="1"/>
  <c r="Y32" i="34"/>
  <c r="X32" i="34" s="1"/>
  <c r="Y69" i="34"/>
  <c r="X69" i="34" s="1"/>
  <c r="Y15" i="33"/>
  <c r="X15" i="33" s="1"/>
  <c r="Y28" i="33"/>
  <c r="AH23" i="44" s="1"/>
  <c r="Y31" i="33"/>
  <c r="AH26" i="44" s="1"/>
  <c r="Y71" i="34"/>
  <c r="X71" i="34" s="1"/>
  <c r="Y29" i="42"/>
  <c r="X29" i="42" s="1"/>
  <c r="Y33" i="42"/>
  <c r="X33" i="42" s="1"/>
  <c r="Y35" i="42"/>
  <c r="X35" i="42" s="1"/>
  <c r="Y41" i="42"/>
  <c r="X41" i="42" s="1"/>
  <c r="Y43" i="42"/>
  <c r="AJ38" i="44" s="1"/>
  <c r="Y45" i="42"/>
  <c r="AJ40" i="44" s="1"/>
  <c r="Y47" i="42"/>
  <c r="X47" i="42" s="1"/>
  <c r="Y49" i="42"/>
  <c r="X49" i="42" s="1"/>
  <c r="Y51" i="42"/>
  <c r="X51" i="42" s="1"/>
  <c r="Y53" i="42"/>
  <c r="AJ48" i="44" s="1"/>
  <c r="Y57" i="42"/>
  <c r="X57" i="42" s="1"/>
  <c r="Y59" i="42"/>
  <c r="X59" i="42" s="1"/>
  <c r="Y61" i="42"/>
  <c r="X61" i="42" s="1"/>
  <c r="Y55" i="33"/>
  <c r="X55" i="33" s="1"/>
  <c r="Y50" i="33"/>
  <c r="AH45" i="44" s="1"/>
  <c r="Y60" i="33"/>
  <c r="X60" i="33" s="1"/>
  <c r="AE13" i="44"/>
  <c r="X18" i="35"/>
  <c r="Y45" i="33"/>
  <c r="X45" i="33" s="1"/>
  <c r="Y58" i="33"/>
  <c r="X58" i="33" s="1"/>
  <c r="Y44" i="34"/>
  <c r="X44" i="34" s="1"/>
  <c r="Y24" i="39"/>
  <c r="X24" i="39" s="1"/>
  <c r="Y32" i="39"/>
  <c r="X32" i="39" s="1"/>
  <c r="Y38" i="33"/>
  <c r="X38" i="33" s="1"/>
  <c r="Y74" i="33"/>
  <c r="X74" i="33" s="1"/>
  <c r="Y13" i="34"/>
  <c r="X13" i="34" s="1"/>
  <c r="Y50" i="39"/>
  <c r="AK45" i="44" s="1"/>
  <c r="Y71" i="39"/>
  <c r="X71" i="39" s="1"/>
  <c r="Y76" i="39"/>
  <c r="X76" i="39" s="1"/>
  <c r="Y7" i="40"/>
  <c r="X7" i="40" s="1"/>
  <c r="Y13" i="41"/>
  <c r="X13" i="41" s="1"/>
  <c r="Y15" i="41"/>
  <c r="X15" i="41" s="1"/>
  <c r="Y19" i="41"/>
  <c r="AM14" i="44" s="1"/>
  <c r="Y21" i="41"/>
  <c r="X21" i="41" s="1"/>
  <c r="Y23" i="41"/>
  <c r="AM18" i="44" s="1"/>
  <c r="Y27" i="41"/>
  <c r="AM22" i="44" s="1"/>
  <c r="Y29" i="41"/>
  <c r="AM24" i="44" s="1"/>
  <c r="Y31" i="41"/>
  <c r="X31" i="41" s="1"/>
  <c r="Y35" i="41"/>
  <c r="X35" i="41" s="1"/>
  <c r="Y37" i="41"/>
  <c r="AM32" i="44" s="1"/>
  <c r="Y39" i="41"/>
  <c r="X39" i="41" s="1"/>
  <c r="Y43" i="41"/>
  <c r="X43" i="41" s="1"/>
  <c r="Y45" i="41"/>
  <c r="X45" i="41" s="1"/>
  <c r="Y47" i="41"/>
  <c r="X47" i="41" s="1"/>
  <c r="Y9" i="42"/>
  <c r="X9" i="42" s="1"/>
  <c r="Y58" i="37"/>
  <c r="X58" i="37" s="1"/>
  <c r="Y60" i="37"/>
  <c r="AN55" i="44" s="1"/>
  <c r="Y62" i="37"/>
  <c r="AN57" i="44" s="1"/>
  <c r="Y64" i="37"/>
  <c r="AN59" i="44" s="1"/>
  <c r="Y64" i="39"/>
  <c r="X64" i="39" s="1"/>
  <c r="Y70" i="33"/>
  <c r="AH65" i="44" s="1"/>
  <c r="Y35" i="34"/>
  <c r="AI30" i="44" s="1"/>
  <c r="Y31" i="39"/>
  <c r="X31" i="39" s="1"/>
  <c r="Y39" i="39"/>
  <c r="AK34" i="44" s="1"/>
  <c r="Y44" i="39"/>
  <c r="AK39" i="44" s="1"/>
  <c r="X46" i="39"/>
  <c r="Y51" i="39"/>
  <c r="X51" i="39" s="1"/>
  <c r="Z5" i="40"/>
  <c r="Y40" i="23" s="1"/>
  <c r="Y20" i="34"/>
  <c r="AI15" i="44" s="1"/>
  <c r="Y27" i="34"/>
  <c r="AI22" i="44" s="1"/>
  <c r="Y50" i="34"/>
  <c r="X50" i="34" s="1"/>
  <c r="Y55" i="34"/>
  <c r="X55" i="34" s="1"/>
  <c r="Y7" i="39"/>
  <c r="X7" i="39" s="1"/>
  <c r="Y12" i="39"/>
  <c r="AK7" i="44" s="1"/>
  <c r="Y66" i="39"/>
  <c r="X66" i="39" s="1"/>
  <c r="Y10" i="41"/>
  <c r="AM5" i="44" s="1"/>
  <c r="Y24" i="33"/>
  <c r="X24" i="33" s="1"/>
  <c r="Y29" i="33"/>
  <c r="X29" i="33" s="1"/>
  <c r="Y34" i="33"/>
  <c r="X34" i="33" s="1"/>
  <c r="Y39" i="33"/>
  <c r="X39" i="33" s="1"/>
  <c r="Y76" i="33"/>
  <c r="X76" i="33" s="1"/>
  <c r="Y79" i="33"/>
  <c r="AH74" i="44" s="1"/>
  <c r="Y7" i="34"/>
  <c r="X7" i="34" s="1"/>
  <c r="Y10" i="34"/>
  <c r="X10" i="34" s="1"/>
  <c r="Y15" i="34"/>
  <c r="AI10" i="44" s="1"/>
  <c r="X26" i="35"/>
  <c r="Y56" i="39"/>
  <c r="X56" i="39" s="1"/>
  <c r="Y61" i="39"/>
  <c r="X61" i="39" s="1"/>
  <c r="Y69" i="39"/>
  <c r="X69" i="39" s="1"/>
  <c r="Y74" i="39"/>
  <c r="X74" i="39" s="1"/>
  <c r="Y9" i="40"/>
  <c r="X9" i="40" s="1"/>
  <c r="Y11" i="40"/>
  <c r="X11" i="40" s="1"/>
  <c r="Y13" i="40"/>
  <c r="X13" i="40" s="1"/>
  <c r="Y15" i="40"/>
  <c r="X15" i="40" s="1"/>
  <c r="Y17" i="40"/>
  <c r="AL12" i="44" s="1"/>
  <c r="Y19" i="40"/>
  <c r="X19" i="40" s="1"/>
  <c r="Y21" i="40"/>
  <c r="X21" i="40" s="1"/>
  <c r="Y23" i="40"/>
  <c r="X23" i="40" s="1"/>
  <c r="Y25" i="40"/>
  <c r="X25" i="40" s="1"/>
  <c r="Y27" i="40"/>
  <c r="X27" i="40" s="1"/>
  <c r="Y29" i="40"/>
  <c r="X29" i="40" s="1"/>
  <c r="Y31" i="40"/>
  <c r="AL26" i="44" s="1"/>
  <c r="Y33" i="40"/>
  <c r="X33" i="40" s="1"/>
  <c r="Y35" i="40"/>
  <c r="AL30" i="44" s="1"/>
  <c r="Y37" i="40"/>
  <c r="X37" i="40" s="1"/>
  <c r="Y39" i="40"/>
  <c r="X39" i="40" s="1"/>
  <c r="Y41" i="40"/>
  <c r="X41" i="40" s="1"/>
  <c r="Y43" i="40"/>
  <c r="X43" i="40" s="1"/>
  <c r="Y45" i="40"/>
  <c r="AL40" i="44" s="1"/>
  <c r="Y47" i="40"/>
  <c r="X47" i="40" s="1"/>
  <c r="Y49" i="40"/>
  <c r="X49" i="40" s="1"/>
  <c r="Y51" i="40"/>
  <c r="AL46" i="44" s="1"/>
  <c r="Y53" i="40"/>
  <c r="X53" i="40" s="1"/>
  <c r="Y55" i="40"/>
  <c r="X55" i="40" s="1"/>
  <c r="Y57" i="40"/>
  <c r="AL52" i="44" s="1"/>
  <c r="Y59" i="40"/>
  <c r="X59" i="40" s="1"/>
  <c r="Y61" i="40"/>
  <c r="X61" i="40" s="1"/>
  <c r="Y63" i="40"/>
  <c r="X63" i="40" s="1"/>
  <c r="Y65" i="40"/>
  <c r="AL60" i="44" s="1"/>
  <c r="Y67" i="40"/>
  <c r="X67" i="40" s="1"/>
  <c r="Y69" i="40"/>
  <c r="X69" i="40" s="1"/>
  <c r="Y71" i="40"/>
  <c r="X71" i="40" s="1"/>
  <c r="Y73" i="40"/>
  <c r="X73" i="40" s="1"/>
  <c r="Y75" i="40"/>
  <c r="AL70" i="44" s="1"/>
  <c r="Y77" i="40"/>
  <c r="X77" i="40" s="1"/>
  <c r="Y79" i="40"/>
  <c r="AL74" i="44" s="1"/>
  <c r="Y7" i="41"/>
  <c r="X7" i="41" s="1"/>
  <c r="Y10" i="43"/>
  <c r="Y8" i="34"/>
  <c r="AI3" i="44" s="1"/>
  <c r="Y9" i="36"/>
  <c r="AD4" i="44" s="1"/>
  <c r="Y13" i="36"/>
  <c r="X13" i="36" s="1"/>
  <c r="Y9" i="37"/>
  <c r="AN4" i="44" s="1"/>
  <c r="Y17" i="37"/>
  <c r="X17" i="37" s="1"/>
  <c r="Y49" i="37"/>
  <c r="X49" i="37" s="1"/>
  <c r="Y51" i="37"/>
  <c r="AN46" i="44" s="1"/>
  <c r="Y53" i="37"/>
  <c r="X53" i="37" s="1"/>
  <c r="Y55" i="37"/>
  <c r="AN50" i="44" s="1"/>
  <c r="Y14" i="41"/>
  <c r="X14" i="41" s="1"/>
  <c r="Y18" i="41"/>
  <c r="X18" i="41" s="1"/>
  <c r="Y44" i="41"/>
  <c r="AM39" i="44" s="1"/>
  <c r="Y46" i="41"/>
  <c r="X46" i="41" s="1"/>
  <c r="Y50" i="41"/>
  <c r="AM45" i="44" s="1"/>
  <c r="Y52" i="41"/>
  <c r="X52" i="41" s="1"/>
  <c r="Y54" i="41"/>
  <c r="AM49" i="44" s="1"/>
  <c r="Y58" i="41"/>
  <c r="X58" i="41" s="1"/>
  <c r="Y42" i="33"/>
  <c r="X42" i="33" s="1"/>
  <c r="Y44" i="33"/>
  <c r="X44" i="33" s="1"/>
  <c r="Y47" i="33"/>
  <c r="X47" i="33" s="1"/>
  <c r="Y23" i="34"/>
  <c r="X23" i="34" s="1"/>
  <c r="Y36" i="34"/>
  <c r="X36" i="34" s="1"/>
  <c r="Y29" i="39"/>
  <c r="X29" i="39" s="1"/>
  <c r="Y37" i="39"/>
  <c r="X37" i="39" s="1"/>
  <c r="Y42" i="39"/>
  <c r="AK37" i="44" s="1"/>
  <c r="Y52" i="39"/>
  <c r="AK47" i="44" s="1"/>
  <c r="Y59" i="39"/>
  <c r="X59" i="39" s="1"/>
  <c r="AE28" i="44"/>
  <c r="X33" i="35"/>
  <c r="AE52" i="44"/>
  <c r="X57" i="35"/>
  <c r="AE12" i="44"/>
  <c r="X17" i="35"/>
  <c r="AE20" i="44"/>
  <c r="X25" i="35"/>
  <c r="AE9" i="44"/>
  <c r="X14" i="35"/>
  <c r="AK65" i="44"/>
  <c r="X70" i="39"/>
  <c r="AE17" i="44"/>
  <c r="X22" i="35"/>
  <c r="AE25" i="44"/>
  <c r="X30" i="35"/>
  <c r="Y13" i="33"/>
  <c r="X13" i="33" s="1"/>
  <c r="Y16" i="33"/>
  <c r="AH11" i="44" s="1"/>
  <c r="Y21" i="33"/>
  <c r="X21" i="33" s="1"/>
  <c r="Y77" i="33"/>
  <c r="X77" i="33" s="1"/>
  <c r="Y16" i="34"/>
  <c r="X16" i="34" s="1"/>
  <c r="Y21" i="34"/>
  <c r="AI16" i="44" s="1"/>
  <c r="Y48" i="34"/>
  <c r="AI43" i="44" s="1"/>
  <c r="Y53" i="34"/>
  <c r="AI48" i="44" s="1"/>
  <c r="Y58" i="34"/>
  <c r="X58" i="34" s="1"/>
  <c r="Y67" i="34"/>
  <c r="X67" i="34" s="1"/>
  <c r="Y11" i="38"/>
  <c r="AO6" i="44" s="1"/>
  <c r="Y13" i="38"/>
  <c r="X13" i="38" s="1"/>
  <c r="Y19" i="38"/>
  <c r="AO14" i="44" s="1"/>
  <c r="Y21" i="38"/>
  <c r="X21" i="38" s="1"/>
  <c r="Y27" i="38"/>
  <c r="AO22" i="44" s="1"/>
  <c r="Y29" i="38"/>
  <c r="X29" i="38" s="1"/>
  <c r="Y35" i="38"/>
  <c r="AO30" i="44" s="1"/>
  <c r="Y37" i="38"/>
  <c r="X37" i="38" s="1"/>
  <c r="Y43" i="38"/>
  <c r="AO38" i="44" s="1"/>
  <c r="Y57" i="38"/>
  <c r="X57" i="38" s="1"/>
  <c r="Y59" i="38"/>
  <c r="AO54" i="44" s="1"/>
  <c r="Y77" i="38"/>
  <c r="X77" i="38" s="1"/>
  <c r="Y79" i="38"/>
  <c r="X79" i="38" s="1"/>
  <c r="Y27" i="39"/>
  <c r="X27" i="39" s="1"/>
  <c r="Y40" i="39"/>
  <c r="X40" i="39" s="1"/>
  <c r="Y45" i="39"/>
  <c r="X45" i="39" s="1"/>
  <c r="Y47" i="39"/>
  <c r="X47" i="39" s="1"/>
  <c r="Y12" i="41"/>
  <c r="AM7" i="44" s="1"/>
  <c r="Y12" i="43"/>
  <c r="AG7" i="44" s="1"/>
  <c r="Y14" i="43"/>
  <c r="X14" i="43" s="1"/>
  <c r="Y18" i="43"/>
  <c r="AG13" i="44" s="1"/>
  <c r="Y59" i="37"/>
  <c r="Y42" i="43"/>
  <c r="Y14" i="33"/>
  <c r="X14" i="33" s="1"/>
  <c r="Y68" i="33"/>
  <c r="X68" i="33" s="1"/>
  <c r="Y78" i="33"/>
  <c r="Y29" i="34"/>
  <c r="AI24" i="44" s="1"/>
  <c r="Y31" i="34"/>
  <c r="X31" i="34" s="1"/>
  <c r="Y43" i="34"/>
  <c r="X43" i="34" s="1"/>
  <c r="Y75" i="34"/>
  <c r="X75" i="34" s="1"/>
  <c r="Y65" i="37"/>
  <c r="X65" i="37" s="1"/>
  <c r="Y67" i="37"/>
  <c r="AN62" i="44" s="1"/>
  <c r="Y69" i="37"/>
  <c r="AN64" i="44" s="1"/>
  <c r="Y71" i="37"/>
  <c r="X71" i="37" s="1"/>
  <c r="Y73" i="37"/>
  <c r="X73" i="37" s="1"/>
  <c r="Y75" i="37"/>
  <c r="X75" i="37" s="1"/>
  <c r="Y77" i="37"/>
  <c r="AN72" i="44" s="1"/>
  <c r="Y79" i="37"/>
  <c r="AN74" i="44" s="1"/>
  <c r="Y18" i="39"/>
  <c r="X18" i="39" s="1"/>
  <c r="Y23" i="39"/>
  <c r="X23" i="39" s="1"/>
  <c r="Y28" i="39"/>
  <c r="X28" i="39" s="1"/>
  <c r="X30" i="39"/>
  <c r="Y53" i="39"/>
  <c r="AK48" i="44" s="1"/>
  <c r="Y68" i="39"/>
  <c r="Y8" i="40"/>
  <c r="X8" i="40" s="1"/>
  <c r="Y66" i="41"/>
  <c r="AM61" i="44" s="1"/>
  <c r="Y30" i="42"/>
  <c r="X30" i="42" s="1"/>
  <c r="Y32" i="42"/>
  <c r="AJ27" i="44" s="1"/>
  <c r="Y34" i="42"/>
  <c r="X34" i="42" s="1"/>
  <c r="Y36" i="42"/>
  <c r="X36" i="42" s="1"/>
  <c r="Y42" i="42"/>
  <c r="X42" i="42" s="1"/>
  <c r="Y44" i="42"/>
  <c r="AJ39" i="44" s="1"/>
  <c r="Y50" i="42"/>
  <c r="AJ45" i="44" s="1"/>
  <c r="Y52" i="42"/>
  <c r="AJ47" i="44" s="1"/>
  <c r="Y58" i="42"/>
  <c r="AJ53" i="44" s="1"/>
  <c r="Y60" i="42"/>
  <c r="X60" i="42" s="1"/>
  <c r="Y44" i="43"/>
  <c r="AG39" i="44" s="1"/>
  <c r="Y46" i="43"/>
  <c r="X46" i="43" s="1"/>
  <c r="Y50" i="43"/>
  <c r="AG45" i="44" s="1"/>
  <c r="Y58" i="43"/>
  <c r="AG53" i="44" s="1"/>
  <c r="Y7" i="33"/>
  <c r="X7" i="33" s="1"/>
  <c r="Y54" i="33"/>
  <c r="X54" i="33" s="1"/>
  <c r="Y19" i="34"/>
  <c r="AI14" i="44" s="1"/>
  <c r="Y24" i="34"/>
  <c r="X24" i="34" s="1"/>
  <c r="Y34" i="34"/>
  <c r="X34" i="34" s="1"/>
  <c r="X13" i="35"/>
  <c r="X21" i="35"/>
  <c r="X29" i="35"/>
  <c r="X53" i="35"/>
  <c r="X61" i="35"/>
  <c r="X69" i="35"/>
  <c r="Y36" i="39"/>
  <c r="X36" i="39" s="1"/>
  <c r="Y43" i="39"/>
  <c r="X43" i="39" s="1"/>
  <c r="Y75" i="39"/>
  <c r="X75" i="39" s="1"/>
  <c r="Y60" i="40"/>
  <c r="AL55" i="44" s="1"/>
  <c r="Y62" i="40"/>
  <c r="X62" i="40" s="1"/>
  <c r="Y76" i="40"/>
  <c r="Y78" i="40"/>
  <c r="Y7" i="43"/>
  <c r="AG2" i="44" s="1"/>
  <c r="AG2" i="45" s="1"/>
  <c r="Y9" i="43"/>
  <c r="AG4" i="44" s="1"/>
  <c r="AE10" i="44"/>
  <c r="X15" i="35"/>
  <c r="AE18" i="44"/>
  <c r="X23" i="35"/>
  <c r="AE26" i="44"/>
  <c r="X31" i="35"/>
  <c r="AE34" i="44"/>
  <c r="X39" i="35"/>
  <c r="AE39" i="44"/>
  <c r="X44" i="35"/>
  <c r="X47" i="35"/>
  <c r="AE42" i="44"/>
  <c r="AE55" i="44"/>
  <c r="X60" i="35"/>
  <c r="X57" i="33"/>
  <c r="X48" i="33"/>
  <c r="AH43" i="44"/>
  <c r="AE3" i="44"/>
  <c r="X8" i="35"/>
  <c r="AE19" i="44"/>
  <c r="X24" i="35"/>
  <c r="AE22" i="44"/>
  <c r="X27" i="35"/>
  <c r="AE30" i="44"/>
  <c r="X35" i="35"/>
  <c r="AE38" i="44"/>
  <c r="X43" i="35"/>
  <c r="X17" i="34"/>
  <c r="AI12" i="44"/>
  <c r="X9" i="33"/>
  <c r="AH4" i="44"/>
  <c r="X49" i="39"/>
  <c r="AK44" i="44"/>
  <c r="Y22" i="33"/>
  <c r="Y66" i="33"/>
  <c r="Y71" i="33"/>
  <c r="Y18" i="34"/>
  <c r="Y39" i="34"/>
  <c r="Y51" i="34"/>
  <c r="Y56" i="34"/>
  <c r="Y61" i="34"/>
  <c r="Y72" i="34"/>
  <c r="Y10" i="36"/>
  <c r="Y10" i="37"/>
  <c r="Y14" i="37"/>
  <c r="Y18" i="37"/>
  <c r="Y22" i="37"/>
  <c r="Y26" i="37"/>
  <c r="Y30" i="37"/>
  <c r="Y34" i="37"/>
  <c r="Y38" i="37"/>
  <c r="Y42" i="37"/>
  <c r="Y46" i="37"/>
  <c r="Y50" i="37"/>
  <c r="Y57" i="37"/>
  <c r="Y66" i="37"/>
  <c r="Y56" i="38"/>
  <c r="Y10" i="39"/>
  <c r="Y55" i="39"/>
  <c r="Y60" i="39"/>
  <c r="Z5" i="41"/>
  <c r="Y28" i="42"/>
  <c r="Y28" i="43"/>
  <c r="Y30" i="43"/>
  <c r="Y60" i="43"/>
  <c r="Y62" i="43"/>
  <c r="Y78" i="43"/>
  <c r="X11" i="33"/>
  <c r="X41" i="34"/>
  <c r="AI36" i="44"/>
  <c r="X39" i="43"/>
  <c r="Y12" i="33"/>
  <c r="AH7" i="44" s="1"/>
  <c r="Y36" i="33"/>
  <c r="Y52" i="33"/>
  <c r="Y11" i="34"/>
  <c r="Y63" i="34"/>
  <c r="Y52" i="37"/>
  <c r="Y68" i="37"/>
  <c r="Y58" i="38"/>
  <c r="Y17" i="43"/>
  <c r="Y19" i="43"/>
  <c r="Y21" i="43"/>
  <c r="Y30" i="33"/>
  <c r="Y69" i="33"/>
  <c r="Y68" i="34"/>
  <c r="Y76" i="35"/>
  <c r="Y78" i="35"/>
  <c r="Y54" i="37"/>
  <c r="Y61" i="37"/>
  <c r="Y63" i="37"/>
  <c r="Y70" i="37"/>
  <c r="Y72" i="37"/>
  <c r="Y74" i="37"/>
  <c r="Y76" i="37"/>
  <c r="Y78" i="37"/>
  <c r="Y20" i="38"/>
  <c r="Y22" i="38"/>
  <c r="Y49" i="38"/>
  <c r="Y51" i="38"/>
  <c r="Y21" i="39"/>
  <c r="Y48" i="39"/>
  <c r="Y58" i="39"/>
  <c r="Y17" i="42"/>
  <c r="Y19" i="42"/>
  <c r="Z5" i="43"/>
  <c r="AK17" i="44"/>
  <c r="X22" i="39"/>
  <c r="Y8" i="33"/>
  <c r="X27" i="33"/>
  <c r="AH22" i="44"/>
  <c r="Y46" i="33"/>
  <c r="Y62" i="33"/>
  <c r="Y40" i="34"/>
  <c r="Y45" i="34"/>
  <c r="Y52" i="34"/>
  <c r="Y18" i="33"/>
  <c r="Y20" i="33"/>
  <c r="Y23" i="33"/>
  <c r="Y37" i="33"/>
  <c r="Y53" i="33"/>
  <c r="Y12" i="34"/>
  <c r="AI7" i="44" s="1"/>
  <c r="Y26" i="34"/>
  <c r="Y47" i="34"/>
  <c r="Y59" i="34"/>
  <c r="Y64" i="34"/>
  <c r="Y74" i="35"/>
  <c r="Y56" i="37"/>
  <c r="Y28" i="38"/>
  <c r="Y30" i="38"/>
  <c r="Y36" i="38"/>
  <c r="Y38" i="38"/>
  <c r="Y53" i="38"/>
  <c r="Y55" i="38"/>
  <c r="Y60" i="38"/>
  <c r="Y62" i="38"/>
  <c r="Y64" i="38"/>
  <c r="Y66" i="38"/>
  <c r="Y16" i="39"/>
  <c r="Y26" i="39"/>
  <c r="Y10" i="40"/>
  <c r="Y12" i="40"/>
  <c r="AL7" i="44" s="1"/>
  <c r="Y14" i="40"/>
  <c r="Y16" i="40"/>
  <c r="Y18" i="40"/>
  <c r="Y20" i="40"/>
  <c r="Y22" i="40"/>
  <c r="Y24" i="40"/>
  <c r="Y26" i="40"/>
  <c r="Y28" i="40"/>
  <c r="Y30" i="40"/>
  <c r="Y32" i="40"/>
  <c r="Y34" i="40"/>
  <c r="Y36" i="40"/>
  <c r="Y38" i="40"/>
  <c r="Y40" i="40"/>
  <c r="Y42" i="40"/>
  <c r="Y44" i="40"/>
  <c r="Y46" i="40"/>
  <c r="Y48" i="40"/>
  <c r="Y50" i="40"/>
  <c r="Y52" i="40"/>
  <c r="Y54" i="40"/>
  <c r="Y56" i="40"/>
  <c r="Y58" i="40"/>
  <c r="Y67" i="41"/>
  <c r="Y69" i="41"/>
  <c r="Y35" i="39"/>
  <c r="Y60" i="41"/>
  <c r="Y62" i="41"/>
  <c r="Y64" i="41"/>
  <c r="Y8" i="42"/>
  <c r="Y25" i="42"/>
  <c r="Y27" i="42"/>
  <c r="Y38" i="42"/>
  <c r="Y40" i="42"/>
  <c r="Y55" i="42"/>
  <c r="Y16" i="43"/>
  <c r="Y32" i="43"/>
  <c r="Y48" i="43"/>
  <c r="Y45" i="38"/>
  <c r="Y47" i="38"/>
  <c r="Y52" i="38"/>
  <c r="Y54" i="38"/>
  <c r="Y61" i="38"/>
  <c r="Y63" i="38"/>
  <c r="Y71" i="38"/>
  <c r="Y73" i="38"/>
  <c r="Y75" i="38"/>
  <c r="Y19" i="39"/>
  <c r="Y20" i="41"/>
  <c r="Y22" i="41"/>
  <c r="Y26" i="41"/>
  <c r="Y51" i="41"/>
  <c r="Y53" i="41"/>
  <c r="Y55" i="41"/>
  <c r="Y68" i="41"/>
  <c r="Y70" i="41"/>
  <c r="Y10" i="42"/>
  <c r="Y16" i="42"/>
  <c r="Y31" i="42"/>
  <c r="Y46" i="42"/>
  <c r="Y48" i="42"/>
  <c r="Y11" i="43"/>
  <c r="Y27" i="43"/>
  <c r="Y43" i="43"/>
  <c r="Y59" i="43"/>
  <c r="Y11" i="41"/>
  <c r="Y28" i="41"/>
  <c r="Y30" i="41"/>
  <c r="Y34" i="41"/>
  <c r="Y59" i="41"/>
  <c r="Y18" i="42"/>
  <c r="Y22" i="42"/>
  <c r="Y24" i="42"/>
  <c r="Y37" i="42"/>
  <c r="Y13" i="43"/>
  <c r="Y15" i="43"/>
  <c r="Y20" i="43"/>
  <c r="Y22" i="43"/>
  <c r="Y29" i="43"/>
  <c r="Y31" i="43"/>
  <c r="Y36" i="43"/>
  <c r="Y38" i="43"/>
  <c r="Y45" i="43"/>
  <c r="Y47" i="43"/>
  <c r="Y52" i="43"/>
  <c r="Y54" i="43"/>
  <c r="Y61" i="43"/>
  <c r="Y77" i="43"/>
  <c r="Y79" i="43"/>
  <c r="Y8" i="39"/>
  <c r="Y13" i="39"/>
  <c r="Y15" i="39"/>
  <c r="Y20" i="39"/>
  <c r="Y34" i="39"/>
  <c r="Y67" i="39"/>
  <c r="Y72" i="39"/>
  <c r="Y77" i="39"/>
  <c r="Y79" i="39"/>
  <c r="Y36" i="41"/>
  <c r="Y38" i="41"/>
  <c r="Y42" i="41"/>
  <c r="Y61" i="41"/>
  <c r="Y63" i="41"/>
  <c r="Y65" i="41"/>
  <c r="Y26" i="42"/>
  <c r="Y39" i="42"/>
  <c r="Y54" i="42"/>
  <c r="Y56" i="42"/>
  <c r="Y8" i="43"/>
  <c r="Y24" i="43"/>
  <c r="Y40" i="43"/>
  <c r="Y56" i="43"/>
  <c r="Y63" i="43"/>
  <c r="Y65" i="43"/>
  <c r="Y67" i="43"/>
  <c r="Y69" i="43"/>
  <c r="Y71" i="43"/>
  <c r="Y73" i="43"/>
  <c r="Y75" i="43"/>
  <c r="W5" i="43"/>
  <c r="Y64" i="43"/>
  <c r="Y66" i="43"/>
  <c r="Y68" i="43"/>
  <c r="Y70" i="43"/>
  <c r="Y72" i="43"/>
  <c r="Y74" i="43"/>
  <c r="Y76" i="43"/>
  <c r="V5" i="43"/>
  <c r="E8" i="43"/>
  <c r="Z5" i="42"/>
  <c r="W5" i="42"/>
  <c r="Y63" i="42"/>
  <c r="Y74" i="42"/>
  <c r="Y62" i="42"/>
  <c r="Y64" i="42"/>
  <c r="Y66" i="42"/>
  <c r="Y70" i="42"/>
  <c r="Y72" i="42"/>
  <c r="Y78" i="42"/>
  <c r="Y65" i="42"/>
  <c r="Y67" i="42"/>
  <c r="Y69" i="42"/>
  <c r="Y71" i="42"/>
  <c r="Y73" i="42"/>
  <c r="Y75" i="42"/>
  <c r="Y77" i="42"/>
  <c r="Y79" i="42"/>
  <c r="Y68" i="42"/>
  <c r="Y76" i="42"/>
  <c r="F11" i="42"/>
  <c r="E12" i="42"/>
  <c r="Y11" i="42"/>
  <c r="Y7" i="42"/>
  <c r="Y15" i="42"/>
  <c r="Y23" i="42"/>
  <c r="Y14" i="42"/>
  <c r="Y13" i="42"/>
  <c r="Y21" i="42"/>
  <c r="Y12" i="42"/>
  <c r="AJ7" i="44" s="1"/>
  <c r="Y20" i="42"/>
  <c r="W5" i="41"/>
  <c r="Y72" i="41"/>
  <c r="Y74" i="41"/>
  <c r="Y76" i="41"/>
  <c r="Y78" i="41"/>
  <c r="Y71" i="41"/>
  <c r="Y73" i="41"/>
  <c r="Y75" i="41"/>
  <c r="Y77" i="41"/>
  <c r="Y79" i="41"/>
  <c r="Y9" i="41"/>
  <c r="Y17" i="41"/>
  <c r="Y25" i="41"/>
  <c r="Y33" i="41"/>
  <c r="Y41" i="41"/>
  <c r="Y49" i="41"/>
  <c r="Y57" i="41"/>
  <c r="Y8" i="41"/>
  <c r="Y16" i="41"/>
  <c r="Y24" i="41"/>
  <c r="Y32" i="41"/>
  <c r="Y40" i="41"/>
  <c r="Y48" i="41"/>
  <c r="Y56" i="41"/>
  <c r="W5" i="40"/>
  <c r="Y64" i="40"/>
  <c r="Y66" i="40"/>
  <c r="Y68" i="40"/>
  <c r="Y70" i="40"/>
  <c r="Y72" i="40"/>
  <c r="Y74" i="40"/>
  <c r="V5" i="40"/>
  <c r="Z5" i="39"/>
  <c r="Y63" i="39"/>
  <c r="V5" i="39"/>
  <c r="E9" i="39"/>
  <c r="Y69" i="38"/>
  <c r="Y65" i="38"/>
  <c r="Y68" i="38"/>
  <c r="W5" i="38"/>
  <c r="Y67" i="38"/>
  <c r="V5" i="38"/>
  <c r="Z5" i="38"/>
  <c r="E8" i="38"/>
  <c r="Y10" i="38"/>
  <c r="Y18" i="38"/>
  <c r="Y26" i="38"/>
  <c r="Y34" i="38"/>
  <c r="Y42" i="38"/>
  <c r="Y9" i="38"/>
  <c r="Y41" i="38"/>
  <c r="Y8" i="38"/>
  <c r="Y16" i="38"/>
  <c r="Y24" i="38"/>
  <c r="Y32" i="38"/>
  <c r="Y40" i="38"/>
  <c r="Y17" i="38"/>
  <c r="Y25" i="38"/>
  <c r="Y33" i="38"/>
  <c r="Y7" i="38"/>
  <c r="Y15" i="38"/>
  <c r="Y23" i="38"/>
  <c r="Y31" i="38"/>
  <c r="Y39" i="38"/>
  <c r="V5" i="37"/>
  <c r="Z5" i="37"/>
  <c r="Y13" i="37"/>
  <c r="Y21" i="37"/>
  <c r="Y29" i="37"/>
  <c r="Y37" i="37"/>
  <c r="Y45" i="37"/>
  <c r="Y12" i="37"/>
  <c r="AN7" i="44" s="1"/>
  <c r="Y20" i="37"/>
  <c r="Y28" i="37"/>
  <c r="Y36" i="37"/>
  <c r="Y44" i="37"/>
  <c r="Y11" i="37"/>
  <c r="Y19" i="37"/>
  <c r="Y27" i="37"/>
  <c r="Y35" i="37"/>
  <c r="Y43" i="37"/>
  <c r="Y25" i="37"/>
  <c r="Y33" i="37"/>
  <c r="Y41" i="37"/>
  <c r="Y8" i="37"/>
  <c r="Y16" i="37"/>
  <c r="Y24" i="37"/>
  <c r="Y32" i="37"/>
  <c r="Y40" i="37"/>
  <c r="Y48" i="37"/>
  <c r="Y7" i="37"/>
  <c r="Y15" i="37"/>
  <c r="Y23" i="37"/>
  <c r="Y31" i="37"/>
  <c r="Y39" i="37"/>
  <c r="Y47" i="37"/>
  <c r="Z5" i="36"/>
  <c r="Y14" i="36"/>
  <c r="Y34" i="36"/>
  <c r="Y38" i="36"/>
  <c r="Y42" i="36"/>
  <c r="Y46" i="36"/>
  <c r="Y50" i="36"/>
  <c r="Y54" i="36"/>
  <c r="Y58" i="36"/>
  <c r="Y62" i="36"/>
  <c r="Y70" i="36"/>
  <c r="Y22" i="36"/>
  <c r="Y26" i="36"/>
  <c r="Y15" i="36"/>
  <c r="Y19" i="36"/>
  <c r="Y23" i="36"/>
  <c r="Y27" i="36"/>
  <c r="Y31" i="36"/>
  <c r="Y35" i="36"/>
  <c r="Y39" i="36"/>
  <c r="Y43" i="36"/>
  <c r="Y47" i="36"/>
  <c r="Y51" i="36"/>
  <c r="Y55" i="36"/>
  <c r="Y59" i="36"/>
  <c r="Y63" i="36"/>
  <c r="Y65" i="36"/>
  <c r="Y69" i="36"/>
  <c r="Y71" i="36"/>
  <c r="V5" i="36"/>
  <c r="Y18" i="36"/>
  <c r="Y30" i="36"/>
  <c r="Y68" i="36"/>
  <c r="Y72" i="36"/>
  <c r="Y76" i="36"/>
  <c r="Y74" i="36"/>
  <c r="Y78" i="36"/>
  <c r="Y73" i="36"/>
  <c r="Y75" i="36"/>
  <c r="Y77" i="36"/>
  <c r="Y79" i="36"/>
  <c r="E8" i="36"/>
  <c r="Y17" i="36"/>
  <c r="Y21" i="36"/>
  <c r="Y25" i="36"/>
  <c r="Y29" i="36"/>
  <c r="Y33" i="36"/>
  <c r="Y37" i="36"/>
  <c r="Y41" i="36"/>
  <c r="Y45" i="36"/>
  <c r="Y49" i="36"/>
  <c r="Y53" i="36"/>
  <c r="Y57" i="36"/>
  <c r="Y61" i="36"/>
  <c r="Y67" i="36"/>
  <c r="Y8" i="36"/>
  <c r="Y12" i="36"/>
  <c r="AD7" i="44" s="1"/>
  <c r="Y64" i="36"/>
  <c r="W5" i="36"/>
  <c r="Y16" i="36"/>
  <c r="Y20" i="36"/>
  <c r="Y24" i="36"/>
  <c r="Y28" i="36"/>
  <c r="Y32" i="36"/>
  <c r="Y36" i="36"/>
  <c r="Y40" i="36"/>
  <c r="Y44" i="36"/>
  <c r="Y48" i="36"/>
  <c r="Y52" i="36"/>
  <c r="Y56" i="36"/>
  <c r="Y60" i="36"/>
  <c r="Y7" i="36"/>
  <c r="Y11" i="36"/>
  <c r="Y66" i="36"/>
  <c r="Z5" i="35"/>
  <c r="Y75" i="35"/>
  <c r="Y77" i="35"/>
  <c r="Y79" i="35"/>
  <c r="W5" i="35"/>
  <c r="Y71" i="35"/>
  <c r="Y70" i="35"/>
  <c r="Y72" i="35"/>
  <c r="V5" i="35"/>
  <c r="E8" i="35"/>
  <c r="Y79" i="34"/>
  <c r="Y76" i="34"/>
  <c r="Z5" i="34"/>
  <c r="Y77" i="34"/>
  <c r="V5" i="34"/>
  <c r="Y63" i="33"/>
  <c r="Y61" i="33"/>
  <c r="Z5" i="33"/>
  <c r="V5" i="33"/>
  <c r="W5" i="33"/>
  <c r="E8" i="33"/>
  <c r="F8" i="33" s="1"/>
  <c r="Z79" i="32"/>
  <c r="W79" i="32"/>
  <c r="V79" i="32"/>
  <c r="Z78" i="32"/>
  <c r="W78" i="32"/>
  <c r="V78" i="32"/>
  <c r="Z77" i="32"/>
  <c r="W77" i="32"/>
  <c r="V77" i="32"/>
  <c r="Z76" i="32"/>
  <c r="W76" i="32"/>
  <c r="V76" i="32"/>
  <c r="Z75" i="32"/>
  <c r="W75" i="32"/>
  <c r="V75" i="32"/>
  <c r="Z74" i="32"/>
  <c r="W74" i="32"/>
  <c r="V74" i="32"/>
  <c r="Z73" i="32"/>
  <c r="W73" i="32"/>
  <c r="V73" i="32"/>
  <c r="Z72" i="32"/>
  <c r="W72" i="32"/>
  <c r="V72" i="32"/>
  <c r="Z71" i="32"/>
  <c r="W71" i="32"/>
  <c r="V71" i="32"/>
  <c r="Z70" i="32"/>
  <c r="W70" i="32"/>
  <c r="V70" i="32"/>
  <c r="Z69" i="32"/>
  <c r="W69" i="32"/>
  <c r="V69" i="32"/>
  <c r="Z68" i="32"/>
  <c r="W68" i="32"/>
  <c r="V68" i="32"/>
  <c r="Z67" i="32"/>
  <c r="W67" i="32"/>
  <c r="V67" i="32"/>
  <c r="Z66" i="32"/>
  <c r="W66" i="32"/>
  <c r="V66" i="32"/>
  <c r="Z65" i="32"/>
  <c r="W65" i="32"/>
  <c r="V65" i="32"/>
  <c r="Z64" i="32"/>
  <c r="W64" i="32"/>
  <c r="V64" i="32"/>
  <c r="Z63" i="32"/>
  <c r="W63" i="32"/>
  <c r="V63" i="32"/>
  <c r="Z62" i="32"/>
  <c r="W62" i="32"/>
  <c r="V62" i="32"/>
  <c r="Z61" i="32"/>
  <c r="W61" i="32"/>
  <c r="V61" i="32"/>
  <c r="Z60" i="32"/>
  <c r="W60" i="32"/>
  <c r="V60" i="32"/>
  <c r="Z59" i="32"/>
  <c r="W59" i="32"/>
  <c r="V59" i="32"/>
  <c r="Z58" i="32"/>
  <c r="W58" i="32"/>
  <c r="V58" i="32"/>
  <c r="Z57" i="32"/>
  <c r="W57" i="32"/>
  <c r="V57" i="32"/>
  <c r="Z56" i="32"/>
  <c r="W56" i="32"/>
  <c r="V56" i="32"/>
  <c r="Z55" i="32"/>
  <c r="W55" i="32"/>
  <c r="V55" i="32"/>
  <c r="Z54" i="32"/>
  <c r="W54" i="32"/>
  <c r="V54" i="32"/>
  <c r="Z53" i="32"/>
  <c r="W53" i="32"/>
  <c r="V53" i="32"/>
  <c r="Z52" i="32"/>
  <c r="W52" i="32"/>
  <c r="V52" i="32"/>
  <c r="Z51" i="32"/>
  <c r="W51" i="32"/>
  <c r="V51" i="32"/>
  <c r="Z50" i="32"/>
  <c r="W50" i="32"/>
  <c r="V50" i="32"/>
  <c r="Z49" i="32"/>
  <c r="W49" i="32"/>
  <c r="V49" i="32"/>
  <c r="Z48" i="32"/>
  <c r="W48" i="32"/>
  <c r="V48" i="32"/>
  <c r="Z47" i="32"/>
  <c r="W47" i="32"/>
  <c r="V47" i="32"/>
  <c r="Z46" i="32"/>
  <c r="W46" i="32"/>
  <c r="V46" i="32"/>
  <c r="Z45" i="32"/>
  <c r="W45" i="32"/>
  <c r="V45" i="32"/>
  <c r="Z44" i="32"/>
  <c r="W44" i="32"/>
  <c r="V44" i="32"/>
  <c r="Z43" i="32"/>
  <c r="W43" i="32"/>
  <c r="V43" i="32"/>
  <c r="Z42" i="32"/>
  <c r="W42" i="32"/>
  <c r="V42" i="32"/>
  <c r="Z41" i="32"/>
  <c r="W41" i="32"/>
  <c r="V41" i="32"/>
  <c r="Z40" i="32"/>
  <c r="W40" i="32"/>
  <c r="V40" i="32"/>
  <c r="Z39" i="32"/>
  <c r="W39" i="32"/>
  <c r="V39" i="32"/>
  <c r="Z38" i="32"/>
  <c r="W38" i="32"/>
  <c r="V38" i="32"/>
  <c r="Z37" i="32"/>
  <c r="W37" i="32"/>
  <c r="V37" i="32"/>
  <c r="Z36" i="32"/>
  <c r="W36" i="32"/>
  <c r="V36" i="32"/>
  <c r="Z35" i="32"/>
  <c r="W35" i="32"/>
  <c r="V35" i="32"/>
  <c r="Z34" i="32"/>
  <c r="W34" i="32"/>
  <c r="V34" i="32"/>
  <c r="Z33" i="32"/>
  <c r="W33" i="32"/>
  <c r="V33" i="32"/>
  <c r="Z32" i="32"/>
  <c r="W32" i="32"/>
  <c r="V32" i="32"/>
  <c r="Z31" i="32"/>
  <c r="W31" i="32"/>
  <c r="V31" i="32"/>
  <c r="Z30" i="32"/>
  <c r="W30" i="32"/>
  <c r="V30" i="32"/>
  <c r="Z29" i="32"/>
  <c r="W29" i="32"/>
  <c r="V29" i="32"/>
  <c r="Z28" i="32"/>
  <c r="W28" i="32"/>
  <c r="V28" i="32"/>
  <c r="Z27" i="32"/>
  <c r="W27" i="32"/>
  <c r="V27" i="32"/>
  <c r="Z26" i="32"/>
  <c r="W26" i="32"/>
  <c r="V26" i="32"/>
  <c r="Z25" i="32"/>
  <c r="W25" i="32"/>
  <c r="V25" i="32"/>
  <c r="Z24" i="32"/>
  <c r="W24" i="32"/>
  <c r="V24" i="32"/>
  <c r="Z23" i="32"/>
  <c r="W23" i="32"/>
  <c r="V23" i="32"/>
  <c r="Z22" i="32"/>
  <c r="W22" i="32"/>
  <c r="V22" i="32"/>
  <c r="Z21" i="32"/>
  <c r="W21" i="32"/>
  <c r="V21" i="32"/>
  <c r="Z20" i="32"/>
  <c r="W20" i="32"/>
  <c r="V20" i="32"/>
  <c r="Z19" i="32"/>
  <c r="W19" i="32"/>
  <c r="V19" i="32"/>
  <c r="Z18" i="32"/>
  <c r="W18" i="32"/>
  <c r="V18" i="32"/>
  <c r="Z17" i="32"/>
  <c r="W17" i="32"/>
  <c r="V17" i="32"/>
  <c r="Z16" i="32"/>
  <c r="W16" i="32"/>
  <c r="V16" i="32"/>
  <c r="Z15" i="32"/>
  <c r="W15" i="32"/>
  <c r="V15" i="32"/>
  <c r="Z14" i="32"/>
  <c r="W14" i="32"/>
  <c r="V14" i="32"/>
  <c r="Z13" i="32"/>
  <c r="W13" i="32"/>
  <c r="V13" i="32"/>
  <c r="Z12" i="32"/>
  <c r="W12" i="32"/>
  <c r="V12" i="32"/>
  <c r="Z11" i="32"/>
  <c r="W11" i="32"/>
  <c r="V11" i="32"/>
  <c r="Z10" i="32"/>
  <c r="W10" i="32"/>
  <c r="V10" i="32"/>
  <c r="Z9" i="32"/>
  <c r="W9" i="32"/>
  <c r="V9" i="32"/>
  <c r="Z8" i="32"/>
  <c r="W8" i="32"/>
  <c r="V8" i="32"/>
  <c r="Z7" i="32"/>
  <c r="W7" i="32"/>
  <c r="V7" i="32"/>
  <c r="B79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E7" i="32"/>
  <c r="F7" i="32" s="1"/>
  <c r="B7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D5" i="32"/>
  <c r="C5" i="32"/>
  <c r="Z79" i="31"/>
  <c r="W79" i="31"/>
  <c r="V79" i="31"/>
  <c r="Z78" i="31"/>
  <c r="W78" i="31"/>
  <c r="V78" i="31"/>
  <c r="Z77" i="31"/>
  <c r="W77" i="31"/>
  <c r="V77" i="31"/>
  <c r="Z76" i="31"/>
  <c r="W76" i="31"/>
  <c r="V76" i="31"/>
  <c r="Z75" i="31"/>
  <c r="W75" i="31"/>
  <c r="V75" i="31"/>
  <c r="Z74" i="31"/>
  <c r="W74" i="31"/>
  <c r="V74" i="31"/>
  <c r="Z73" i="31"/>
  <c r="W73" i="31"/>
  <c r="V73" i="31"/>
  <c r="Z72" i="31"/>
  <c r="W72" i="31"/>
  <c r="V72" i="31"/>
  <c r="Z71" i="31"/>
  <c r="W71" i="31"/>
  <c r="V71" i="31"/>
  <c r="Z70" i="31"/>
  <c r="W70" i="31"/>
  <c r="V70" i="31"/>
  <c r="Z69" i="31"/>
  <c r="W69" i="31"/>
  <c r="V69" i="31"/>
  <c r="Z68" i="31"/>
  <c r="W68" i="31"/>
  <c r="V68" i="31"/>
  <c r="Z67" i="31"/>
  <c r="W67" i="31"/>
  <c r="V67" i="31"/>
  <c r="Z66" i="31"/>
  <c r="W66" i="31"/>
  <c r="V66" i="31"/>
  <c r="Z65" i="31"/>
  <c r="W65" i="31"/>
  <c r="V65" i="31"/>
  <c r="Z64" i="31"/>
  <c r="W64" i="31"/>
  <c r="V64" i="31"/>
  <c r="Z63" i="31"/>
  <c r="W63" i="31"/>
  <c r="V63" i="31"/>
  <c r="Z62" i="31"/>
  <c r="W62" i="31"/>
  <c r="V62" i="31"/>
  <c r="Z61" i="31"/>
  <c r="W61" i="31"/>
  <c r="V61" i="31"/>
  <c r="Z60" i="31"/>
  <c r="W60" i="31"/>
  <c r="V60" i="31"/>
  <c r="Z59" i="31"/>
  <c r="W59" i="31"/>
  <c r="V59" i="31"/>
  <c r="Z58" i="31"/>
  <c r="W58" i="31"/>
  <c r="V58" i="31"/>
  <c r="Z57" i="31"/>
  <c r="W57" i="31"/>
  <c r="V57" i="31"/>
  <c r="Z56" i="31"/>
  <c r="W56" i="31"/>
  <c r="V56" i="31"/>
  <c r="Z55" i="31"/>
  <c r="W55" i="31"/>
  <c r="V55" i="31"/>
  <c r="Z54" i="31"/>
  <c r="W54" i="31"/>
  <c r="V54" i="31"/>
  <c r="Z53" i="31"/>
  <c r="W53" i="31"/>
  <c r="V53" i="31"/>
  <c r="Z52" i="31"/>
  <c r="W52" i="31"/>
  <c r="V52" i="31"/>
  <c r="Z51" i="31"/>
  <c r="W51" i="31"/>
  <c r="V51" i="31"/>
  <c r="Z50" i="31"/>
  <c r="W50" i="31"/>
  <c r="V50" i="31"/>
  <c r="Z49" i="31"/>
  <c r="W49" i="31"/>
  <c r="V49" i="31"/>
  <c r="Z48" i="31"/>
  <c r="W48" i="31"/>
  <c r="V48" i="31"/>
  <c r="Z47" i="31"/>
  <c r="W47" i="31"/>
  <c r="V47" i="31"/>
  <c r="Z46" i="31"/>
  <c r="W46" i="31"/>
  <c r="V46" i="31"/>
  <c r="Z45" i="31"/>
  <c r="W45" i="31"/>
  <c r="V45" i="31"/>
  <c r="Z44" i="31"/>
  <c r="W44" i="31"/>
  <c r="V44" i="31"/>
  <c r="Z43" i="31"/>
  <c r="W43" i="31"/>
  <c r="V43" i="31"/>
  <c r="Z42" i="31"/>
  <c r="W42" i="31"/>
  <c r="V42" i="31"/>
  <c r="Z41" i="31"/>
  <c r="W41" i="31"/>
  <c r="V41" i="31"/>
  <c r="Z40" i="31"/>
  <c r="W40" i="31"/>
  <c r="V40" i="31"/>
  <c r="Z39" i="31"/>
  <c r="W39" i="31"/>
  <c r="V39" i="31"/>
  <c r="Z38" i="31"/>
  <c r="W38" i="31"/>
  <c r="V38" i="31"/>
  <c r="Z37" i="31"/>
  <c r="W37" i="31"/>
  <c r="V37" i="31"/>
  <c r="Z36" i="31"/>
  <c r="W36" i="31"/>
  <c r="V36" i="31"/>
  <c r="Z35" i="31"/>
  <c r="W35" i="31"/>
  <c r="V35" i="31"/>
  <c r="Z34" i="31"/>
  <c r="W34" i="31"/>
  <c r="V34" i="31"/>
  <c r="Z33" i="31"/>
  <c r="W33" i="31"/>
  <c r="V33" i="31"/>
  <c r="Z32" i="31"/>
  <c r="W32" i="31"/>
  <c r="V32" i="31"/>
  <c r="Z31" i="31"/>
  <c r="W31" i="31"/>
  <c r="V31" i="31"/>
  <c r="Z30" i="31"/>
  <c r="W30" i="31"/>
  <c r="V30" i="31"/>
  <c r="Z29" i="31"/>
  <c r="W29" i="31"/>
  <c r="V29" i="31"/>
  <c r="Z28" i="31"/>
  <c r="W28" i="31"/>
  <c r="V28" i="31"/>
  <c r="Z27" i="31"/>
  <c r="W27" i="31"/>
  <c r="V27" i="31"/>
  <c r="Z26" i="31"/>
  <c r="W26" i="31"/>
  <c r="V26" i="31"/>
  <c r="Z25" i="31"/>
  <c r="W25" i="31"/>
  <c r="V25" i="31"/>
  <c r="Z24" i="31"/>
  <c r="W24" i="31"/>
  <c r="V24" i="31"/>
  <c r="Z23" i="31"/>
  <c r="W23" i="31"/>
  <c r="V23" i="31"/>
  <c r="Z22" i="31"/>
  <c r="W22" i="31"/>
  <c r="V22" i="31"/>
  <c r="Z21" i="31"/>
  <c r="W21" i="31"/>
  <c r="V21" i="31"/>
  <c r="Z20" i="31"/>
  <c r="W20" i="31"/>
  <c r="V20" i="31"/>
  <c r="Z19" i="31"/>
  <c r="W19" i="31"/>
  <c r="V19" i="31"/>
  <c r="Z18" i="31"/>
  <c r="W18" i="31"/>
  <c r="V18" i="31"/>
  <c r="Z17" i="31"/>
  <c r="W17" i="31"/>
  <c r="V17" i="31"/>
  <c r="Z16" i="31"/>
  <c r="W16" i="31"/>
  <c r="V16" i="31"/>
  <c r="Z15" i="31"/>
  <c r="W15" i="31"/>
  <c r="V15" i="31"/>
  <c r="Z14" i="31"/>
  <c r="W14" i="31"/>
  <c r="V14" i="31"/>
  <c r="Z13" i="31"/>
  <c r="W13" i="31"/>
  <c r="V13" i="31"/>
  <c r="Z12" i="31"/>
  <c r="W12" i="31"/>
  <c r="V12" i="31"/>
  <c r="Z11" i="31"/>
  <c r="W11" i="31"/>
  <c r="V11" i="31"/>
  <c r="Z10" i="31"/>
  <c r="W10" i="31"/>
  <c r="V10" i="31"/>
  <c r="Z9" i="31"/>
  <c r="W9" i="31"/>
  <c r="V9" i="31"/>
  <c r="Z8" i="31"/>
  <c r="W8" i="31"/>
  <c r="V8" i="31"/>
  <c r="Z7" i="31"/>
  <c r="W7" i="31"/>
  <c r="V7" i="31"/>
  <c r="B79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9" i="31"/>
  <c r="B8" i="31"/>
  <c r="E7" i="31"/>
  <c r="F7" i="31" s="1"/>
  <c r="B7" i="31"/>
  <c r="U5" i="31"/>
  <c r="T5" i="31"/>
  <c r="S5" i="31"/>
  <c r="R5" i="31"/>
  <c r="Q5" i="31"/>
  <c r="P5" i="31"/>
  <c r="O5" i="31"/>
  <c r="N5" i="31"/>
  <c r="M5" i="31"/>
  <c r="L5" i="31"/>
  <c r="K5" i="31"/>
  <c r="J5" i="31"/>
  <c r="I5" i="31"/>
  <c r="H5" i="31"/>
  <c r="G5" i="31"/>
  <c r="D5" i="31"/>
  <c r="C5" i="31"/>
  <c r="Z79" i="30"/>
  <c r="W79" i="30"/>
  <c r="V79" i="30"/>
  <c r="B79" i="30"/>
  <c r="Z78" i="30"/>
  <c r="W78" i="30"/>
  <c r="V78" i="30"/>
  <c r="B78" i="30"/>
  <c r="Z77" i="30"/>
  <c r="W77" i="30"/>
  <c r="V77" i="30"/>
  <c r="B77" i="30"/>
  <c r="Z76" i="30"/>
  <c r="W76" i="30"/>
  <c r="V76" i="30"/>
  <c r="B76" i="30"/>
  <c r="Z75" i="30"/>
  <c r="W75" i="30"/>
  <c r="V75" i="30"/>
  <c r="B75" i="30"/>
  <c r="Z74" i="30"/>
  <c r="W74" i="30"/>
  <c r="V74" i="30"/>
  <c r="B74" i="30"/>
  <c r="Z73" i="30"/>
  <c r="W73" i="30"/>
  <c r="V73" i="30"/>
  <c r="B73" i="30"/>
  <c r="Z72" i="30"/>
  <c r="W72" i="30"/>
  <c r="V72" i="30"/>
  <c r="B72" i="30"/>
  <c r="Z71" i="30"/>
  <c r="W71" i="30"/>
  <c r="V71" i="30"/>
  <c r="B71" i="30"/>
  <c r="Z70" i="30"/>
  <c r="W70" i="30"/>
  <c r="V70" i="30"/>
  <c r="B70" i="30"/>
  <c r="Z69" i="30"/>
  <c r="W69" i="30"/>
  <c r="V69" i="30"/>
  <c r="B69" i="30"/>
  <c r="Z68" i="30"/>
  <c r="W68" i="30"/>
  <c r="V68" i="30"/>
  <c r="B68" i="30"/>
  <c r="Z67" i="30"/>
  <c r="W67" i="30"/>
  <c r="V67" i="30"/>
  <c r="B67" i="30"/>
  <c r="Z66" i="30"/>
  <c r="W66" i="30"/>
  <c r="V66" i="30"/>
  <c r="B66" i="30"/>
  <c r="Z65" i="30"/>
  <c r="W65" i="30"/>
  <c r="V65" i="30"/>
  <c r="B65" i="30"/>
  <c r="Z64" i="30"/>
  <c r="W64" i="30"/>
  <c r="V64" i="30"/>
  <c r="B64" i="30"/>
  <c r="Z63" i="30"/>
  <c r="W63" i="30"/>
  <c r="V63" i="30"/>
  <c r="B63" i="30"/>
  <c r="Z62" i="30"/>
  <c r="W62" i="30"/>
  <c r="V62" i="30"/>
  <c r="B62" i="30"/>
  <c r="Z61" i="30"/>
  <c r="W61" i="30"/>
  <c r="V61" i="30"/>
  <c r="B61" i="30"/>
  <c r="Z60" i="30"/>
  <c r="W60" i="30"/>
  <c r="V60" i="30"/>
  <c r="B60" i="30"/>
  <c r="Z59" i="30"/>
  <c r="W59" i="30"/>
  <c r="V59" i="30"/>
  <c r="B59" i="30"/>
  <c r="Z58" i="30"/>
  <c r="W58" i="30"/>
  <c r="V58" i="30"/>
  <c r="B58" i="30"/>
  <c r="Z57" i="30"/>
  <c r="W57" i="30"/>
  <c r="V57" i="30"/>
  <c r="B57" i="30"/>
  <c r="Z56" i="30"/>
  <c r="W56" i="30"/>
  <c r="V56" i="30"/>
  <c r="B56" i="30"/>
  <c r="Z55" i="30"/>
  <c r="W55" i="30"/>
  <c r="V55" i="30"/>
  <c r="B55" i="30"/>
  <c r="Z54" i="30"/>
  <c r="W54" i="30"/>
  <c r="V54" i="30"/>
  <c r="B54" i="30"/>
  <c r="Z53" i="30"/>
  <c r="W53" i="30"/>
  <c r="V53" i="30"/>
  <c r="B53" i="30"/>
  <c r="Z52" i="30"/>
  <c r="W52" i="30"/>
  <c r="V52" i="30"/>
  <c r="B52" i="30"/>
  <c r="Z51" i="30"/>
  <c r="W51" i="30"/>
  <c r="V51" i="30"/>
  <c r="B51" i="30"/>
  <c r="Z50" i="30"/>
  <c r="W50" i="30"/>
  <c r="V50" i="30"/>
  <c r="B50" i="30"/>
  <c r="Z49" i="30"/>
  <c r="W49" i="30"/>
  <c r="V49" i="30"/>
  <c r="B49" i="30"/>
  <c r="Z48" i="30"/>
  <c r="W48" i="30"/>
  <c r="V48" i="30"/>
  <c r="B48" i="30"/>
  <c r="Z47" i="30"/>
  <c r="W47" i="30"/>
  <c r="V47" i="30"/>
  <c r="B47" i="30"/>
  <c r="Z46" i="30"/>
  <c r="W46" i="30"/>
  <c r="V46" i="30"/>
  <c r="B46" i="30"/>
  <c r="Z45" i="30"/>
  <c r="W45" i="30"/>
  <c r="V45" i="30"/>
  <c r="B45" i="30"/>
  <c r="Z44" i="30"/>
  <c r="W44" i="30"/>
  <c r="V44" i="30"/>
  <c r="B44" i="30"/>
  <c r="Z43" i="30"/>
  <c r="W43" i="30"/>
  <c r="V43" i="30"/>
  <c r="B43" i="30"/>
  <c r="Z42" i="30"/>
  <c r="W42" i="30"/>
  <c r="V42" i="30"/>
  <c r="B42" i="30"/>
  <c r="Z41" i="30"/>
  <c r="W41" i="30"/>
  <c r="V41" i="30"/>
  <c r="B41" i="30"/>
  <c r="Z40" i="30"/>
  <c r="W40" i="30"/>
  <c r="V40" i="30"/>
  <c r="B40" i="30"/>
  <c r="Z39" i="30"/>
  <c r="W39" i="30"/>
  <c r="V39" i="30"/>
  <c r="B39" i="30"/>
  <c r="Z38" i="30"/>
  <c r="W38" i="30"/>
  <c r="V38" i="30"/>
  <c r="B38" i="30"/>
  <c r="Z37" i="30"/>
  <c r="W37" i="30"/>
  <c r="V37" i="30"/>
  <c r="B37" i="30"/>
  <c r="Z36" i="30"/>
  <c r="W36" i="30"/>
  <c r="V36" i="30"/>
  <c r="B36" i="30"/>
  <c r="Z35" i="30"/>
  <c r="W35" i="30"/>
  <c r="V35" i="30"/>
  <c r="B35" i="30"/>
  <c r="Z34" i="30"/>
  <c r="W34" i="30"/>
  <c r="V34" i="30"/>
  <c r="B34" i="30"/>
  <c r="Z33" i="30"/>
  <c r="W33" i="30"/>
  <c r="V33" i="30"/>
  <c r="B33" i="30"/>
  <c r="Z32" i="30"/>
  <c r="W32" i="30"/>
  <c r="V32" i="30"/>
  <c r="B32" i="30"/>
  <c r="Z31" i="30"/>
  <c r="W31" i="30"/>
  <c r="V31" i="30"/>
  <c r="B31" i="30"/>
  <c r="Z30" i="30"/>
  <c r="W30" i="30"/>
  <c r="V30" i="30"/>
  <c r="B30" i="30"/>
  <c r="Z29" i="30"/>
  <c r="W29" i="30"/>
  <c r="V29" i="30"/>
  <c r="B29" i="30"/>
  <c r="Z28" i="30"/>
  <c r="W28" i="30"/>
  <c r="V28" i="30"/>
  <c r="B28" i="30"/>
  <c r="Z27" i="30"/>
  <c r="W27" i="30"/>
  <c r="V27" i="30"/>
  <c r="B27" i="30"/>
  <c r="Z26" i="30"/>
  <c r="W26" i="30"/>
  <c r="V26" i="30"/>
  <c r="B26" i="30"/>
  <c r="Z25" i="30"/>
  <c r="W25" i="30"/>
  <c r="V25" i="30"/>
  <c r="B25" i="30"/>
  <c r="Z24" i="30"/>
  <c r="W24" i="30"/>
  <c r="V24" i="30"/>
  <c r="B24" i="30"/>
  <c r="Z23" i="30"/>
  <c r="W23" i="30"/>
  <c r="V23" i="30"/>
  <c r="B23" i="30"/>
  <c r="Z22" i="30"/>
  <c r="W22" i="30"/>
  <c r="V22" i="30"/>
  <c r="B22" i="30"/>
  <c r="Z21" i="30"/>
  <c r="W21" i="30"/>
  <c r="V21" i="30"/>
  <c r="B21" i="30"/>
  <c r="Z20" i="30"/>
  <c r="W20" i="30"/>
  <c r="V20" i="30"/>
  <c r="B20" i="30"/>
  <c r="Z19" i="30"/>
  <c r="W19" i="30"/>
  <c r="V19" i="30"/>
  <c r="B19" i="30"/>
  <c r="Z18" i="30"/>
  <c r="W18" i="30"/>
  <c r="V18" i="30"/>
  <c r="B18" i="30"/>
  <c r="Z17" i="30"/>
  <c r="W17" i="30"/>
  <c r="V17" i="30"/>
  <c r="B17" i="30"/>
  <c r="Z16" i="30"/>
  <c r="W16" i="30"/>
  <c r="V16" i="30"/>
  <c r="B16" i="30"/>
  <c r="Z15" i="30"/>
  <c r="W15" i="30"/>
  <c r="V15" i="30"/>
  <c r="B15" i="30"/>
  <c r="Z14" i="30"/>
  <c r="W14" i="30"/>
  <c r="V14" i="30"/>
  <c r="B14" i="30"/>
  <c r="Z13" i="30"/>
  <c r="W13" i="30"/>
  <c r="V13" i="30"/>
  <c r="B13" i="30"/>
  <c r="Z12" i="30"/>
  <c r="W12" i="30"/>
  <c r="V12" i="30"/>
  <c r="B12" i="30"/>
  <c r="Z11" i="30"/>
  <c r="W11" i="30"/>
  <c r="V11" i="30"/>
  <c r="B11" i="30"/>
  <c r="Z10" i="30"/>
  <c r="W10" i="30"/>
  <c r="V10" i="30"/>
  <c r="B10" i="30"/>
  <c r="Z9" i="30"/>
  <c r="W9" i="30"/>
  <c r="V9" i="30"/>
  <c r="B9" i="30"/>
  <c r="Z8" i="30"/>
  <c r="W8" i="30"/>
  <c r="V8" i="30"/>
  <c r="B8" i="30"/>
  <c r="Z7" i="30"/>
  <c r="W7" i="30"/>
  <c r="V7" i="30"/>
  <c r="E7" i="30"/>
  <c r="F7" i="30" s="1"/>
  <c r="B7" i="30"/>
  <c r="U5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D5" i="30"/>
  <c r="C5" i="30"/>
  <c r="Z79" i="29"/>
  <c r="W79" i="29"/>
  <c r="V79" i="29"/>
  <c r="B79" i="29"/>
  <c r="Z78" i="29"/>
  <c r="W78" i="29"/>
  <c r="V78" i="29"/>
  <c r="B78" i="29"/>
  <c r="Z77" i="29"/>
  <c r="W77" i="29"/>
  <c r="V77" i="29"/>
  <c r="B77" i="29"/>
  <c r="Z76" i="29"/>
  <c r="W76" i="29"/>
  <c r="V76" i="29"/>
  <c r="B76" i="29"/>
  <c r="Z75" i="29"/>
  <c r="W75" i="29"/>
  <c r="V75" i="29"/>
  <c r="B75" i="29"/>
  <c r="Z74" i="29"/>
  <c r="W74" i="29"/>
  <c r="V74" i="29"/>
  <c r="B74" i="29"/>
  <c r="Z73" i="29"/>
  <c r="W73" i="29"/>
  <c r="V73" i="29"/>
  <c r="B73" i="29"/>
  <c r="Z72" i="29"/>
  <c r="W72" i="29"/>
  <c r="V72" i="29"/>
  <c r="B72" i="29"/>
  <c r="Z71" i="29"/>
  <c r="W71" i="29"/>
  <c r="V71" i="29"/>
  <c r="B71" i="29"/>
  <c r="Z70" i="29"/>
  <c r="W70" i="29"/>
  <c r="V70" i="29"/>
  <c r="B70" i="29"/>
  <c r="Z69" i="29"/>
  <c r="W69" i="29"/>
  <c r="V69" i="29"/>
  <c r="B69" i="29"/>
  <c r="Z68" i="29"/>
  <c r="W68" i="29"/>
  <c r="V68" i="29"/>
  <c r="B68" i="29"/>
  <c r="Z67" i="29"/>
  <c r="W67" i="29"/>
  <c r="V67" i="29"/>
  <c r="B67" i="29"/>
  <c r="Z66" i="29"/>
  <c r="W66" i="29"/>
  <c r="V66" i="29"/>
  <c r="B66" i="29"/>
  <c r="Z65" i="29"/>
  <c r="W65" i="29"/>
  <c r="V65" i="29"/>
  <c r="B65" i="29"/>
  <c r="Z64" i="29"/>
  <c r="W64" i="29"/>
  <c r="V64" i="29"/>
  <c r="B64" i="29"/>
  <c r="Z63" i="29"/>
  <c r="W63" i="29"/>
  <c r="V63" i="29"/>
  <c r="B63" i="29"/>
  <c r="Z62" i="29"/>
  <c r="W62" i="29"/>
  <c r="V62" i="29"/>
  <c r="B62" i="29"/>
  <c r="Z61" i="29"/>
  <c r="W61" i="29"/>
  <c r="V61" i="29"/>
  <c r="B61" i="29"/>
  <c r="Z60" i="29"/>
  <c r="W60" i="29"/>
  <c r="V60" i="29"/>
  <c r="B60" i="29"/>
  <c r="Z59" i="29"/>
  <c r="W59" i="29"/>
  <c r="V59" i="29"/>
  <c r="B59" i="29"/>
  <c r="Z58" i="29"/>
  <c r="W58" i="29"/>
  <c r="V58" i="29"/>
  <c r="B58" i="29"/>
  <c r="Z57" i="29"/>
  <c r="W57" i="29"/>
  <c r="V57" i="29"/>
  <c r="B57" i="29"/>
  <c r="Z56" i="29"/>
  <c r="W56" i="29"/>
  <c r="V56" i="29"/>
  <c r="B56" i="29"/>
  <c r="Z55" i="29"/>
  <c r="W55" i="29"/>
  <c r="V55" i="29"/>
  <c r="B55" i="29"/>
  <c r="Z54" i="29"/>
  <c r="W54" i="29"/>
  <c r="V54" i="29"/>
  <c r="B54" i="29"/>
  <c r="Z53" i="29"/>
  <c r="W53" i="29"/>
  <c r="V53" i="29"/>
  <c r="B53" i="29"/>
  <c r="Z52" i="29"/>
  <c r="W52" i="29"/>
  <c r="V52" i="29"/>
  <c r="B52" i="29"/>
  <c r="Z51" i="29"/>
  <c r="W51" i="29"/>
  <c r="V51" i="29"/>
  <c r="B51" i="29"/>
  <c r="Z50" i="29"/>
  <c r="W50" i="29"/>
  <c r="V50" i="29"/>
  <c r="B50" i="29"/>
  <c r="Z49" i="29"/>
  <c r="W49" i="29"/>
  <c r="V49" i="29"/>
  <c r="B49" i="29"/>
  <c r="Z48" i="29"/>
  <c r="W48" i="29"/>
  <c r="V48" i="29"/>
  <c r="B48" i="29"/>
  <c r="Z47" i="29"/>
  <c r="W47" i="29"/>
  <c r="V47" i="29"/>
  <c r="B47" i="29"/>
  <c r="Z46" i="29"/>
  <c r="W46" i="29"/>
  <c r="V46" i="29"/>
  <c r="B46" i="29"/>
  <c r="Z45" i="29"/>
  <c r="W45" i="29"/>
  <c r="V45" i="29"/>
  <c r="B45" i="29"/>
  <c r="Z44" i="29"/>
  <c r="W44" i="29"/>
  <c r="V44" i="29"/>
  <c r="B44" i="29"/>
  <c r="Z43" i="29"/>
  <c r="W43" i="29"/>
  <c r="V43" i="29"/>
  <c r="B43" i="29"/>
  <c r="Z42" i="29"/>
  <c r="W42" i="29"/>
  <c r="V42" i="29"/>
  <c r="B42" i="29"/>
  <c r="Z41" i="29"/>
  <c r="W41" i="29"/>
  <c r="V41" i="29"/>
  <c r="B41" i="29"/>
  <c r="Z40" i="29"/>
  <c r="W40" i="29"/>
  <c r="V40" i="29"/>
  <c r="B40" i="29"/>
  <c r="Z39" i="29"/>
  <c r="W39" i="29"/>
  <c r="V39" i="29"/>
  <c r="B39" i="29"/>
  <c r="Z38" i="29"/>
  <c r="W38" i="29"/>
  <c r="V38" i="29"/>
  <c r="B38" i="29"/>
  <c r="Z37" i="29"/>
  <c r="W37" i="29"/>
  <c r="V37" i="29"/>
  <c r="B37" i="29"/>
  <c r="Z36" i="29"/>
  <c r="W36" i="29"/>
  <c r="V36" i="29"/>
  <c r="B36" i="29"/>
  <c r="Z35" i="29"/>
  <c r="W35" i="29"/>
  <c r="V35" i="29"/>
  <c r="B35" i="29"/>
  <c r="Z34" i="29"/>
  <c r="W34" i="29"/>
  <c r="V34" i="29"/>
  <c r="B34" i="29"/>
  <c r="Z33" i="29"/>
  <c r="W33" i="29"/>
  <c r="V33" i="29"/>
  <c r="B33" i="29"/>
  <c r="Z32" i="29"/>
  <c r="W32" i="29"/>
  <c r="V32" i="29"/>
  <c r="B32" i="29"/>
  <c r="Z31" i="29"/>
  <c r="W31" i="29"/>
  <c r="V31" i="29"/>
  <c r="B31" i="29"/>
  <c r="Z30" i="29"/>
  <c r="W30" i="29"/>
  <c r="V30" i="29"/>
  <c r="B30" i="29"/>
  <c r="Z29" i="29"/>
  <c r="W29" i="29"/>
  <c r="V29" i="29"/>
  <c r="B29" i="29"/>
  <c r="Z28" i="29"/>
  <c r="W28" i="29"/>
  <c r="V28" i="29"/>
  <c r="B28" i="29"/>
  <c r="Z27" i="29"/>
  <c r="W27" i="29"/>
  <c r="V27" i="29"/>
  <c r="B27" i="29"/>
  <c r="Z26" i="29"/>
  <c r="W26" i="29"/>
  <c r="V26" i="29"/>
  <c r="B26" i="29"/>
  <c r="Z25" i="29"/>
  <c r="W25" i="29"/>
  <c r="V25" i="29"/>
  <c r="B25" i="29"/>
  <c r="Z24" i="29"/>
  <c r="W24" i="29"/>
  <c r="V24" i="29"/>
  <c r="B24" i="29"/>
  <c r="Z23" i="29"/>
  <c r="W23" i="29"/>
  <c r="V23" i="29"/>
  <c r="B23" i="29"/>
  <c r="Z22" i="29"/>
  <c r="W22" i="29"/>
  <c r="V22" i="29"/>
  <c r="B22" i="29"/>
  <c r="Z21" i="29"/>
  <c r="W21" i="29"/>
  <c r="V21" i="29"/>
  <c r="B21" i="29"/>
  <c r="Z20" i="29"/>
  <c r="W20" i="29"/>
  <c r="V20" i="29"/>
  <c r="B20" i="29"/>
  <c r="Z19" i="29"/>
  <c r="W19" i="29"/>
  <c r="V19" i="29"/>
  <c r="B19" i="29"/>
  <c r="Z18" i="29"/>
  <c r="W18" i="29"/>
  <c r="V18" i="29"/>
  <c r="B18" i="29"/>
  <c r="Z17" i="29"/>
  <c r="W17" i="29"/>
  <c r="V17" i="29"/>
  <c r="B17" i="29"/>
  <c r="Z16" i="29"/>
  <c r="W16" i="29"/>
  <c r="V16" i="29"/>
  <c r="B16" i="29"/>
  <c r="Z15" i="29"/>
  <c r="W15" i="29"/>
  <c r="V15" i="29"/>
  <c r="B15" i="29"/>
  <c r="Z14" i="29"/>
  <c r="W14" i="29"/>
  <c r="V14" i="29"/>
  <c r="B14" i="29"/>
  <c r="Z13" i="29"/>
  <c r="W13" i="29"/>
  <c r="V13" i="29"/>
  <c r="B13" i="29"/>
  <c r="Z12" i="29"/>
  <c r="W12" i="29"/>
  <c r="V12" i="29"/>
  <c r="B12" i="29"/>
  <c r="Z11" i="29"/>
  <c r="W11" i="29"/>
  <c r="V11" i="29"/>
  <c r="B11" i="29"/>
  <c r="Z10" i="29"/>
  <c r="W10" i="29"/>
  <c r="V10" i="29"/>
  <c r="B10" i="29"/>
  <c r="Z9" i="29"/>
  <c r="W9" i="29"/>
  <c r="V9" i="29"/>
  <c r="B9" i="29"/>
  <c r="Z8" i="29"/>
  <c r="W8" i="29"/>
  <c r="V8" i="29"/>
  <c r="B8" i="29"/>
  <c r="Z7" i="29"/>
  <c r="W7" i="29"/>
  <c r="V7" i="29"/>
  <c r="E7" i="29"/>
  <c r="E8" i="29" s="1"/>
  <c r="B7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5" i="29"/>
  <c r="D5" i="29"/>
  <c r="C5" i="29"/>
  <c r="Z79" i="28"/>
  <c r="W79" i="28"/>
  <c r="V79" i="28"/>
  <c r="B79" i="28"/>
  <c r="Z78" i="28"/>
  <c r="W78" i="28"/>
  <c r="V78" i="28"/>
  <c r="B78" i="28"/>
  <c r="Z77" i="28"/>
  <c r="W77" i="28"/>
  <c r="V77" i="28"/>
  <c r="B77" i="28"/>
  <c r="Z76" i="28"/>
  <c r="W76" i="28"/>
  <c r="V76" i="28"/>
  <c r="B76" i="28"/>
  <c r="Z75" i="28"/>
  <c r="W75" i="28"/>
  <c r="V75" i="28"/>
  <c r="B75" i="28"/>
  <c r="Z74" i="28"/>
  <c r="W74" i="28"/>
  <c r="V74" i="28"/>
  <c r="B74" i="28"/>
  <c r="Z73" i="28"/>
  <c r="W73" i="28"/>
  <c r="V73" i="28"/>
  <c r="B73" i="28"/>
  <c r="Z72" i="28"/>
  <c r="W72" i="28"/>
  <c r="V72" i="28"/>
  <c r="B72" i="28"/>
  <c r="Z71" i="28"/>
  <c r="W71" i="28"/>
  <c r="V71" i="28"/>
  <c r="B71" i="28"/>
  <c r="Z70" i="28"/>
  <c r="W70" i="28"/>
  <c r="V70" i="28"/>
  <c r="B70" i="28"/>
  <c r="Z69" i="28"/>
  <c r="W69" i="28"/>
  <c r="V69" i="28"/>
  <c r="B69" i="28"/>
  <c r="Z68" i="28"/>
  <c r="W68" i="28"/>
  <c r="V68" i="28"/>
  <c r="B68" i="28"/>
  <c r="Z67" i="28"/>
  <c r="W67" i="28"/>
  <c r="V67" i="28"/>
  <c r="B67" i="28"/>
  <c r="Z66" i="28"/>
  <c r="W66" i="28"/>
  <c r="V66" i="28"/>
  <c r="B66" i="28"/>
  <c r="Z65" i="28"/>
  <c r="W65" i="28"/>
  <c r="V65" i="28"/>
  <c r="B65" i="28"/>
  <c r="Z64" i="28"/>
  <c r="W64" i="28"/>
  <c r="V64" i="28"/>
  <c r="B64" i="28"/>
  <c r="Z63" i="28"/>
  <c r="W63" i="28"/>
  <c r="V63" i="28"/>
  <c r="B63" i="28"/>
  <c r="Z62" i="28"/>
  <c r="W62" i="28"/>
  <c r="V62" i="28"/>
  <c r="B62" i="28"/>
  <c r="Z61" i="28"/>
  <c r="W61" i="28"/>
  <c r="V61" i="28"/>
  <c r="B61" i="28"/>
  <c r="Z60" i="28"/>
  <c r="W60" i="28"/>
  <c r="V60" i="28"/>
  <c r="B60" i="28"/>
  <c r="Z59" i="28"/>
  <c r="W59" i="28"/>
  <c r="V59" i="28"/>
  <c r="B59" i="28"/>
  <c r="Z58" i="28"/>
  <c r="W58" i="28"/>
  <c r="V58" i="28"/>
  <c r="B58" i="28"/>
  <c r="Z57" i="28"/>
  <c r="W57" i="28"/>
  <c r="V57" i="28"/>
  <c r="B57" i="28"/>
  <c r="Z56" i="28"/>
  <c r="W56" i="28"/>
  <c r="V56" i="28"/>
  <c r="B56" i="28"/>
  <c r="Z55" i="28"/>
  <c r="W55" i="28"/>
  <c r="V55" i="28"/>
  <c r="B55" i="28"/>
  <c r="Z54" i="28"/>
  <c r="W54" i="28"/>
  <c r="V54" i="28"/>
  <c r="B54" i="28"/>
  <c r="Z53" i="28"/>
  <c r="W53" i="28"/>
  <c r="V53" i="28"/>
  <c r="B53" i="28"/>
  <c r="Z52" i="28"/>
  <c r="W52" i="28"/>
  <c r="V52" i="28"/>
  <c r="B52" i="28"/>
  <c r="Z51" i="28"/>
  <c r="W51" i="28"/>
  <c r="V51" i="28"/>
  <c r="B51" i="28"/>
  <c r="Z50" i="28"/>
  <c r="W50" i="28"/>
  <c r="V50" i="28"/>
  <c r="B50" i="28"/>
  <c r="Z49" i="28"/>
  <c r="W49" i="28"/>
  <c r="V49" i="28"/>
  <c r="B49" i="28"/>
  <c r="Z48" i="28"/>
  <c r="W48" i="28"/>
  <c r="V48" i="28"/>
  <c r="B48" i="28"/>
  <c r="Z47" i="28"/>
  <c r="W47" i="28"/>
  <c r="V47" i="28"/>
  <c r="B47" i="28"/>
  <c r="Z46" i="28"/>
  <c r="W46" i="28"/>
  <c r="V46" i="28"/>
  <c r="B46" i="28"/>
  <c r="Z45" i="28"/>
  <c r="W45" i="28"/>
  <c r="V45" i="28"/>
  <c r="B45" i="28"/>
  <c r="Z44" i="28"/>
  <c r="W44" i="28"/>
  <c r="V44" i="28"/>
  <c r="B44" i="28"/>
  <c r="Z43" i="28"/>
  <c r="W43" i="28"/>
  <c r="V43" i="28"/>
  <c r="B43" i="28"/>
  <c r="Z42" i="28"/>
  <c r="W42" i="28"/>
  <c r="V42" i="28"/>
  <c r="B42" i="28"/>
  <c r="Z41" i="28"/>
  <c r="W41" i="28"/>
  <c r="V41" i="28"/>
  <c r="B41" i="28"/>
  <c r="Z40" i="28"/>
  <c r="W40" i="28"/>
  <c r="V40" i="28"/>
  <c r="B40" i="28"/>
  <c r="Z39" i="28"/>
  <c r="W39" i="28"/>
  <c r="V39" i="28"/>
  <c r="B39" i="28"/>
  <c r="Z38" i="28"/>
  <c r="W38" i="28"/>
  <c r="V38" i="28"/>
  <c r="B38" i="28"/>
  <c r="Z37" i="28"/>
  <c r="W37" i="28"/>
  <c r="V37" i="28"/>
  <c r="B37" i="28"/>
  <c r="Z36" i="28"/>
  <c r="W36" i="28"/>
  <c r="V36" i="28"/>
  <c r="B36" i="28"/>
  <c r="Z35" i="28"/>
  <c r="W35" i="28"/>
  <c r="V35" i="28"/>
  <c r="B35" i="28"/>
  <c r="Z34" i="28"/>
  <c r="W34" i="28"/>
  <c r="V34" i="28"/>
  <c r="B34" i="28"/>
  <c r="Z33" i="28"/>
  <c r="W33" i="28"/>
  <c r="V33" i="28"/>
  <c r="B33" i="28"/>
  <c r="Z32" i="28"/>
  <c r="W32" i="28"/>
  <c r="V32" i="28"/>
  <c r="B32" i="28"/>
  <c r="Z31" i="28"/>
  <c r="W31" i="28"/>
  <c r="V31" i="28"/>
  <c r="B31" i="28"/>
  <c r="Z30" i="28"/>
  <c r="W30" i="28"/>
  <c r="V30" i="28"/>
  <c r="B30" i="28"/>
  <c r="Z29" i="28"/>
  <c r="W29" i="28"/>
  <c r="V29" i="28"/>
  <c r="B29" i="28"/>
  <c r="Z28" i="28"/>
  <c r="W28" i="28"/>
  <c r="V28" i="28"/>
  <c r="B28" i="28"/>
  <c r="Z27" i="28"/>
  <c r="W27" i="28"/>
  <c r="V27" i="28"/>
  <c r="B27" i="28"/>
  <c r="Z26" i="28"/>
  <c r="W26" i="28"/>
  <c r="V26" i="28"/>
  <c r="B26" i="28"/>
  <c r="Z25" i="28"/>
  <c r="W25" i="28"/>
  <c r="V25" i="28"/>
  <c r="B25" i="28"/>
  <c r="Z24" i="28"/>
  <c r="W24" i="28"/>
  <c r="V24" i="28"/>
  <c r="B24" i="28"/>
  <c r="Z23" i="28"/>
  <c r="W23" i="28"/>
  <c r="V23" i="28"/>
  <c r="B23" i="28"/>
  <c r="Z22" i="28"/>
  <c r="W22" i="28"/>
  <c r="V22" i="28"/>
  <c r="B22" i="28"/>
  <c r="Z21" i="28"/>
  <c r="W21" i="28"/>
  <c r="V21" i="28"/>
  <c r="B21" i="28"/>
  <c r="Z20" i="28"/>
  <c r="W20" i="28"/>
  <c r="V20" i="28"/>
  <c r="B20" i="28"/>
  <c r="Z19" i="28"/>
  <c r="W19" i="28"/>
  <c r="V19" i="28"/>
  <c r="B19" i="28"/>
  <c r="Z18" i="28"/>
  <c r="W18" i="28"/>
  <c r="V18" i="28"/>
  <c r="B18" i="28"/>
  <c r="Z17" i="28"/>
  <c r="W17" i="28"/>
  <c r="V17" i="28"/>
  <c r="B17" i="28"/>
  <c r="Z16" i="28"/>
  <c r="W16" i="28"/>
  <c r="V16" i="28"/>
  <c r="B16" i="28"/>
  <c r="Z15" i="28"/>
  <c r="W15" i="28"/>
  <c r="V15" i="28"/>
  <c r="B15" i="28"/>
  <c r="Z14" i="28"/>
  <c r="W14" i="28"/>
  <c r="V14" i="28"/>
  <c r="B14" i="28"/>
  <c r="Z13" i="28"/>
  <c r="W13" i="28"/>
  <c r="V13" i="28"/>
  <c r="B13" i="28"/>
  <c r="Z12" i="28"/>
  <c r="W12" i="28"/>
  <c r="V12" i="28"/>
  <c r="B12" i="28"/>
  <c r="Z11" i="28"/>
  <c r="W11" i="28"/>
  <c r="V11" i="28"/>
  <c r="B11" i="28"/>
  <c r="Z10" i="28"/>
  <c r="W10" i="28"/>
  <c r="V10" i="28"/>
  <c r="B10" i="28"/>
  <c r="Z9" i="28"/>
  <c r="W9" i="28"/>
  <c r="V9" i="28"/>
  <c r="B9" i="28"/>
  <c r="Z8" i="28"/>
  <c r="W8" i="28"/>
  <c r="V8" i="28"/>
  <c r="B8" i="28"/>
  <c r="Z7" i="28"/>
  <c r="W7" i="28"/>
  <c r="V7" i="28"/>
  <c r="E7" i="28"/>
  <c r="F7" i="28" s="1"/>
  <c r="B7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D5" i="28"/>
  <c r="C5" i="28"/>
  <c r="Z79" i="27"/>
  <c r="W79" i="27"/>
  <c r="V79" i="27"/>
  <c r="Z78" i="27"/>
  <c r="W78" i="27"/>
  <c r="V78" i="27"/>
  <c r="Z77" i="27"/>
  <c r="W77" i="27"/>
  <c r="V77" i="27"/>
  <c r="Z76" i="27"/>
  <c r="W76" i="27"/>
  <c r="V76" i="27"/>
  <c r="Z75" i="27"/>
  <c r="W75" i="27"/>
  <c r="V75" i="27"/>
  <c r="Z74" i="27"/>
  <c r="W74" i="27"/>
  <c r="V74" i="27"/>
  <c r="Z73" i="27"/>
  <c r="W73" i="27"/>
  <c r="V73" i="27"/>
  <c r="Z72" i="27"/>
  <c r="W72" i="27"/>
  <c r="V72" i="27"/>
  <c r="Z71" i="27"/>
  <c r="W71" i="27"/>
  <c r="V71" i="27"/>
  <c r="Z70" i="27"/>
  <c r="W70" i="27"/>
  <c r="V70" i="27"/>
  <c r="Z69" i="27"/>
  <c r="W69" i="27"/>
  <c r="V69" i="27"/>
  <c r="Z68" i="27"/>
  <c r="W68" i="27"/>
  <c r="V68" i="27"/>
  <c r="Z67" i="27"/>
  <c r="W67" i="27"/>
  <c r="V67" i="27"/>
  <c r="Z66" i="27"/>
  <c r="W66" i="27"/>
  <c r="V66" i="27"/>
  <c r="Z65" i="27"/>
  <c r="W65" i="27"/>
  <c r="V65" i="27"/>
  <c r="Z64" i="27"/>
  <c r="W64" i="27"/>
  <c r="V64" i="27"/>
  <c r="Z63" i="27"/>
  <c r="W63" i="27"/>
  <c r="V63" i="27"/>
  <c r="Z62" i="27"/>
  <c r="W62" i="27"/>
  <c r="V62" i="27"/>
  <c r="Z61" i="27"/>
  <c r="W61" i="27"/>
  <c r="V61" i="27"/>
  <c r="Z60" i="27"/>
  <c r="W60" i="27"/>
  <c r="V60" i="27"/>
  <c r="Z59" i="27"/>
  <c r="W59" i="27"/>
  <c r="V59" i="27"/>
  <c r="Z58" i="27"/>
  <c r="W58" i="27"/>
  <c r="V58" i="27"/>
  <c r="Z57" i="27"/>
  <c r="W57" i="27"/>
  <c r="V57" i="27"/>
  <c r="Z56" i="27"/>
  <c r="W56" i="27"/>
  <c r="V56" i="27"/>
  <c r="Z55" i="27"/>
  <c r="W55" i="27"/>
  <c r="V55" i="27"/>
  <c r="Z54" i="27"/>
  <c r="W54" i="27"/>
  <c r="V54" i="27"/>
  <c r="Z53" i="27"/>
  <c r="W53" i="27"/>
  <c r="V53" i="27"/>
  <c r="Z52" i="27"/>
  <c r="W52" i="27"/>
  <c r="V52" i="27"/>
  <c r="Z51" i="27"/>
  <c r="W51" i="27"/>
  <c r="V51" i="27"/>
  <c r="Z50" i="27"/>
  <c r="W50" i="27"/>
  <c r="V50" i="27"/>
  <c r="Z49" i="27"/>
  <c r="W49" i="27"/>
  <c r="V49" i="27"/>
  <c r="Z48" i="27"/>
  <c r="W48" i="27"/>
  <c r="V48" i="27"/>
  <c r="Z47" i="27"/>
  <c r="W47" i="27"/>
  <c r="V47" i="27"/>
  <c r="Z46" i="27"/>
  <c r="W46" i="27"/>
  <c r="V46" i="27"/>
  <c r="Z45" i="27"/>
  <c r="W45" i="27"/>
  <c r="V45" i="27"/>
  <c r="Z44" i="27"/>
  <c r="W44" i="27"/>
  <c r="V44" i="27"/>
  <c r="Z43" i="27"/>
  <c r="W43" i="27"/>
  <c r="V43" i="27"/>
  <c r="Z42" i="27"/>
  <c r="W42" i="27"/>
  <c r="V42" i="27"/>
  <c r="Z41" i="27"/>
  <c r="W41" i="27"/>
  <c r="V41" i="27"/>
  <c r="Z40" i="27"/>
  <c r="W40" i="27"/>
  <c r="V40" i="27"/>
  <c r="Z39" i="27"/>
  <c r="W39" i="27"/>
  <c r="V39" i="27"/>
  <c r="Z38" i="27"/>
  <c r="W38" i="27"/>
  <c r="V38" i="27"/>
  <c r="Z37" i="27"/>
  <c r="W37" i="27"/>
  <c r="V37" i="27"/>
  <c r="Z36" i="27"/>
  <c r="W36" i="27"/>
  <c r="V36" i="27"/>
  <c r="Z35" i="27"/>
  <c r="W35" i="27"/>
  <c r="V35" i="27"/>
  <c r="Z34" i="27"/>
  <c r="W34" i="27"/>
  <c r="V34" i="27"/>
  <c r="Z33" i="27"/>
  <c r="W33" i="27"/>
  <c r="V33" i="27"/>
  <c r="Z32" i="27"/>
  <c r="W32" i="27"/>
  <c r="V32" i="27"/>
  <c r="Z31" i="27"/>
  <c r="W31" i="27"/>
  <c r="V31" i="27"/>
  <c r="Z30" i="27"/>
  <c r="W30" i="27"/>
  <c r="V30" i="27"/>
  <c r="Z29" i="27"/>
  <c r="W29" i="27"/>
  <c r="V29" i="27"/>
  <c r="Z28" i="27"/>
  <c r="W28" i="27"/>
  <c r="V28" i="27"/>
  <c r="Z27" i="27"/>
  <c r="W27" i="27"/>
  <c r="V27" i="27"/>
  <c r="Z26" i="27"/>
  <c r="W26" i="27"/>
  <c r="V26" i="27"/>
  <c r="Z25" i="27"/>
  <c r="W25" i="27"/>
  <c r="V25" i="27"/>
  <c r="Z24" i="27"/>
  <c r="W24" i="27"/>
  <c r="V24" i="27"/>
  <c r="Z23" i="27"/>
  <c r="W23" i="27"/>
  <c r="V23" i="27"/>
  <c r="Z22" i="27"/>
  <c r="W22" i="27"/>
  <c r="V22" i="27"/>
  <c r="Z21" i="27"/>
  <c r="W21" i="27"/>
  <c r="V21" i="27"/>
  <c r="Z20" i="27"/>
  <c r="W20" i="27"/>
  <c r="V20" i="27"/>
  <c r="Z19" i="27"/>
  <c r="W19" i="27"/>
  <c r="V19" i="27"/>
  <c r="Z18" i="27"/>
  <c r="W18" i="27"/>
  <c r="V18" i="27"/>
  <c r="Z17" i="27"/>
  <c r="W17" i="27"/>
  <c r="V17" i="27"/>
  <c r="Z16" i="27"/>
  <c r="W16" i="27"/>
  <c r="V16" i="27"/>
  <c r="Z15" i="27"/>
  <c r="W15" i="27"/>
  <c r="V15" i="27"/>
  <c r="Z14" i="27"/>
  <c r="W14" i="27"/>
  <c r="V14" i="27"/>
  <c r="Z13" i="27"/>
  <c r="W13" i="27"/>
  <c r="V13" i="27"/>
  <c r="Z12" i="27"/>
  <c r="W12" i="27"/>
  <c r="V12" i="27"/>
  <c r="Z11" i="27"/>
  <c r="W11" i="27"/>
  <c r="V11" i="27"/>
  <c r="Z10" i="27"/>
  <c r="W10" i="27"/>
  <c r="V10" i="27"/>
  <c r="Z9" i="27"/>
  <c r="W9" i="27"/>
  <c r="V9" i="27"/>
  <c r="Z8" i="27"/>
  <c r="W8" i="27"/>
  <c r="V8" i="27"/>
  <c r="Z7" i="27"/>
  <c r="W7" i="27"/>
  <c r="V7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E7" i="27"/>
  <c r="E8" i="27" s="1"/>
  <c r="B7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5" i="27"/>
  <c r="D5" i="27"/>
  <c r="C5" i="27"/>
  <c r="Z79" i="26"/>
  <c r="W79" i="26"/>
  <c r="V79" i="26"/>
  <c r="Z78" i="26"/>
  <c r="W78" i="26"/>
  <c r="V78" i="26"/>
  <c r="Z77" i="26"/>
  <c r="W77" i="26"/>
  <c r="V77" i="26"/>
  <c r="Z76" i="26"/>
  <c r="W76" i="26"/>
  <c r="V76" i="26"/>
  <c r="Z75" i="26"/>
  <c r="W75" i="26"/>
  <c r="V75" i="26"/>
  <c r="Z74" i="26"/>
  <c r="W74" i="26"/>
  <c r="V74" i="26"/>
  <c r="Z73" i="26"/>
  <c r="W73" i="26"/>
  <c r="V73" i="26"/>
  <c r="Z72" i="26"/>
  <c r="W72" i="26"/>
  <c r="V72" i="26"/>
  <c r="Z71" i="26"/>
  <c r="W71" i="26"/>
  <c r="V71" i="26"/>
  <c r="Z70" i="26"/>
  <c r="W70" i="26"/>
  <c r="V70" i="26"/>
  <c r="Z69" i="26"/>
  <c r="W69" i="26"/>
  <c r="V69" i="26"/>
  <c r="Z68" i="26"/>
  <c r="W68" i="26"/>
  <c r="V68" i="26"/>
  <c r="Z67" i="26"/>
  <c r="W67" i="26"/>
  <c r="V67" i="26"/>
  <c r="Z66" i="26"/>
  <c r="W66" i="26"/>
  <c r="V66" i="26"/>
  <c r="Z65" i="26"/>
  <c r="W65" i="26"/>
  <c r="V65" i="26"/>
  <c r="Z64" i="26"/>
  <c r="W64" i="26"/>
  <c r="V64" i="26"/>
  <c r="Z63" i="26"/>
  <c r="W63" i="26"/>
  <c r="V63" i="26"/>
  <c r="Z62" i="26"/>
  <c r="W62" i="26"/>
  <c r="V62" i="26"/>
  <c r="Z61" i="26"/>
  <c r="W61" i="26"/>
  <c r="V61" i="26"/>
  <c r="Z60" i="26"/>
  <c r="W60" i="26"/>
  <c r="V60" i="26"/>
  <c r="Z59" i="26"/>
  <c r="W59" i="26"/>
  <c r="V59" i="26"/>
  <c r="Z58" i="26"/>
  <c r="W58" i="26"/>
  <c r="V58" i="26"/>
  <c r="Z57" i="26"/>
  <c r="W57" i="26"/>
  <c r="V57" i="26"/>
  <c r="Z56" i="26"/>
  <c r="W56" i="26"/>
  <c r="V56" i="26"/>
  <c r="Z55" i="26"/>
  <c r="W55" i="26"/>
  <c r="V55" i="26"/>
  <c r="Z54" i="26"/>
  <c r="W54" i="26"/>
  <c r="V54" i="26"/>
  <c r="Z53" i="26"/>
  <c r="W53" i="26"/>
  <c r="V53" i="26"/>
  <c r="Z52" i="26"/>
  <c r="W52" i="26"/>
  <c r="V52" i="26"/>
  <c r="Z51" i="26"/>
  <c r="W51" i="26"/>
  <c r="V51" i="26"/>
  <c r="Z50" i="26"/>
  <c r="W50" i="26"/>
  <c r="V50" i="26"/>
  <c r="Z49" i="26"/>
  <c r="W49" i="26"/>
  <c r="V49" i="26"/>
  <c r="Z48" i="26"/>
  <c r="W48" i="26"/>
  <c r="V48" i="26"/>
  <c r="Z47" i="26"/>
  <c r="W47" i="26"/>
  <c r="V47" i="26"/>
  <c r="Z46" i="26"/>
  <c r="W46" i="26"/>
  <c r="V46" i="26"/>
  <c r="Z45" i="26"/>
  <c r="W45" i="26"/>
  <c r="V45" i="26"/>
  <c r="Z44" i="26"/>
  <c r="W44" i="26"/>
  <c r="V44" i="26"/>
  <c r="Z43" i="26"/>
  <c r="W43" i="26"/>
  <c r="V43" i="26"/>
  <c r="Z42" i="26"/>
  <c r="W42" i="26"/>
  <c r="V42" i="26"/>
  <c r="Z41" i="26"/>
  <c r="W41" i="26"/>
  <c r="V41" i="26"/>
  <c r="Z40" i="26"/>
  <c r="W40" i="26"/>
  <c r="V40" i="26"/>
  <c r="Z39" i="26"/>
  <c r="W39" i="26"/>
  <c r="V39" i="26"/>
  <c r="Z38" i="26"/>
  <c r="W38" i="26"/>
  <c r="V38" i="26"/>
  <c r="Z37" i="26"/>
  <c r="W37" i="26"/>
  <c r="V37" i="26"/>
  <c r="Z36" i="26"/>
  <c r="W36" i="26"/>
  <c r="V36" i="26"/>
  <c r="Z35" i="26"/>
  <c r="W35" i="26"/>
  <c r="V35" i="26"/>
  <c r="Z34" i="26"/>
  <c r="W34" i="26"/>
  <c r="V34" i="26"/>
  <c r="Z33" i="26"/>
  <c r="W33" i="26"/>
  <c r="V33" i="26"/>
  <c r="Z32" i="26"/>
  <c r="W32" i="26"/>
  <c r="V32" i="26"/>
  <c r="Z31" i="26"/>
  <c r="W31" i="26"/>
  <c r="V31" i="26"/>
  <c r="Z30" i="26"/>
  <c r="W30" i="26"/>
  <c r="V30" i="26"/>
  <c r="Z29" i="26"/>
  <c r="W29" i="26"/>
  <c r="V29" i="26"/>
  <c r="Z28" i="26"/>
  <c r="W28" i="26"/>
  <c r="V28" i="26"/>
  <c r="Z27" i="26"/>
  <c r="W27" i="26"/>
  <c r="V27" i="26"/>
  <c r="Z26" i="26"/>
  <c r="W26" i="26"/>
  <c r="V26" i="26"/>
  <c r="Z25" i="26"/>
  <c r="W25" i="26"/>
  <c r="V25" i="26"/>
  <c r="Z24" i="26"/>
  <c r="W24" i="26"/>
  <c r="V24" i="26"/>
  <c r="Z23" i="26"/>
  <c r="W23" i="26"/>
  <c r="V23" i="26"/>
  <c r="Z22" i="26"/>
  <c r="W22" i="26"/>
  <c r="V22" i="26"/>
  <c r="Z21" i="26"/>
  <c r="W21" i="26"/>
  <c r="V21" i="26"/>
  <c r="Z20" i="26"/>
  <c r="W20" i="26"/>
  <c r="V20" i="26"/>
  <c r="Z19" i="26"/>
  <c r="W19" i="26"/>
  <c r="V19" i="26"/>
  <c r="Z18" i="26"/>
  <c r="W18" i="26"/>
  <c r="V18" i="26"/>
  <c r="Z17" i="26"/>
  <c r="W17" i="26"/>
  <c r="V17" i="26"/>
  <c r="Z16" i="26"/>
  <c r="W16" i="26"/>
  <c r="V16" i="26"/>
  <c r="Z15" i="26"/>
  <c r="W15" i="26"/>
  <c r="V15" i="26"/>
  <c r="Z14" i="26"/>
  <c r="W14" i="26"/>
  <c r="V14" i="26"/>
  <c r="Z13" i="26"/>
  <c r="W13" i="26"/>
  <c r="V13" i="26"/>
  <c r="Z12" i="26"/>
  <c r="W12" i="26"/>
  <c r="V12" i="26"/>
  <c r="Z11" i="26"/>
  <c r="W11" i="26"/>
  <c r="V11" i="26"/>
  <c r="Z10" i="26"/>
  <c r="W10" i="26"/>
  <c r="V10" i="26"/>
  <c r="Z9" i="26"/>
  <c r="W9" i="26"/>
  <c r="V9" i="26"/>
  <c r="Z8" i="26"/>
  <c r="W8" i="26"/>
  <c r="V8" i="26"/>
  <c r="Z7" i="26"/>
  <c r="W7" i="26"/>
  <c r="V7" i="26"/>
  <c r="B79" i="26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36" i="26"/>
  <c r="B35" i="26"/>
  <c r="B34" i="26"/>
  <c r="B33" i="26"/>
  <c r="B32" i="26"/>
  <c r="B31" i="26"/>
  <c r="B30" i="26"/>
  <c r="B29" i="26"/>
  <c r="B28" i="26"/>
  <c r="B27" i="26"/>
  <c r="B26" i="26"/>
  <c r="B25" i="26"/>
  <c r="B24" i="26"/>
  <c r="B23" i="26"/>
  <c r="B22" i="26"/>
  <c r="B21" i="26"/>
  <c r="B20" i="26"/>
  <c r="B19" i="26"/>
  <c r="B18" i="26"/>
  <c r="B17" i="26"/>
  <c r="B16" i="26"/>
  <c r="B15" i="26"/>
  <c r="B14" i="26"/>
  <c r="B13" i="26"/>
  <c r="B12" i="26"/>
  <c r="B11" i="26"/>
  <c r="B10" i="26"/>
  <c r="B9" i="26"/>
  <c r="B8" i="26"/>
  <c r="E7" i="26"/>
  <c r="F7" i="26" s="1"/>
  <c r="B7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D5" i="26"/>
  <c r="C5" i="26"/>
  <c r="Z79" i="25"/>
  <c r="W79" i="25"/>
  <c r="V79" i="25"/>
  <c r="Z78" i="25"/>
  <c r="W78" i="25"/>
  <c r="V78" i="25"/>
  <c r="Z77" i="25"/>
  <c r="W77" i="25"/>
  <c r="V77" i="25"/>
  <c r="Z76" i="25"/>
  <c r="W76" i="25"/>
  <c r="V76" i="25"/>
  <c r="Z75" i="25"/>
  <c r="W75" i="25"/>
  <c r="V75" i="25"/>
  <c r="Z74" i="25"/>
  <c r="W74" i="25"/>
  <c r="V74" i="25"/>
  <c r="Z73" i="25"/>
  <c r="W73" i="25"/>
  <c r="V73" i="25"/>
  <c r="Z72" i="25"/>
  <c r="W72" i="25"/>
  <c r="V72" i="25"/>
  <c r="Z71" i="25"/>
  <c r="W71" i="25"/>
  <c r="V71" i="25"/>
  <c r="Z70" i="25"/>
  <c r="W70" i="25"/>
  <c r="V70" i="25"/>
  <c r="Z69" i="25"/>
  <c r="W69" i="25"/>
  <c r="V69" i="25"/>
  <c r="Z68" i="25"/>
  <c r="W68" i="25"/>
  <c r="V68" i="25"/>
  <c r="Z67" i="25"/>
  <c r="W67" i="25"/>
  <c r="V67" i="25"/>
  <c r="Z66" i="25"/>
  <c r="W66" i="25"/>
  <c r="V66" i="25"/>
  <c r="Z65" i="25"/>
  <c r="W65" i="25"/>
  <c r="V65" i="25"/>
  <c r="Z64" i="25"/>
  <c r="W64" i="25"/>
  <c r="V64" i="25"/>
  <c r="Z63" i="25"/>
  <c r="W63" i="25"/>
  <c r="V63" i="25"/>
  <c r="Z62" i="25"/>
  <c r="W62" i="25"/>
  <c r="V62" i="25"/>
  <c r="Z61" i="25"/>
  <c r="W61" i="25"/>
  <c r="V61" i="25"/>
  <c r="Z60" i="25"/>
  <c r="W60" i="25"/>
  <c r="V60" i="25"/>
  <c r="Z59" i="25"/>
  <c r="W59" i="25"/>
  <c r="V59" i="25"/>
  <c r="Z58" i="25"/>
  <c r="W58" i="25"/>
  <c r="V58" i="25"/>
  <c r="Z57" i="25"/>
  <c r="W57" i="25"/>
  <c r="V57" i="25"/>
  <c r="Z56" i="25"/>
  <c r="W56" i="25"/>
  <c r="V56" i="25"/>
  <c r="Z55" i="25"/>
  <c r="W55" i="25"/>
  <c r="V55" i="25"/>
  <c r="Z54" i="25"/>
  <c r="W54" i="25"/>
  <c r="V54" i="25"/>
  <c r="Z53" i="25"/>
  <c r="W53" i="25"/>
  <c r="V53" i="25"/>
  <c r="Z52" i="25"/>
  <c r="W52" i="25"/>
  <c r="V52" i="25"/>
  <c r="Z51" i="25"/>
  <c r="W51" i="25"/>
  <c r="V51" i="25"/>
  <c r="Z50" i="25"/>
  <c r="W50" i="25"/>
  <c r="V50" i="25"/>
  <c r="Z49" i="25"/>
  <c r="W49" i="25"/>
  <c r="V49" i="25"/>
  <c r="Z48" i="25"/>
  <c r="W48" i="25"/>
  <c r="V48" i="25"/>
  <c r="Z47" i="25"/>
  <c r="W47" i="25"/>
  <c r="V47" i="25"/>
  <c r="Z46" i="25"/>
  <c r="W46" i="25"/>
  <c r="V46" i="25"/>
  <c r="Z45" i="25"/>
  <c r="W45" i="25"/>
  <c r="V45" i="25"/>
  <c r="Z44" i="25"/>
  <c r="W44" i="25"/>
  <c r="V44" i="25"/>
  <c r="Z43" i="25"/>
  <c r="W43" i="25"/>
  <c r="V43" i="25"/>
  <c r="Z42" i="25"/>
  <c r="W42" i="25"/>
  <c r="V42" i="25"/>
  <c r="Z41" i="25"/>
  <c r="W41" i="25"/>
  <c r="V41" i="25"/>
  <c r="Z40" i="25"/>
  <c r="W40" i="25"/>
  <c r="V40" i="25"/>
  <c r="Z39" i="25"/>
  <c r="W39" i="25"/>
  <c r="V39" i="25"/>
  <c r="Z38" i="25"/>
  <c r="W38" i="25"/>
  <c r="V38" i="25"/>
  <c r="Z37" i="25"/>
  <c r="W37" i="25"/>
  <c r="V37" i="25"/>
  <c r="Z36" i="25"/>
  <c r="W36" i="25"/>
  <c r="V36" i="25"/>
  <c r="Z35" i="25"/>
  <c r="W35" i="25"/>
  <c r="V35" i="25"/>
  <c r="Z34" i="25"/>
  <c r="W34" i="25"/>
  <c r="V34" i="25"/>
  <c r="Z33" i="25"/>
  <c r="W33" i="25"/>
  <c r="V33" i="25"/>
  <c r="Z32" i="25"/>
  <c r="W32" i="25"/>
  <c r="V32" i="25"/>
  <c r="Z31" i="25"/>
  <c r="W31" i="25"/>
  <c r="V31" i="25"/>
  <c r="Z30" i="25"/>
  <c r="W30" i="25"/>
  <c r="V30" i="25"/>
  <c r="Z29" i="25"/>
  <c r="W29" i="25"/>
  <c r="V29" i="25"/>
  <c r="Z28" i="25"/>
  <c r="W28" i="25"/>
  <c r="V28" i="25"/>
  <c r="Z27" i="25"/>
  <c r="W27" i="25"/>
  <c r="V27" i="25"/>
  <c r="Z26" i="25"/>
  <c r="W26" i="25"/>
  <c r="V26" i="25"/>
  <c r="Z25" i="25"/>
  <c r="W25" i="25"/>
  <c r="V25" i="25"/>
  <c r="Z24" i="25"/>
  <c r="W24" i="25"/>
  <c r="V24" i="25"/>
  <c r="Z23" i="25"/>
  <c r="W23" i="25"/>
  <c r="V23" i="25"/>
  <c r="Z22" i="25"/>
  <c r="W22" i="25"/>
  <c r="V22" i="25"/>
  <c r="Z21" i="25"/>
  <c r="W21" i="25"/>
  <c r="V21" i="25"/>
  <c r="Z20" i="25"/>
  <c r="W20" i="25"/>
  <c r="V20" i="25"/>
  <c r="Z19" i="25"/>
  <c r="W19" i="25"/>
  <c r="V19" i="25"/>
  <c r="Z18" i="25"/>
  <c r="W18" i="25"/>
  <c r="V18" i="25"/>
  <c r="Z17" i="25"/>
  <c r="W17" i="25"/>
  <c r="V17" i="25"/>
  <c r="Z16" i="25"/>
  <c r="W16" i="25"/>
  <c r="V16" i="25"/>
  <c r="Z15" i="25"/>
  <c r="W15" i="25"/>
  <c r="V15" i="25"/>
  <c r="Z14" i="25"/>
  <c r="W14" i="25"/>
  <c r="V14" i="25"/>
  <c r="Z13" i="25"/>
  <c r="W13" i="25"/>
  <c r="V13" i="25"/>
  <c r="Z12" i="25"/>
  <c r="W12" i="25"/>
  <c r="V12" i="25"/>
  <c r="Z11" i="25"/>
  <c r="W11" i="25"/>
  <c r="V11" i="25"/>
  <c r="Z10" i="25"/>
  <c r="W10" i="25"/>
  <c r="V10" i="25"/>
  <c r="Z9" i="25"/>
  <c r="W9" i="25"/>
  <c r="V9" i="25"/>
  <c r="Z8" i="25"/>
  <c r="W8" i="25"/>
  <c r="V8" i="25"/>
  <c r="Z7" i="25"/>
  <c r="W7" i="25"/>
  <c r="V7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E7" i="25"/>
  <c r="F7" i="25" s="1"/>
  <c r="B7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D5" i="25"/>
  <c r="C5" i="25"/>
  <c r="Z79" i="24"/>
  <c r="W79" i="24"/>
  <c r="V79" i="24"/>
  <c r="Z78" i="24"/>
  <c r="W78" i="24"/>
  <c r="V78" i="24"/>
  <c r="Z77" i="24"/>
  <c r="W77" i="24"/>
  <c r="V77" i="24"/>
  <c r="Z76" i="24"/>
  <c r="W76" i="24"/>
  <c r="V76" i="24"/>
  <c r="Z75" i="24"/>
  <c r="W75" i="24"/>
  <c r="V75" i="24"/>
  <c r="Z74" i="24"/>
  <c r="W74" i="24"/>
  <c r="V74" i="24"/>
  <c r="Z73" i="24"/>
  <c r="W73" i="24"/>
  <c r="V73" i="24"/>
  <c r="Z72" i="24"/>
  <c r="W72" i="24"/>
  <c r="V72" i="24"/>
  <c r="Z71" i="24"/>
  <c r="W71" i="24"/>
  <c r="V71" i="24"/>
  <c r="Z70" i="24"/>
  <c r="W70" i="24"/>
  <c r="V70" i="24"/>
  <c r="Z69" i="24"/>
  <c r="W69" i="24"/>
  <c r="V69" i="24"/>
  <c r="Z68" i="24"/>
  <c r="W68" i="24"/>
  <c r="V68" i="24"/>
  <c r="Z67" i="24"/>
  <c r="W67" i="24"/>
  <c r="V67" i="24"/>
  <c r="Z66" i="24"/>
  <c r="W66" i="24"/>
  <c r="V66" i="24"/>
  <c r="Z65" i="24"/>
  <c r="W65" i="24"/>
  <c r="V65" i="24"/>
  <c r="Z64" i="24"/>
  <c r="W64" i="24"/>
  <c r="V64" i="24"/>
  <c r="Z63" i="24"/>
  <c r="W63" i="24"/>
  <c r="V63" i="24"/>
  <c r="Z62" i="24"/>
  <c r="W62" i="24"/>
  <c r="V62" i="24"/>
  <c r="Z61" i="24"/>
  <c r="W61" i="24"/>
  <c r="V61" i="24"/>
  <c r="Z60" i="24"/>
  <c r="W60" i="24"/>
  <c r="V60" i="24"/>
  <c r="Z59" i="24"/>
  <c r="W59" i="24"/>
  <c r="V59" i="24"/>
  <c r="Z58" i="24"/>
  <c r="W58" i="24"/>
  <c r="V58" i="24"/>
  <c r="Z57" i="24"/>
  <c r="W57" i="24"/>
  <c r="V57" i="24"/>
  <c r="Z56" i="24"/>
  <c r="W56" i="24"/>
  <c r="V56" i="24"/>
  <c r="Z55" i="24"/>
  <c r="W55" i="24"/>
  <c r="V55" i="24"/>
  <c r="Z54" i="24"/>
  <c r="W54" i="24"/>
  <c r="V54" i="24"/>
  <c r="Z53" i="24"/>
  <c r="W53" i="24"/>
  <c r="V53" i="24"/>
  <c r="Z52" i="24"/>
  <c r="W52" i="24"/>
  <c r="V52" i="24"/>
  <c r="Z51" i="24"/>
  <c r="W51" i="24"/>
  <c r="V51" i="24"/>
  <c r="Z50" i="24"/>
  <c r="W50" i="24"/>
  <c r="V50" i="24"/>
  <c r="Z49" i="24"/>
  <c r="W49" i="24"/>
  <c r="V49" i="24"/>
  <c r="Z48" i="24"/>
  <c r="W48" i="24"/>
  <c r="V48" i="24"/>
  <c r="Z47" i="24"/>
  <c r="W47" i="24"/>
  <c r="V47" i="24"/>
  <c r="Z46" i="24"/>
  <c r="W46" i="24"/>
  <c r="V46" i="24"/>
  <c r="Z45" i="24"/>
  <c r="W45" i="24"/>
  <c r="V45" i="24"/>
  <c r="Z44" i="24"/>
  <c r="W44" i="24"/>
  <c r="V44" i="24"/>
  <c r="Z43" i="24"/>
  <c r="W43" i="24"/>
  <c r="V43" i="24"/>
  <c r="Z42" i="24"/>
  <c r="W42" i="24"/>
  <c r="V42" i="24"/>
  <c r="Z41" i="24"/>
  <c r="W41" i="24"/>
  <c r="V41" i="24"/>
  <c r="Z40" i="24"/>
  <c r="W40" i="24"/>
  <c r="V40" i="24"/>
  <c r="Z39" i="24"/>
  <c r="W39" i="24"/>
  <c r="V39" i="24"/>
  <c r="Z38" i="24"/>
  <c r="W38" i="24"/>
  <c r="V38" i="24"/>
  <c r="Z37" i="24"/>
  <c r="W37" i="24"/>
  <c r="V37" i="24"/>
  <c r="Z36" i="24"/>
  <c r="W36" i="24"/>
  <c r="V36" i="24"/>
  <c r="Z35" i="24"/>
  <c r="W35" i="24"/>
  <c r="V35" i="24"/>
  <c r="Z34" i="24"/>
  <c r="W34" i="24"/>
  <c r="V34" i="24"/>
  <c r="Z33" i="24"/>
  <c r="W33" i="24"/>
  <c r="V33" i="24"/>
  <c r="Z32" i="24"/>
  <c r="W32" i="24"/>
  <c r="V32" i="24"/>
  <c r="Z31" i="24"/>
  <c r="W31" i="24"/>
  <c r="V31" i="24"/>
  <c r="Z30" i="24"/>
  <c r="W30" i="24"/>
  <c r="V30" i="24"/>
  <c r="Z29" i="24"/>
  <c r="W29" i="24"/>
  <c r="V29" i="24"/>
  <c r="Z28" i="24"/>
  <c r="W28" i="24"/>
  <c r="V28" i="24"/>
  <c r="Z27" i="24"/>
  <c r="W27" i="24"/>
  <c r="V27" i="24"/>
  <c r="Z26" i="24"/>
  <c r="W26" i="24"/>
  <c r="V26" i="24"/>
  <c r="Z25" i="24"/>
  <c r="W25" i="24"/>
  <c r="V25" i="24"/>
  <c r="Z24" i="24"/>
  <c r="W24" i="24"/>
  <c r="V24" i="24"/>
  <c r="Z23" i="24"/>
  <c r="W23" i="24"/>
  <c r="V23" i="24"/>
  <c r="Z22" i="24"/>
  <c r="W22" i="24"/>
  <c r="V22" i="24"/>
  <c r="Z21" i="24"/>
  <c r="W21" i="24"/>
  <c r="V21" i="24"/>
  <c r="Z20" i="24"/>
  <c r="W20" i="24"/>
  <c r="V20" i="24"/>
  <c r="Z19" i="24"/>
  <c r="W19" i="24"/>
  <c r="V19" i="24"/>
  <c r="Z18" i="24"/>
  <c r="W18" i="24"/>
  <c r="V18" i="24"/>
  <c r="Z17" i="24"/>
  <c r="W17" i="24"/>
  <c r="V17" i="24"/>
  <c r="Z16" i="24"/>
  <c r="W16" i="24"/>
  <c r="V16" i="24"/>
  <c r="Z15" i="24"/>
  <c r="W15" i="24"/>
  <c r="V15" i="24"/>
  <c r="Z14" i="24"/>
  <c r="W14" i="24"/>
  <c r="V14" i="24"/>
  <c r="Z13" i="24"/>
  <c r="W13" i="24"/>
  <c r="V13" i="24"/>
  <c r="Z12" i="24"/>
  <c r="W12" i="24"/>
  <c r="V12" i="24"/>
  <c r="Z11" i="24"/>
  <c r="W11" i="24"/>
  <c r="V11" i="24"/>
  <c r="Z10" i="24"/>
  <c r="W10" i="24"/>
  <c r="V10" i="24"/>
  <c r="Z9" i="24"/>
  <c r="W9" i="24"/>
  <c r="V9" i="24"/>
  <c r="Z8" i="24"/>
  <c r="W8" i="24"/>
  <c r="V8" i="24"/>
  <c r="Z7" i="24"/>
  <c r="W7" i="24"/>
  <c r="V7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E7" i="24"/>
  <c r="E8" i="24" s="1"/>
  <c r="E9" i="24" s="1"/>
  <c r="E10" i="24" s="1"/>
  <c r="E11" i="24" s="1"/>
  <c r="E12" i="24" s="1"/>
  <c r="E13" i="24" s="1"/>
  <c r="E14" i="24" s="1"/>
  <c r="E15" i="24" s="1"/>
  <c r="E16" i="24" s="1"/>
  <c r="E17" i="24" s="1"/>
  <c r="E18" i="24" s="1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E43" i="24" s="1"/>
  <c r="E44" i="24" s="1"/>
  <c r="E45" i="24" s="1"/>
  <c r="E46" i="24" s="1"/>
  <c r="E47" i="24" s="1"/>
  <c r="E48" i="24" s="1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E75" i="24" s="1"/>
  <c r="E76" i="24" s="1"/>
  <c r="E77" i="24" s="1"/>
  <c r="E78" i="24" s="1"/>
  <c r="E79" i="24" s="1"/>
  <c r="F79" i="24" s="1"/>
  <c r="B7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D5" i="24"/>
  <c r="C5" i="24"/>
  <c r="Z79" i="2"/>
  <c r="W79" i="2"/>
  <c r="V79" i="2"/>
  <c r="Z78" i="2"/>
  <c r="W78" i="2"/>
  <c r="V78" i="2"/>
  <c r="Z77" i="2"/>
  <c r="W77" i="2"/>
  <c r="V77" i="2"/>
  <c r="Z76" i="2"/>
  <c r="W76" i="2"/>
  <c r="V76" i="2"/>
  <c r="Z75" i="2"/>
  <c r="W75" i="2"/>
  <c r="V75" i="2"/>
  <c r="Z74" i="2"/>
  <c r="W74" i="2"/>
  <c r="V74" i="2"/>
  <c r="Z73" i="2"/>
  <c r="W73" i="2"/>
  <c r="V73" i="2"/>
  <c r="Z72" i="2"/>
  <c r="W72" i="2"/>
  <c r="V72" i="2"/>
  <c r="Z71" i="2"/>
  <c r="W71" i="2"/>
  <c r="V71" i="2"/>
  <c r="Z70" i="2"/>
  <c r="W70" i="2"/>
  <c r="V70" i="2"/>
  <c r="Z69" i="2"/>
  <c r="W69" i="2"/>
  <c r="V69" i="2"/>
  <c r="Z68" i="2"/>
  <c r="W68" i="2"/>
  <c r="V68" i="2"/>
  <c r="Z67" i="2"/>
  <c r="W67" i="2"/>
  <c r="V67" i="2"/>
  <c r="Z66" i="2"/>
  <c r="W66" i="2"/>
  <c r="V66" i="2"/>
  <c r="Z65" i="2"/>
  <c r="W65" i="2"/>
  <c r="V65" i="2"/>
  <c r="Z64" i="2"/>
  <c r="W64" i="2"/>
  <c r="V64" i="2"/>
  <c r="Z63" i="2"/>
  <c r="W63" i="2"/>
  <c r="V63" i="2"/>
  <c r="Z62" i="2"/>
  <c r="W62" i="2"/>
  <c r="V62" i="2"/>
  <c r="Z61" i="2"/>
  <c r="W61" i="2"/>
  <c r="V61" i="2"/>
  <c r="Z60" i="2"/>
  <c r="W60" i="2"/>
  <c r="V60" i="2"/>
  <c r="Z59" i="2"/>
  <c r="W59" i="2"/>
  <c r="V59" i="2"/>
  <c r="Z58" i="2"/>
  <c r="W58" i="2"/>
  <c r="V58" i="2"/>
  <c r="Z57" i="2"/>
  <c r="W57" i="2"/>
  <c r="V57" i="2"/>
  <c r="Z56" i="2"/>
  <c r="W56" i="2"/>
  <c r="V56" i="2"/>
  <c r="Z55" i="2"/>
  <c r="W55" i="2"/>
  <c r="V55" i="2"/>
  <c r="Z54" i="2"/>
  <c r="W54" i="2"/>
  <c r="V54" i="2"/>
  <c r="Z53" i="2"/>
  <c r="W53" i="2"/>
  <c r="V53" i="2"/>
  <c r="Z52" i="2"/>
  <c r="W52" i="2"/>
  <c r="V52" i="2"/>
  <c r="Z51" i="2"/>
  <c r="W51" i="2"/>
  <c r="V51" i="2"/>
  <c r="Z50" i="2"/>
  <c r="W50" i="2"/>
  <c r="V50" i="2"/>
  <c r="Z49" i="2"/>
  <c r="W49" i="2"/>
  <c r="V49" i="2"/>
  <c r="Z48" i="2"/>
  <c r="W48" i="2"/>
  <c r="V48" i="2"/>
  <c r="Z47" i="2"/>
  <c r="W47" i="2"/>
  <c r="V47" i="2"/>
  <c r="Z46" i="2"/>
  <c r="W46" i="2"/>
  <c r="V46" i="2"/>
  <c r="Z45" i="2"/>
  <c r="W45" i="2"/>
  <c r="V45" i="2"/>
  <c r="Z44" i="2"/>
  <c r="W44" i="2"/>
  <c r="V44" i="2"/>
  <c r="Z43" i="2"/>
  <c r="W43" i="2"/>
  <c r="V43" i="2"/>
  <c r="Z42" i="2"/>
  <c r="W42" i="2"/>
  <c r="V42" i="2"/>
  <c r="Z41" i="2"/>
  <c r="W41" i="2"/>
  <c r="V41" i="2"/>
  <c r="Z40" i="2"/>
  <c r="W40" i="2"/>
  <c r="V40" i="2"/>
  <c r="Z39" i="2"/>
  <c r="W39" i="2"/>
  <c r="V39" i="2"/>
  <c r="Z38" i="2"/>
  <c r="W38" i="2"/>
  <c r="V38" i="2"/>
  <c r="Z37" i="2"/>
  <c r="W37" i="2"/>
  <c r="V37" i="2"/>
  <c r="Z36" i="2"/>
  <c r="W36" i="2"/>
  <c r="V36" i="2"/>
  <c r="Z35" i="2"/>
  <c r="W35" i="2"/>
  <c r="V35" i="2"/>
  <c r="Z34" i="2"/>
  <c r="W34" i="2"/>
  <c r="V34" i="2"/>
  <c r="Z33" i="2"/>
  <c r="W33" i="2"/>
  <c r="V33" i="2"/>
  <c r="Z32" i="2"/>
  <c r="W32" i="2"/>
  <c r="V32" i="2"/>
  <c r="Z31" i="2"/>
  <c r="W31" i="2"/>
  <c r="V31" i="2"/>
  <c r="Z30" i="2"/>
  <c r="W30" i="2"/>
  <c r="V30" i="2"/>
  <c r="Z29" i="2"/>
  <c r="W29" i="2"/>
  <c r="V29" i="2"/>
  <c r="Z28" i="2"/>
  <c r="W28" i="2"/>
  <c r="V28" i="2"/>
  <c r="Z27" i="2"/>
  <c r="W27" i="2"/>
  <c r="V27" i="2"/>
  <c r="Z26" i="2"/>
  <c r="W26" i="2"/>
  <c r="V26" i="2"/>
  <c r="Z25" i="2"/>
  <c r="W25" i="2"/>
  <c r="V25" i="2"/>
  <c r="Z24" i="2"/>
  <c r="W24" i="2"/>
  <c r="V24" i="2"/>
  <c r="Z23" i="2"/>
  <c r="W23" i="2"/>
  <c r="V23" i="2"/>
  <c r="Z22" i="2"/>
  <c r="W22" i="2"/>
  <c r="V22" i="2"/>
  <c r="Z21" i="2"/>
  <c r="W21" i="2"/>
  <c r="V21" i="2"/>
  <c r="Z20" i="2"/>
  <c r="W20" i="2"/>
  <c r="V20" i="2"/>
  <c r="Z19" i="2"/>
  <c r="W19" i="2"/>
  <c r="V19" i="2"/>
  <c r="Z18" i="2"/>
  <c r="W18" i="2"/>
  <c r="V18" i="2"/>
  <c r="Z17" i="2"/>
  <c r="W17" i="2"/>
  <c r="V17" i="2"/>
  <c r="Z16" i="2"/>
  <c r="W16" i="2"/>
  <c r="V16" i="2"/>
  <c r="Z15" i="2"/>
  <c r="W15" i="2"/>
  <c r="V15" i="2"/>
  <c r="Z14" i="2"/>
  <c r="W14" i="2"/>
  <c r="V14" i="2"/>
  <c r="Z13" i="2"/>
  <c r="W13" i="2"/>
  <c r="V13" i="2"/>
  <c r="Z12" i="2"/>
  <c r="W12" i="2"/>
  <c r="V12" i="2"/>
  <c r="Z11" i="2"/>
  <c r="W11" i="2"/>
  <c r="V11" i="2"/>
  <c r="Z10" i="2"/>
  <c r="W10" i="2"/>
  <c r="V10" i="2"/>
  <c r="Z9" i="2"/>
  <c r="W9" i="2"/>
  <c r="V9" i="2"/>
  <c r="Z8" i="2"/>
  <c r="W8" i="2"/>
  <c r="V8" i="2"/>
  <c r="Z7" i="2"/>
  <c r="W7" i="2"/>
  <c r="V7" i="2"/>
  <c r="Z79" i="22"/>
  <c r="W79" i="22"/>
  <c r="V79" i="22"/>
  <c r="Z78" i="22"/>
  <c r="W78" i="22"/>
  <c r="V78" i="22"/>
  <c r="Z77" i="22"/>
  <c r="W77" i="22"/>
  <c r="V77" i="22"/>
  <c r="Z76" i="22"/>
  <c r="W76" i="22"/>
  <c r="V76" i="22"/>
  <c r="Z75" i="22"/>
  <c r="W75" i="22"/>
  <c r="V75" i="22"/>
  <c r="Z74" i="22"/>
  <c r="W74" i="22"/>
  <c r="V74" i="22"/>
  <c r="Z73" i="22"/>
  <c r="W73" i="22"/>
  <c r="V73" i="22"/>
  <c r="Z72" i="22"/>
  <c r="W72" i="22"/>
  <c r="V72" i="22"/>
  <c r="Z71" i="22"/>
  <c r="W71" i="22"/>
  <c r="V71" i="22"/>
  <c r="Z70" i="22"/>
  <c r="W70" i="22"/>
  <c r="V70" i="22"/>
  <c r="Z69" i="22"/>
  <c r="W69" i="22"/>
  <c r="V69" i="22"/>
  <c r="Z68" i="22"/>
  <c r="W68" i="22"/>
  <c r="V68" i="22"/>
  <c r="Z67" i="22"/>
  <c r="W67" i="22"/>
  <c r="V67" i="22"/>
  <c r="Z66" i="22"/>
  <c r="W66" i="22"/>
  <c r="V66" i="22"/>
  <c r="Z65" i="22"/>
  <c r="W65" i="22"/>
  <c r="V65" i="22"/>
  <c r="Z64" i="22"/>
  <c r="W64" i="22"/>
  <c r="V64" i="22"/>
  <c r="Z63" i="22"/>
  <c r="W63" i="22"/>
  <c r="V63" i="22"/>
  <c r="Z62" i="22"/>
  <c r="W62" i="22"/>
  <c r="V62" i="22"/>
  <c r="Z61" i="22"/>
  <c r="W61" i="22"/>
  <c r="V61" i="22"/>
  <c r="Z60" i="22"/>
  <c r="W60" i="22"/>
  <c r="V60" i="22"/>
  <c r="Z59" i="22"/>
  <c r="W59" i="22"/>
  <c r="V59" i="22"/>
  <c r="Z58" i="22"/>
  <c r="W58" i="22"/>
  <c r="V58" i="22"/>
  <c r="Z57" i="22"/>
  <c r="W57" i="22"/>
  <c r="V57" i="22"/>
  <c r="Z56" i="22"/>
  <c r="W56" i="22"/>
  <c r="V56" i="22"/>
  <c r="Z55" i="22"/>
  <c r="W55" i="22"/>
  <c r="V55" i="22"/>
  <c r="Z54" i="22"/>
  <c r="W54" i="22"/>
  <c r="V54" i="22"/>
  <c r="Z53" i="22"/>
  <c r="W53" i="22"/>
  <c r="V53" i="22"/>
  <c r="Z52" i="22"/>
  <c r="W52" i="22"/>
  <c r="V52" i="22"/>
  <c r="Z51" i="22"/>
  <c r="W51" i="22"/>
  <c r="V51" i="22"/>
  <c r="Z50" i="22"/>
  <c r="W50" i="22"/>
  <c r="V50" i="22"/>
  <c r="Z49" i="22"/>
  <c r="W49" i="22"/>
  <c r="V49" i="22"/>
  <c r="Z48" i="22"/>
  <c r="W48" i="22"/>
  <c r="V48" i="22"/>
  <c r="Z47" i="22"/>
  <c r="W47" i="22"/>
  <c r="V47" i="22"/>
  <c r="Z46" i="22"/>
  <c r="W46" i="22"/>
  <c r="V46" i="22"/>
  <c r="Z45" i="22"/>
  <c r="W45" i="22"/>
  <c r="V45" i="22"/>
  <c r="Z44" i="22"/>
  <c r="W44" i="22"/>
  <c r="V44" i="22"/>
  <c r="Z43" i="22"/>
  <c r="W43" i="22"/>
  <c r="V43" i="22"/>
  <c r="Z42" i="22"/>
  <c r="W42" i="22"/>
  <c r="V42" i="22"/>
  <c r="Z41" i="22"/>
  <c r="W41" i="22"/>
  <c r="V41" i="22"/>
  <c r="Z40" i="22"/>
  <c r="W40" i="22"/>
  <c r="V40" i="22"/>
  <c r="Z39" i="22"/>
  <c r="W39" i="22"/>
  <c r="V39" i="22"/>
  <c r="Z38" i="22"/>
  <c r="W38" i="22"/>
  <c r="V38" i="22"/>
  <c r="Z37" i="22"/>
  <c r="W37" i="22"/>
  <c r="V37" i="22"/>
  <c r="Z36" i="22"/>
  <c r="W36" i="22"/>
  <c r="V36" i="22"/>
  <c r="Z35" i="22"/>
  <c r="W35" i="22"/>
  <c r="V35" i="22"/>
  <c r="Z34" i="22"/>
  <c r="W34" i="22"/>
  <c r="V34" i="22"/>
  <c r="Z33" i="22"/>
  <c r="W33" i="22"/>
  <c r="V33" i="22"/>
  <c r="Z32" i="22"/>
  <c r="W32" i="22"/>
  <c r="V32" i="22"/>
  <c r="Z31" i="22"/>
  <c r="W31" i="22"/>
  <c r="V31" i="22"/>
  <c r="Z30" i="22"/>
  <c r="W30" i="22"/>
  <c r="V30" i="22"/>
  <c r="Z29" i="22"/>
  <c r="W29" i="22"/>
  <c r="V29" i="22"/>
  <c r="Z28" i="22"/>
  <c r="W28" i="22"/>
  <c r="V28" i="22"/>
  <c r="Z27" i="22"/>
  <c r="W27" i="22"/>
  <c r="V27" i="22"/>
  <c r="Z26" i="22"/>
  <c r="W26" i="22"/>
  <c r="V26" i="22"/>
  <c r="Z25" i="22"/>
  <c r="W25" i="22"/>
  <c r="V25" i="22"/>
  <c r="Z24" i="22"/>
  <c r="W24" i="22"/>
  <c r="V24" i="22"/>
  <c r="Z23" i="22"/>
  <c r="W23" i="22"/>
  <c r="V23" i="22"/>
  <c r="Z22" i="22"/>
  <c r="W22" i="22"/>
  <c r="V22" i="22"/>
  <c r="Z21" i="22"/>
  <c r="W21" i="22"/>
  <c r="V21" i="22"/>
  <c r="Z20" i="22"/>
  <c r="W20" i="22"/>
  <c r="V20" i="22"/>
  <c r="Z19" i="22"/>
  <c r="W19" i="22"/>
  <c r="V19" i="22"/>
  <c r="Z18" i="22"/>
  <c r="W18" i="22"/>
  <c r="V18" i="22"/>
  <c r="Z17" i="22"/>
  <c r="W17" i="22"/>
  <c r="V17" i="22"/>
  <c r="Z16" i="22"/>
  <c r="W16" i="22"/>
  <c r="V16" i="22"/>
  <c r="Z15" i="22"/>
  <c r="W15" i="22"/>
  <c r="V15" i="22"/>
  <c r="Z14" i="22"/>
  <c r="W14" i="22"/>
  <c r="V14" i="22"/>
  <c r="Z13" i="22"/>
  <c r="W13" i="22"/>
  <c r="V13" i="22"/>
  <c r="Z12" i="22"/>
  <c r="W12" i="22"/>
  <c r="V12" i="22"/>
  <c r="Z11" i="22"/>
  <c r="W11" i="22"/>
  <c r="V11" i="22"/>
  <c r="Z10" i="22"/>
  <c r="W10" i="22"/>
  <c r="V10" i="22"/>
  <c r="Z9" i="22"/>
  <c r="W9" i="22"/>
  <c r="V9" i="22"/>
  <c r="Z8" i="22"/>
  <c r="W8" i="22"/>
  <c r="V8" i="22"/>
  <c r="Z7" i="22"/>
  <c r="W7" i="22"/>
  <c r="V7" i="22"/>
  <c r="Z79" i="21"/>
  <c r="W79" i="21"/>
  <c r="V79" i="21"/>
  <c r="Z78" i="21"/>
  <c r="W78" i="21"/>
  <c r="V78" i="21"/>
  <c r="Z77" i="21"/>
  <c r="W77" i="21"/>
  <c r="V77" i="21"/>
  <c r="Z76" i="21"/>
  <c r="W76" i="21"/>
  <c r="V76" i="21"/>
  <c r="Z75" i="21"/>
  <c r="W75" i="21"/>
  <c r="V75" i="21"/>
  <c r="Z74" i="21"/>
  <c r="W74" i="21"/>
  <c r="V74" i="21"/>
  <c r="Z73" i="21"/>
  <c r="W73" i="21"/>
  <c r="V73" i="21"/>
  <c r="Z72" i="21"/>
  <c r="W72" i="21"/>
  <c r="V72" i="21"/>
  <c r="Z71" i="21"/>
  <c r="W71" i="21"/>
  <c r="V71" i="21"/>
  <c r="Z70" i="21"/>
  <c r="W70" i="21"/>
  <c r="V70" i="21"/>
  <c r="Z69" i="21"/>
  <c r="W69" i="21"/>
  <c r="V69" i="21"/>
  <c r="Z68" i="21"/>
  <c r="W68" i="21"/>
  <c r="V68" i="21"/>
  <c r="Z67" i="21"/>
  <c r="W67" i="21"/>
  <c r="V67" i="21"/>
  <c r="Z66" i="21"/>
  <c r="W66" i="21"/>
  <c r="V66" i="21"/>
  <c r="Z65" i="21"/>
  <c r="W65" i="21"/>
  <c r="V65" i="21"/>
  <c r="Z64" i="21"/>
  <c r="W64" i="21"/>
  <c r="V64" i="21"/>
  <c r="Z63" i="21"/>
  <c r="W63" i="21"/>
  <c r="V63" i="21"/>
  <c r="Z62" i="21"/>
  <c r="W62" i="21"/>
  <c r="V62" i="21"/>
  <c r="Z61" i="21"/>
  <c r="W61" i="21"/>
  <c r="V61" i="21"/>
  <c r="Z60" i="21"/>
  <c r="W60" i="21"/>
  <c r="V60" i="21"/>
  <c r="Z59" i="21"/>
  <c r="W59" i="21"/>
  <c r="V59" i="21"/>
  <c r="Z58" i="21"/>
  <c r="W58" i="21"/>
  <c r="V58" i="21"/>
  <c r="Z57" i="21"/>
  <c r="W57" i="21"/>
  <c r="V57" i="21"/>
  <c r="Z56" i="21"/>
  <c r="W56" i="21"/>
  <c r="V56" i="21"/>
  <c r="Z55" i="21"/>
  <c r="W55" i="21"/>
  <c r="V55" i="21"/>
  <c r="Z54" i="21"/>
  <c r="W54" i="21"/>
  <c r="V54" i="21"/>
  <c r="Z53" i="21"/>
  <c r="W53" i="21"/>
  <c r="V53" i="21"/>
  <c r="Z52" i="21"/>
  <c r="W52" i="21"/>
  <c r="V52" i="21"/>
  <c r="Z51" i="21"/>
  <c r="W51" i="21"/>
  <c r="V51" i="21"/>
  <c r="Z50" i="21"/>
  <c r="W50" i="21"/>
  <c r="V50" i="21"/>
  <c r="Z49" i="21"/>
  <c r="W49" i="21"/>
  <c r="V49" i="21"/>
  <c r="Z48" i="21"/>
  <c r="W48" i="21"/>
  <c r="V48" i="21"/>
  <c r="Z47" i="21"/>
  <c r="W47" i="21"/>
  <c r="V47" i="21"/>
  <c r="Z46" i="21"/>
  <c r="W46" i="21"/>
  <c r="V46" i="21"/>
  <c r="Z45" i="21"/>
  <c r="W45" i="21"/>
  <c r="V45" i="21"/>
  <c r="Z44" i="21"/>
  <c r="W44" i="21"/>
  <c r="V44" i="21"/>
  <c r="Z43" i="21"/>
  <c r="W43" i="21"/>
  <c r="V43" i="21"/>
  <c r="Z42" i="21"/>
  <c r="W42" i="21"/>
  <c r="V42" i="21"/>
  <c r="Z41" i="21"/>
  <c r="W41" i="21"/>
  <c r="V41" i="21"/>
  <c r="Z40" i="21"/>
  <c r="W40" i="21"/>
  <c r="V40" i="21"/>
  <c r="Z39" i="21"/>
  <c r="W39" i="21"/>
  <c r="V39" i="21"/>
  <c r="Z38" i="21"/>
  <c r="W38" i="21"/>
  <c r="V38" i="21"/>
  <c r="Z37" i="21"/>
  <c r="W37" i="21"/>
  <c r="V37" i="21"/>
  <c r="Z36" i="21"/>
  <c r="W36" i="21"/>
  <c r="V36" i="21"/>
  <c r="Z35" i="21"/>
  <c r="W35" i="21"/>
  <c r="V35" i="21"/>
  <c r="Z34" i="21"/>
  <c r="W34" i="21"/>
  <c r="V34" i="21"/>
  <c r="Z33" i="21"/>
  <c r="W33" i="21"/>
  <c r="V33" i="21"/>
  <c r="Z32" i="21"/>
  <c r="W32" i="21"/>
  <c r="V32" i="21"/>
  <c r="Z31" i="21"/>
  <c r="W31" i="21"/>
  <c r="V31" i="21"/>
  <c r="Z30" i="21"/>
  <c r="W30" i="21"/>
  <c r="V30" i="21"/>
  <c r="Z29" i="21"/>
  <c r="W29" i="21"/>
  <c r="V29" i="21"/>
  <c r="Z28" i="21"/>
  <c r="W28" i="21"/>
  <c r="V28" i="21"/>
  <c r="Z27" i="21"/>
  <c r="W27" i="21"/>
  <c r="V27" i="21"/>
  <c r="Z26" i="21"/>
  <c r="W26" i="21"/>
  <c r="V26" i="21"/>
  <c r="Z25" i="21"/>
  <c r="W25" i="21"/>
  <c r="V25" i="21"/>
  <c r="Z24" i="21"/>
  <c r="W24" i="21"/>
  <c r="V24" i="21"/>
  <c r="Z23" i="21"/>
  <c r="W23" i="21"/>
  <c r="V23" i="21"/>
  <c r="Z22" i="21"/>
  <c r="W22" i="21"/>
  <c r="V22" i="21"/>
  <c r="Z21" i="21"/>
  <c r="W21" i="21"/>
  <c r="V21" i="21"/>
  <c r="Z20" i="21"/>
  <c r="W20" i="21"/>
  <c r="V20" i="21"/>
  <c r="Z19" i="21"/>
  <c r="W19" i="21"/>
  <c r="V19" i="21"/>
  <c r="Z18" i="21"/>
  <c r="W18" i="21"/>
  <c r="V18" i="21"/>
  <c r="Z17" i="21"/>
  <c r="W17" i="21"/>
  <c r="V17" i="21"/>
  <c r="Z16" i="21"/>
  <c r="W16" i="21"/>
  <c r="V16" i="21"/>
  <c r="Z15" i="21"/>
  <c r="W15" i="21"/>
  <c r="V15" i="21"/>
  <c r="Z14" i="21"/>
  <c r="W14" i="21"/>
  <c r="V14" i="21"/>
  <c r="Z13" i="21"/>
  <c r="W13" i="21"/>
  <c r="V13" i="21"/>
  <c r="Z12" i="21"/>
  <c r="W12" i="21"/>
  <c r="V12" i="21"/>
  <c r="Z11" i="21"/>
  <c r="W11" i="21"/>
  <c r="V11" i="21"/>
  <c r="Z10" i="21"/>
  <c r="W10" i="21"/>
  <c r="V10" i="21"/>
  <c r="Z9" i="21"/>
  <c r="W9" i="21"/>
  <c r="V9" i="21"/>
  <c r="Z8" i="21"/>
  <c r="W8" i="21"/>
  <c r="V8" i="21"/>
  <c r="Z7" i="21"/>
  <c r="W7" i="21"/>
  <c r="V7" i="21"/>
  <c r="Z79" i="20"/>
  <c r="W79" i="20"/>
  <c r="V79" i="20"/>
  <c r="Z78" i="20"/>
  <c r="W78" i="20"/>
  <c r="V78" i="20"/>
  <c r="Z77" i="20"/>
  <c r="W77" i="20"/>
  <c r="V77" i="20"/>
  <c r="Z76" i="20"/>
  <c r="W76" i="20"/>
  <c r="V76" i="20"/>
  <c r="Z75" i="20"/>
  <c r="W75" i="20"/>
  <c r="V75" i="20"/>
  <c r="Z74" i="20"/>
  <c r="W74" i="20"/>
  <c r="V74" i="20"/>
  <c r="Z73" i="20"/>
  <c r="W73" i="20"/>
  <c r="V73" i="20"/>
  <c r="Z72" i="20"/>
  <c r="W72" i="20"/>
  <c r="V72" i="20"/>
  <c r="Z71" i="20"/>
  <c r="W71" i="20"/>
  <c r="V71" i="20"/>
  <c r="Z70" i="20"/>
  <c r="W70" i="20"/>
  <c r="V70" i="20"/>
  <c r="Z69" i="20"/>
  <c r="W69" i="20"/>
  <c r="V69" i="20"/>
  <c r="Z68" i="20"/>
  <c r="W68" i="20"/>
  <c r="V68" i="20"/>
  <c r="Z67" i="20"/>
  <c r="W67" i="20"/>
  <c r="V67" i="20"/>
  <c r="Z66" i="20"/>
  <c r="W66" i="20"/>
  <c r="V66" i="20"/>
  <c r="Z65" i="20"/>
  <c r="W65" i="20"/>
  <c r="V65" i="20"/>
  <c r="Z64" i="20"/>
  <c r="W64" i="20"/>
  <c r="V64" i="20"/>
  <c r="Z63" i="20"/>
  <c r="W63" i="20"/>
  <c r="V63" i="20"/>
  <c r="Z62" i="20"/>
  <c r="W62" i="20"/>
  <c r="V62" i="20"/>
  <c r="Z61" i="20"/>
  <c r="W61" i="20"/>
  <c r="V61" i="20"/>
  <c r="Z60" i="20"/>
  <c r="W60" i="20"/>
  <c r="V60" i="20"/>
  <c r="Z59" i="20"/>
  <c r="W59" i="20"/>
  <c r="V59" i="20"/>
  <c r="Z58" i="20"/>
  <c r="W58" i="20"/>
  <c r="V58" i="20"/>
  <c r="Z57" i="20"/>
  <c r="W57" i="20"/>
  <c r="V57" i="20"/>
  <c r="Z56" i="20"/>
  <c r="W56" i="20"/>
  <c r="V56" i="20"/>
  <c r="Z55" i="20"/>
  <c r="W55" i="20"/>
  <c r="V55" i="20"/>
  <c r="Z54" i="20"/>
  <c r="W54" i="20"/>
  <c r="V54" i="20"/>
  <c r="Z53" i="20"/>
  <c r="W53" i="20"/>
  <c r="V53" i="20"/>
  <c r="Z52" i="20"/>
  <c r="W52" i="20"/>
  <c r="V52" i="20"/>
  <c r="Z51" i="20"/>
  <c r="W51" i="20"/>
  <c r="V51" i="20"/>
  <c r="Z50" i="20"/>
  <c r="W50" i="20"/>
  <c r="V50" i="20"/>
  <c r="Z49" i="20"/>
  <c r="W49" i="20"/>
  <c r="V49" i="20"/>
  <c r="Z48" i="20"/>
  <c r="W48" i="20"/>
  <c r="V48" i="20"/>
  <c r="Z47" i="20"/>
  <c r="W47" i="20"/>
  <c r="V47" i="20"/>
  <c r="Z46" i="20"/>
  <c r="W46" i="20"/>
  <c r="V46" i="20"/>
  <c r="Z45" i="20"/>
  <c r="W45" i="20"/>
  <c r="V45" i="20"/>
  <c r="Z44" i="20"/>
  <c r="W44" i="20"/>
  <c r="V44" i="20"/>
  <c r="Z43" i="20"/>
  <c r="W43" i="20"/>
  <c r="V43" i="20"/>
  <c r="Z42" i="20"/>
  <c r="W42" i="20"/>
  <c r="V42" i="20"/>
  <c r="Z41" i="20"/>
  <c r="W41" i="20"/>
  <c r="V41" i="20"/>
  <c r="Z40" i="20"/>
  <c r="W40" i="20"/>
  <c r="V40" i="20"/>
  <c r="Z39" i="20"/>
  <c r="W39" i="20"/>
  <c r="V39" i="20"/>
  <c r="Z38" i="20"/>
  <c r="W38" i="20"/>
  <c r="V38" i="20"/>
  <c r="Z37" i="20"/>
  <c r="W37" i="20"/>
  <c r="V37" i="20"/>
  <c r="Z36" i="20"/>
  <c r="W36" i="20"/>
  <c r="V36" i="20"/>
  <c r="Z35" i="20"/>
  <c r="W35" i="20"/>
  <c r="V35" i="20"/>
  <c r="Z34" i="20"/>
  <c r="W34" i="20"/>
  <c r="V34" i="20"/>
  <c r="Z33" i="20"/>
  <c r="W33" i="20"/>
  <c r="V33" i="20"/>
  <c r="Z32" i="20"/>
  <c r="W32" i="20"/>
  <c r="V32" i="20"/>
  <c r="Z31" i="20"/>
  <c r="W31" i="20"/>
  <c r="V31" i="20"/>
  <c r="Z30" i="20"/>
  <c r="W30" i="20"/>
  <c r="V30" i="20"/>
  <c r="Z29" i="20"/>
  <c r="W29" i="20"/>
  <c r="V29" i="20"/>
  <c r="Z28" i="20"/>
  <c r="W28" i="20"/>
  <c r="V28" i="20"/>
  <c r="Z27" i="20"/>
  <c r="W27" i="20"/>
  <c r="V27" i="20"/>
  <c r="Z26" i="20"/>
  <c r="W26" i="20"/>
  <c r="V26" i="20"/>
  <c r="Z25" i="20"/>
  <c r="W25" i="20"/>
  <c r="V25" i="20"/>
  <c r="Z24" i="20"/>
  <c r="W24" i="20"/>
  <c r="V24" i="20"/>
  <c r="Z23" i="20"/>
  <c r="W23" i="20"/>
  <c r="V23" i="20"/>
  <c r="Z22" i="20"/>
  <c r="W22" i="20"/>
  <c r="V22" i="20"/>
  <c r="Z21" i="20"/>
  <c r="W21" i="20"/>
  <c r="V21" i="20"/>
  <c r="Z20" i="20"/>
  <c r="W20" i="20"/>
  <c r="V20" i="20"/>
  <c r="Z19" i="20"/>
  <c r="W19" i="20"/>
  <c r="V19" i="20"/>
  <c r="Z18" i="20"/>
  <c r="W18" i="20"/>
  <c r="V18" i="20"/>
  <c r="Z17" i="20"/>
  <c r="W17" i="20"/>
  <c r="V17" i="20"/>
  <c r="Z16" i="20"/>
  <c r="W16" i="20"/>
  <c r="V16" i="20"/>
  <c r="Z15" i="20"/>
  <c r="W15" i="20"/>
  <c r="V15" i="20"/>
  <c r="Z14" i="20"/>
  <c r="W14" i="20"/>
  <c r="V14" i="20"/>
  <c r="Z13" i="20"/>
  <c r="W13" i="20"/>
  <c r="V13" i="20"/>
  <c r="Z12" i="20"/>
  <c r="W12" i="20"/>
  <c r="V12" i="20"/>
  <c r="Z11" i="20"/>
  <c r="W11" i="20"/>
  <c r="V11" i="20"/>
  <c r="Z10" i="20"/>
  <c r="W10" i="20"/>
  <c r="V10" i="20"/>
  <c r="Z9" i="20"/>
  <c r="W9" i="20"/>
  <c r="V9" i="20"/>
  <c r="Z8" i="20"/>
  <c r="W8" i="20"/>
  <c r="V8" i="20"/>
  <c r="Z7" i="20"/>
  <c r="W7" i="20"/>
  <c r="V7" i="20"/>
  <c r="Z79" i="19"/>
  <c r="W79" i="19"/>
  <c r="V79" i="19"/>
  <c r="Z78" i="19"/>
  <c r="W78" i="19"/>
  <c r="V78" i="19"/>
  <c r="Z77" i="19"/>
  <c r="W77" i="19"/>
  <c r="V77" i="19"/>
  <c r="Z76" i="19"/>
  <c r="W76" i="19"/>
  <c r="V76" i="19"/>
  <c r="Z75" i="19"/>
  <c r="W75" i="19"/>
  <c r="V75" i="19"/>
  <c r="Z74" i="19"/>
  <c r="W74" i="19"/>
  <c r="V74" i="19"/>
  <c r="Z73" i="19"/>
  <c r="W73" i="19"/>
  <c r="V73" i="19"/>
  <c r="Z72" i="19"/>
  <c r="W72" i="19"/>
  <c r="V72" i="19"/>
  <c r="Z71" i="19"/>
  <c r="W71" i="19"/>
  <c r="V71" i="19"/>
  <c r="Z70" i="19"/>
  <c r="W70" i="19"/>
  <c r="V70" i="19"/>
  <c r="Z69" i="19"/>
  <c r="W69" i="19"/>
  <c r="V69" i="19"/>
  <c r="Z68" i="19"/>
  <c r="W68" i="19"/>
  <c r="V68" i="19"/>
  <c r="Z67" i="19"/>
  <c r="W67" i="19"/>
  <c r="V67" i="19"/>
  <c r="Z66" i="19"/>
  <c r="W66" i="19"/>
  <c r="V66" i="19"/>
  <c r="Z65" i="19"/>
  <c r="W65" i="19"/>
  <c r="V65" i="19"/>
  <c r="Z64" i="19"/>
  <c r="W64" i="19"/>
  <c r="V64" i="19"/>
  <c r="Z63" i="19"/>
  <c r="W63" i="19"/>
  <c r="V63" i="19"/>
  <c r="Z62" i="19"/>
  <c r="W62" i="19"/>
  <c r="V62" i="19"/>
  <c r="Z61" i="19"/>
  <c r="W61" i="19"/>
  <c r="V61" i="19"/>
  <c r="Z60" i="19"/>
  <c r="W60" i="19"/>
  <c r="V60" i="19"/>
  <c r="Z59" i="19"/>
  <c r="W59" i="19"/>
  <c r="V59" i="19"/>
  <c r="Z58" i="19"/>
  <c r="W58" i="19"/>
  <c r="V58" i="19"/>
  <c r="Z57" i="19"/>
  <c r="W57" i="19"/>
  <c r="V57" i="19"/>
  <c r="Z56" i="19"/>
  <c r="W56" i="19"/>
  <c r="V56" i="19"/>
  <c r="Z55" i="19"/>
  <c r="W55" i="19"/>
  <c r="V55" i="19"/>
  <c r="Z54" i="19"/>
  <c r="W54" i="19"/>
  <c r="V54" i="19"/>
  <c r="Z53" i="19"/>
  <c r="W53" i="19"/>
  <c r="V53" i="19"/>
  <c r="Z52" i="19"/>
  <c r="W52" i="19"/>
  <c r="V52" i="19"/>
  <c r="Z51" i="19"/>
  <c r="W51" i="19"/>
  <c r="V51" i="19"/>
  <c r="Z50" i="19"/>
  <c r="W50" i="19"/>
  <c r="V50" i="19"/>
  <c r="Z49" i="19"/>
  <c r="W49" i="19"/>
  <c r="V49" i="19"/>
  <c r="Z48" i="19"/>
  <c r="W48" i="19"/>
  <c r="V48" i="19"/>
  <c r="Z47" i="19"/>
  <c r="W47" i="19"/>
  <c r="V47" i="19"/>
  <c r="Z46" i="19"/>
  <c r="W46" i="19"/>
  <c r="V46" i="19"/>
  <c r="Z45" i="19"/>
  <c r="W45" i="19"/>
  <c r="V45" i="19"/>
  <c r="Z44" i="19"/>
  <c r="W44" i="19"/>
  <c r="V44" i="19"/>
  <c r="Z43" i="19"/>
  <c r="W43" i="19"/>
  <c r="V43" i="19"/>
  <c r="Z42" i="19"/>
  <c r="W42" i="19"/>
  <c r="V42" i="19"/>
  <c r="Z41" i="19"/>
  <c r="W41" i="19"/>
  <c r="V41" i="19"/>
  <c r="Z40" i="19"/>
  <c r="W40" i="19"/>
  <c r="V40" i="19"/>
  <c r="Z39" i="19"/>
  <c r="W39" i="19"/>
  <c r="V39" i="19"/>
  <c r="Z38" i="19"/>
  <c r="W38" i="19"/>
  <c r="V38" i="19"/>
  <c r="Z37" i="19"/>
  <c r="W37" i="19"/>
  <c r="V37" i="19"/>
  <c r="Z36" i="19"/>
  <c r="W36" i="19"/>
  <c r="V36" i="19"/>
  <c r="Z35" i="19"/>
  <c r="W35" i="19"/>
  <c r="V35" i="19"/>
  <c r="Z34" i="19"/>
  <c r="W34" i="19"/>
  <c r="V34" i="19"/>
  <c r="Z33" i="19"/>
  <c r="W33" i="19"/>
  <c r="V33" i="19"/>
  <c r="Z32" i="19"/>
  <c r="W32" i="19"/>
  <c r="V32" i="19"/>
  <c r="Z31" i="19"/>
  <c r="W31" i="19"/>
  <c r="V31" i="19"/>
  <c r="Z30" i="19"/>
  <c r="W30" i="19"/>
  <c r="V30" i="19"/>
  <c r="Z29" i="19"/>
  <c r="W29" i="19"/>
  <c r="V29" i="19"/>
  <c r="Z28" i="19"/>
  <c r="W28" i="19"/>
  <c r="V28" i="19"/>
  <c r="Z27" i="19"/>
  <c r="W27" i="19"/>
  <c r="V27" i="19"/>
  <c r="Z26" i="19"/>
  <c r="W26" i="19"/>
  <c r="V26" i="19"/>
  <c r="Z25" i="19"/>
  <c r="W25" i="19"/>
  <c r="V25" i="19"/>
  <c r="Z24" i="19"/>
  <c r="W24" i="19"/>
  <c r="V24" i="19"/>
  <c r="Z23" i="19"/>
  <c r="W23" i="19"/>
  <c r="V23" i="19"/>
  <c r="Z22" i="19"/>
  <c r="W22" i="19"/>
  <c r="V22" i="19"/>
  <c r="Z21" i="19"/>
  <c r="W21" i="19"/>
  <c r="V21" i="19"/>
  <c r="Z20" i="19"/>
  <c r="W20" i="19"/>
  <c r="V20" i="19"/>
  <c r="Z19" i="19"/>
  <c r="W19" i="19"/>
  <c r="V19" i="19"/>
  <c r="Z18" i="19"/>
  <c r="W18" i="19"/>
  <c r="V18" i="19"/>
  <c r="Z17" i="19"/>
  <c r="W17" i="19"/>
  <c r="V17" i="19"/>
  <c r="Z16" i="19"/>
  <c r="W16" i="19"/>
  <c r="V16" i="19"/>
  <c r="Z15" i="19"/>
  <c r="W15" i="19"/>
  <c r="V15" i="19"/>
  <c r="Z14" i="19"/>
  <c r="W14" i="19"/>
  <c r="V14" i="19"/>
  <c r="Z13" i="19"/>
  <c r="W13" i="19"/>
  <c r="V13" i="19"/>
  <c r="Z12" i="19"/>
  <c r="W12" i="19"/>
  <c r="V12" i="19"/>
  <c r="Z11" i="19"/>
  <c r="W11" i="19"/>
  <c r="V11" i="19"/>
  <c r="Z10" i="19"/>
  <c r="W10" i="19"/>
  <c r="V10" i="19"/>
  <c r="Z9" i="19"/>
  <c r="W9" i="19"/>
  <c r="V9" i="19"/>
  <c r="Z8" i="19"/>
  <c r="W8" i="19"/>
  <c r="V8" i="19"/>
  <c r="Z7" i="19"/>
  <c r="W7" i="19"/>
  <c r="V7" i="19"/>
  <c r="Z79" i="18"/>
  <c r="W79" i="18"/>
  <c r="V79" i="18"/>
  <c r="Z78" i="18"/>
  <c r="W78" i="18"/>
  <c r="V78" i="18"/>
  <c r="Z77" i="18"/>
  <c r="W77" i="18"/>
  <c r="V77" i="18"/>
  <c r="Z76" i="18"/>
  <c r="W76" i="18"/>
  <c r="V76" i="18"/>
  <c r="Z75" i="18"/>
  <c r="W75" i="18"/>
  <c r="V75" i="18"/>
  <c r="Z74" i="18"/>
  <c r="W74" i="18"/>
  <c r="V74" i="18"/>
  <c r="Z73" i="18"/>
  <c r="W73" i="18"/>
  <c r="V73" i="18"/>
  <c r="Z72" i="18"/>
  <c r="W72" i="18"/>
  <c r="V72" i="18"/>
  <c r="Z71" i="18"/>
  <c r="W71" i="18"/>
  <c r="V71" i="18"/>
  <c r="Z70" i="18"/>
  <c r="W70" i="18"/>
  <c r="V70" i="18"/>
  <c r="Z69" i="18"/>
  <c r="W69" i="18"/>
  <c r="V69" i="18"/>
  <c r="Z68" i="18"/>
  <c r="W68" i="18"/>
  <c r="V68" i="18"/>
  <c r="Z67" i="18"/>
  <c r="W67" i="18"/>
  <c r="V67" i="18"/>
  <c r="Z66" i="18"/>
  <c r="W66" i="18"/>
  <c r="V66" i="18"/>
  <c r="Z65" i="18"/>
  <c r="W65" i="18"/>
  <c r="V65" i="18"/>
  <c r="Z64" i="18"/>
  <c r="W64" i="18"/>
  <c r="V64" i="18"/>
  <c r="Z63" i="18"/>
  <c r="W63" i="18"/>
  <c r="V63" i="18"/>
  <c r="Z62" i="18"/>
  <c r="W62" i="18"/>
  <c r="V62" i="18"/>
  <c r="Z61" i="18"/>
  <c r="W61" i="18"/>
  <c r="V61" i="18"/>
  <c r="Z60" i="18"/>
  <c r="W60" i="18"/>
  <c r="V60" i="18"/>
  <c r="Z59" i="18"/>
  <c r="W59" i="18"/>
  <c r="V59" i="18"/>
  <c r="Z58" i="18"/>
  <c r="W58" i="18"/>
  <c r="V58" i="18"/>
  <c r="Z57" i="18"/>
  <c r="W57" i="18"/>
  <c r="V57" i="18"/>
  <c r="Z56" i="18"/>
  <c r="W56" i="18"/>
  <c r="V56" i="18"/>
  <c r="Z55" i="18"/>
  <c r="W55" i="18"/>
  <c r="V55" i="18"/>
  <c r="Z54" i="18"/>
  <c r="W54" i="18"/>
  <c r="V54" i="18"/>
  <c r="Z53" i="18"/>
  <c r="W53" i="18"/>
  <c r="V53" i="18"/>
  <c r="Z52" i="18"/>
  <c r="W52" i="18"/>
  <c r="V52" i="18"/>
  <c r="Z51" i="18"/>
  <c r="W51" i="18"/>
  <c r="V51" i="18"/>
  <c r="Z50" i="18"/>
  <c r="W50" i="18"/>
  <c r="V50" i="18"/>
  <c r="Z49" i="18"/>
  <c r="W49" i="18"/>
  <c r="V49" i="18"/>
  <c r="Z48" i="18"/>
  <c r="W48" i="18"/>
  <c r="V48" i="18"/>
  <c r="Z47" i="18"/>
  <c r="W47" i="18"/>
  <c r="V47" i="18"/>
  <c r="Z46" i="18"/>
  <c r="W46" i="18"/>
  <c r="V46" i="18"/>
  <c r="Z45" i="18"/>
  <c r="W45" i="18"/>
  <c r="V45" i="18"/>
  <c r="Z44" i="18"/>
  <c r="W44" i="18"/>
  <c r="V44" i="18"/>
  <c r="Z43" i="18"/>
  <c r="W43" i="18"/>
  <c r="V43" i="18"/>
  <c r="Z42" i="18"/>
  <c r="W42" i="18"/>
  <c r="V42" i="18"/>
  <c r="Z41" i="18"/>
  <c r="W41" i="18"/>
  <c r="V41" i="18"/>
  <c r="Z40" i="18"/>
  <c r="W40" i="18"/>
  <c r="V40" i="18"/>
  <c r="Z39" i="18"/>
  <c r="W39" i="18"/>
  <c r="V39" i="18"/>
  <c r="Z38" i="18"/>
  <c r="W38" i="18"/>
  <c r="V38" i="18"/>
  <c r="Z37" i="18"/>
  <c r="W37" i="18"/>
  <c r="V37" i="18"/>
  <c r="Z36" i="18"/>
  <c r="W36" i="18"/>
  <c r="V36" i="18"/>
  <c r="Z35" i="18"/>
  <c r="W35" i="18"/>
  <c r="V35" i="18"/>
  <c r="Z34" i="18"/>
  <c r="W34" i="18"/>
  <c r="V34" i="18"/>
  <c r="Z33" i="18"/>
  <c r="W33" i="18"/>
  <c r="V33" i="18"/>
  <c r="Z32" i="18"/>
  <c r="W32" i="18"/>
  <c r="V32" i="18"/>
  <c r="Z31" i="18"/>
  <c r="W31" i="18"/>
  <c r="V31" i="18"/>
  <c r="Z30" i="18"/>
  <c r="W30" i="18"/>
  <c r="V30" i="18"/>
  <c r="Z29" i="18"/>
  <c r="W29" i="18"/>
  <c r="V29" i="18"/>
  <c r="Z28" i="18"/>
  <c r="W28" i="18"/>
  <c r="V28" i="18"/>
  <c r="Z27" i="18"/>
  <c r="W27" i="18"/>
  <c r="V27" i="18"/>
  <c r="Z26" i="18"/>
  <c r="W26" i="18"/>
  <c r="V26" i="18"/>
  <c r="Z25" i="18"/>
  <c r="W25" i="18"/>
  <c r="V25" i="18"/>
  <c r="Z24" i="18"/>
  <c r="W24" i="18"/>
  <c r="V24" i="18"/>
  <c r="Z23" i="18"/>
  <c r="W23" i="18"/>
  <c r="V23" i="18"/>
  <c r="Z22" i="18"/>
  <c r="W22" i="18"/>
  <c r="V22" i="18"/>
  <c r="Z21" i="18"/>
  <c r="W21" i="18"/>
  <c r="V21" i="18"/>
  <c r="Z20" i="18"/>
  <c r="W20" i="18"/>
  <c r="V20" i="18"/>
  <c r="Z19" i="18"/>
  <c r="W19" i="18"/>
  <c r="V19" i="18"/>
  <c r="Z18" i="18"/>
  <c r="W18" i="18"/>
  <c r="V18" i="18"/>
  <c r="Z17" i="18"/>
  <c r="W17" i="18"/>
  <c r="V17" i="18"/>
  <c r="Z16" i="18"/>
  <c r="W16" i="18"/>
  <c r="V16" i="18"/>
  <c r="Z15" i="18"/>
  <c r="W15" i="18"/>
  <c r="V15" i="18"/>
  <c r="Z14" i="18"/>
  <c r="W14" i="18"/>
  <c r="V14" i="18"/>
  <c r="Z13" i="18"/>
  <c r="W13" i="18"/>
  <c r="V13" i="18"/>
  <c r="Z12" i="18"/>
  <c r="W12" i="18"/>
  <c r="V12" i="18"/>
  <c r="Z11" i="18"/>
  <c r="W11" i="18"/>
  <c r="V11" i="18"/>
  <c r="Z10" i="18"/>
  <c r="W10" i="18"/>
  <c r="V10" i="18"/>
  <c r="Z9" i="18"/>
  <c r="W9" i="18"/>
  <c r="V9" i="18"/>
  <c r="Z8" i="18"/>
  <c r="W8" i="18"/>
  <c r="V8" i="18"/>
  <c r="Z7" i="18"/>
  <c r="W7" i="18"/>
  <c r="V7" i="18"/>
  <c r="Z79" i="17"/>
  <c r="W79" i="17"/>
  <c r="V79" i="17"/>
  <c r="Z78" i="17"/>
  <c r="W78" i="17"/>
  <c r="V78" i="17"/>
  <c r="Z77" i="17"/>
  <c r="W77" i="17"/>
  <c r="V77" i="17"/>
  <c r="Z76" i="17"/>
  <c r="W76" i="17"/>
  <c r="V76" i="17"/>
  <c r="Z75" i="17"/>
  <c r="W75" i="17"/>
  <c r="V75" i="17"/>
  <c r="Z74" i="17"/>
  <c r="W74" i="17"/>
  <c r="V74" i="17"/>
  <c r="Z73" i="17"/>
  <c r="W73" i="17"/>
  <c r="V73" i="17"/>
  <c r="Z72" i="17"/>
  <c r="W72" i="17"/>
  <c r="V72" i="17"/>
  <c r="Z71" i="17"/>
  <c r="W71" i="17"/>
  <c r="V71" i="17"/>
  <c r="Z70" i="17"/>
  <c r="W70" i="17"/>
  <c r="V70" i="17"/>
  <c r="Z69" i="17"/>
  <c r="W69" i="17"/>
  <c r="V69" i="17"/>
  <c r="Z68" i="17"/>
  <c r="W68" i="17"/>
  <c r="V68" i="17"/>
  <c r="Z67" i="17"/>
  <c r="W67" i="17"/>
  <c r="V67" i="17"/>
  <c r="Z66" i="17"/>
  <c r="W66" i="17"/>
  <c r="V66" i="17"/>
  <c r="Z65" i="17"/>
  <c r="W65" i="17"/>
  <c r="V65" i="17"/>
  <c r="Z64" i="17"/>
  <c r="W64" i="17"/>
  <c r="V64" i="17"/>
  <c r="Z63" i="17"/>
  <c r="W63" i="17"/>
  <c r="V63" i="17"/>
  <c r="Z62" i="17"/>
  <c r="W62" i="17"/>
  <c r="V62" i="17"/>
  <c r="Z61" i="17"/>
  <c r="W61" i="17"/>
  <c r="V61" i="17"/>
  <c r="Z60" i="17"/>
  <c r="W60" i="17"/>
  <c r="V60" i="17"/>
  <c r="Z59" i="17"/>
  <c r="W59" i="17"/>
  <c r="V59" i="17"/>
  <c r="Z58" i="17"/>
  <c r="W58" i="17"/>
  <c r="V58" i="17"/>
  <c r="Z57" i="17"/>
  <c r="W57" i="17"/>
  <c r="V57" i="17"/>
  <c r="Z56" i="17"/>
  <c r="W56" i="17"/>
  <c r="V56" i="17"/>
  <c r="Z55" i="17"/>
  <c r="W55" i="17"/>
  <c r="V55" i="17"/>
  <c r="Z54" i="17"/>
  <c r="W54" i="17"/>
  <c r="V54" i="17"/>
  <c r="Z53" i="17"/>
  <c r="W53" i="17"/>
  <c r="V53" i="17"/>
  <c r="Z52" i="17"/>
  <c r="W52" i="17"/>
  <c r="V52" i="17"/>
  <c r="Z51" i="17"/>
  <c r="W51" i="17"/>
  <c r="V51" i="17"/>
  <c r="Z50" i="17"/>
  <c r="W50" i="17"/>
  <c r="V50" i="17"/>
  <c r="Z49" i="17"/>
  <c r="W49" i="17"/>
  <c r="V49" i="17"/>
  <c r="Z48" i="17"/>
  <c r="W48" i="17"/>
  <c r="V48" i="17"/>
  <c r="Z47" i="17"/>
  <c r="W47" i="17"/>
  <c r="V47" i="17"/>
  <c r="Z46" i="17"/>
  <c r="W46" i="17"/>
  <c r="V46" i="17"/>
  <c r="Z45" i="17"/>
  <c r="W45" i="17"/>
  <c r="V45" i="17"/>
  <c r="Z44" i="17"/>
  <c r="W44" i="17"/>
  <c r="V44" i="17"/>
  <c r="Z43" i="17"/>
  <c r="W43" i="17"/>
  <c r="V43" i="17"/>
  <c r="Z42" i="17"/>
  <c r="W42" i="17"/>
  <c r="V42" i="17"/>
  <c r="Z41" i="17"/>
  <c r="W41" i="17"/>
  <c r="V41" i="17"/>
  <c r="Z40" i="17"/>
  <c r="W40" i="17"/>
  <c r="V40" i="17"/>
  <c r="Z39" i="17"/>
  <c r="W39" i="17"/>
  <c r="V39" i="17"/>
  <c r="Z38" i="17"/>
  <c r="W38" i="17"/>
  <c r="V38" i="17"/>
  <c r="Z37" i="17"/>
  <c r="W37" i="17"/>
  <c r="V37" i="17"/>
  <c r="Z36" i="17"/>
  <c r="W36" i="17"/>
  <c r="V36" i="17"/>
  <c r="Z35" i="17"/>
  <c r="W35" i="17"/>
  <c r="V35" i="17"/>
  <c r="Z34" i="17"/>
  <c r="W34" i="17"/>
  <c r="V34" i="17"/>
  <c r="Z33" i="17"/>
  <c r="W33" i="17"/>
  <c r="V33" i="17"/>
  <c r="Z32" i="17"/>
  <c r="W32" i="17"/>
  <c r="V32" i="17"/>
  <c r="Z31" i="17"/>
  <c r="W31" i="17"/>
  <c r="V31" i="17"/>
  <c r="Z30" i="17"/>
  <c r="W30" i="17"/>
  <c r="V30" i="17"/>
  <c r="Z29" i="17"/>
  <c r="W29" i="17"/>
  <c r="V29" i="17"/>
  <c r="Z28" i="17"/>
  <c r="W28" i="17"/>
  <c r="V28" i="17"/>
  <c r="Z27" i="17"/>
  <c r="W27" i="17"/>
  <c r="V27" i="17"/>
  <c r="Z26" i="17"/>
  <c r="W26" i="17"/>
  <c r="V26" i="17"/>
  <c r="Z25" i="17"/>
  <c r="W25" i="17"/>
  <c r="V25" i="17"/>
  <c r="Z24" i="17"/>
  <c r="W24" i="17"/>
  <c r="V24" i="17"/>
  <c r="Z23" i="17"/>
  <c r="W23" i="17"/>
  <c r="V23" i="17"/>
  <c r="Z22" i="17"/>
  <c r="W22" i="17"/>
  <c r="V22" i="17"/>
  <c r="Z21" i="17"/>
  <c r="W21" i="17"/>
  <c r="V21" i="17"/>
  <c r="Z20" i="17"/>
  <c r="W20" i="17"/>
  <c r="V20" i="17"/>
  <c r="Z19" i="17"/>
  <c r="W19" i="17"/>
  <c r="V19" i="17"/>
  <c r="Z18" i="17"/>
  <c r="W18" i="17"/>
  <c r="V18" i="17"/>
  <c r="Z17" i="17"/>
  <c r="W17" i="17"/>
  <c r="V17" i="17"/>
  <c r="Z16" i="17"/>
  <c r="W16" i="17"/>
  <c r="V16" i="17"/>
  <c r="Z15" i="17"/>
  <c r="W15" i="17"/>
  <c r="V15" i="17"/>
  <c r="Z14" i="17"/>
  <c r="W14" i="17"/>
  <c r="V14" i="17"/>
  <c r="Z13" i="17"/>
  <c r="W13" i="17"/>
  <c r="V13" i="17"/>
  <c r="Z12" i="17"/>
  <c r="W12" i="17"/>
  <c r="V12" i="17"/>
  <c r="Z11" i="17"/>
  <c r="W11" i="17"/>
  <c r="V11" i="17"/>
  <c r="Z10" i="17"/>
  <c r="W10" i="17"/>
  <c r="V10" i="17"/>
  <c r="Z9" i="17"/>
  <c r="W9" i="17"/>
  <c r="V9" i="17"/>
  <c r="Z8" i="17"/>
  <c r="W8" i="17"/>
  <c r="V8" i="17"/>
  <c r="Z7" i="17"/>
  <c r="W7" i="17"/>
  <c r="V7" i="17"/>
  <c r="Z79" i="16"/>
  <c r="W79" i="16"/>
  <c r="V79" i="16"/>
  <c r="Z78" i="16"/>
  <c r="W78" i="16"/>
  <c r="V78" i="16"/>
  <c r="Z77" i="16"/>
  <c r="W77" i="16"/>
  <c r="V77" i="16"/>
  <c r="Z76" i="16"/>
  <c r="W76" i="16"/>
  <c r="V76" i="16"/>
  <c r="Z75" i="16"/>
  <c r="W75" i="16"/>
  <c r="V75" i="16"/>
  <c r="Z74" i="16"/>
  <c r="W74" i="16"/>
  <c r="V74" i="16"/>
  <c r="Z73" i="16"/>
  <c r="W73" i="16"/>
  <c r="V73" i="16"/>
  <c r="Z72" i="16"/>
  <c r="W72" i="16"/>
  <c r="V72" i="16"/>
  <c r="Z71" i="16"/>
  <c r="W71" i="16"/>
  <c r="V71" i="16"/>
  <c r="Z70" i="16"/>
  <c r="W70" i="16"/>
  <c r="V70" i="16"/>
  <c r="Z69" i="16"/>
  <c r="W69" i="16"/>
  <c r="V69" i="16"/>
  <c r="Z68" i="16"/>
  <c r="W68" i="16"/>
  <c r="V68" i="16"/>
  <c r="Z67" i="16"/>
  <c r="W67" i="16"/>
  <c r="V67" i="16"/>
  <c r="Z66" i="16"/>
  <c r="W66" i="16"/>
  <c r="V66" i="16"/>
  <c r="Z65" i="16"/>
  <c r="W65" i="16"/>
  <c r="V65" i="16"/>
  <c r="Z64" i="16"/>
  <c r="W64" i="16"/>
  <c r="V64" i="16"/>
  <c r="Z63" i="16"/>
  <c r="W63" i="16"/>
  <c r="V63" i="16"/>
  <c r="Z62" i="16"/>
  <c r="W62" i="16"/>
  <c r="V62" i="16"/>
  <c r="Z61" i="16"/>
  <c r="W61" i="16"/>
  <c r="V61" i="16"/>
  <c r="Z60" i="16"/>
  <c r="W60" i="16"/>
  <c r="V60" i="16"/>
  <c r="Z59" i="16"/>
  <c r="W59" i="16"/>
  <c r="V59" i="16"/>
  <c r="Z58" i="16"/>
  <c r="W58" i="16"/>
  <c r="V58" i="16"/>
  <c r="Z57" i="16"/>
  <c r="W57" i="16"/>
  <c r="V57" i="16"/>
  <c r="Z56" i="16"/>
  <c r="W56" i="16"/>
  <c r="V56" i="16"/>
  <c r="Z55" i="16"/>
  <c r="W55" i="16"/>
  <c r="V55" i="16"/>
  <c r="Z54" i="16"/>
  <c r="W54" i="16"/>
  <c r="V54" i="16"/>
  <c r="Z53" i="16"/>
  <c r="W53" i="16"/>
  <c r="V53" i="16"/>
  <c r="Z52" i="16"/>
  <c r="W52" i="16"/>
  <c r="V52" i="16"/>
  <c r="Z51" i="16"/>
  <c r="W51" i="16"/>
  <c r="V51" i="16"/>
  <c r="Z50" i="16"/>
  <c r="W50" i="16"/>
  <c r="V50" i="16"/>
  <c r="Z49" i="16"/>
  <c r="W49" i="16"/>
  <c r="V49" i="16"/>
  <c r="Z48" i="16"/>
  <c r="W48" i="16"/>
  <c r="V48" i="16"/>
  <c r="Z47" i="16"/>
  <c r="W47" i="16"/>
  <c r="V47" i="16"/>
  <c r="Z46" i="16"/>
  <c r="W46" i="16"/>
  <c r="V46" i="16"/>
  <c r="Z45" i="16"/>
  <c r="W45" i="16"/>
  <c r="V45" i="16"/>
  <c r="Z44" i="16"/>
  <c r="W44" i="16"/>
  <c r="V44" i="16"/>
  <c r="Z43" i="16"/>
  <c r="W43" i="16"/>
  <c r="V43" i="16"/>
  <c r="Z42" i="16"/>
  <c r="W42" i="16"/>
  <c r="V42" i="16"/>
  <c r="Z41" i="16"/>
  <c r="W41" i="16"/>
  <c r="V41" i="16"/>
  <c r="Z40" i="16"/>
  <c r="W40" i="16"/>
  <c r="V40" i="16"/>
  <c r="Z39" i="16"/>
  <c r="W39" i="16"/>
  <c r="V39" i="16"/>
  <c r="Z38" i="16"/>
  <c r="W38" i="16"/>
  <c r="V38" i="16"/>
  <c r="Z37" i="16"/>
  <c r="W37" i="16"/>
  <c r="V37" i="16"/>
  <c r="Z36" i="16"/>
  <c r="W36" i="16"/>
  <c r="V36" i="16"/>
  <c r="Z35" i="16"/>
  <c r="W35" i="16"/>
  <c r="V35" i="16"/>
  <c r="Z34" i="16"/>
  <c r="W34" i="16"/>
  <c r="V34" i="16"/>
  <c r="Z33" i="16"/>
  <c r="W33" i="16"/>
  <c r="V33" i="16"/>
  <c r="Z32" i="16"/>
  <c r="W32" i="16"/>
  <c r="V32" i="16"/>
  <c r="Z31" i="16"/>
  <c r="W31" i="16"/>
  <c r="V31" i="16"/>
  <c r="Z30" i="16"/>
  <c r="W30" i="16"/>
  <c r="V30" i="16"/>
  <c r="Z29" i="16"/>
  <c r="W29" i="16"/>
  <c r="V29" i="16"/>
  <c r="Z28" i="16"/>
  <c r="W28" i="16"/>
  <c r="V28" i="16"/>
  <c r="Z27" i="16"/>
  <c r="W27" i="16"/>
  <c r="V27" i="16"/>
  <c r="Z26" i="16"/>
  <c r="W26" i="16"/>
  <c r="V26" i="16"/>
  <c r="Z25" i="16"/>
  <c r="W25" i="16"/>
  <c r="V25" i="16"/>
  <c r="Z24" i="16"/>
  <c r="W24" i="16"/>
  <c r="V24" i="16"/>
  <c r="Z23" i="16"/>
  <c r="W23" i="16"/>
  <c r="V23" i="16"/>
  <c r="Z22" i="16"/>
  <c r="W22" i="16"/>
  <c r="V22" i="16"/>
  <c r="Z21" i="16"/>
  <c r="W21" i="16"/>
  <c r="V21" i="16"/>
  <c r="Z20" i="16"/>
  <c r="W20" i="16"/>
  <c r="V20" i="16"/>
  <c r="Z19" i="16"/>
  <c r="W19" i="16"/>
  <c r="V19" i="16"/>
  <c r="Z18" i="16"/>
  <c r="W18" i="16"/>
  <c r="V18" i="16"/>
  <c r="Z17" i="16"/>
  <c r="W17" i="16"/>
  <c r="V17" i="16"/>
  <c r="Z16" i="16"/>
  <c r="W16" i="16"/>
  <c r="V16" i="16"/>
  <c r="Z15" i="16"/>
  <c r="W15" i="16"/>
  <c r="V15" i="16"/>
  <c r="Z14" i="16"/>
  <c r="W14" i="16"/>
  <c r="V14" i="16"/>
  <c r="Z13" i="16"/>
  <c r="W13" i="16"/>
  <c r="V13" i="16"/>
  <c r="Z12" i="16"/>
  <c r="W12" i="16"/>
  <c r="V12" i="16"/>
  <c r="Z11" i="16"/>
  <c r="W11" i="16"/>
  <c r="V11" i="16"/>
  <c r="Z10" i="16"/>
  <c r="W10" i="16"/>
  <c r="V10" i="16"/>
  <c r="Z9" i="16"/>
  <c r="W9" i="16"/>
  <c r="V9" i="16"/>
  <c r="Z8" i="16"/>
  <c r="W8" i="16"/>
  <c r="V8" i="16"/>
  <c r="Z7" i="16"/>
  <c r="W7" i="16"/>
  <c r="V7" i="16"/>
  <c r="Z79" i="15"/>
  <c r="W79" i="15"/>
  <c r="V79" i="15"/>
  <c r="Z78" i="15"/>
  <c r="W78" i="15"/>
  <c r="V78" i="15"/>
  <c r="Z77" i="15"/>
  <c r="W77" i="15"/>
  <c r="V77" i="15"/>
  <c r="Z76" i="15"/>
  <c r="W76" i="15"/>
  <c r="V76" i="15"/>
  <c r="Z75" i="15"/>
  <c r="W75" i="15"/>
  <c r="V75" i="15"/>
  <c r="Z74" i="15"/>
  <c r="W74" i="15"/>
  <c r="V74" i="15"/>
  <c r="Z73" i="15"/>
  <c r="W73" i="15"/>
  <c r="V73" i="15"/>
  <c r="Z72" i="15"/>
  <c r="W72" i="15"/>
  <c r="V72" i="15"/>
  <c r="Z71" i="15"/>
  <c r="W71" i="15"/>
  <c r="V71" i="15"/>
  <c r="Z70" i="15"/>
  <c r="W70" i="15"/>
  <c r="V70" i="15"/>
  <c r="Z69" i="15"/>
  <c r="W69" i="15"/>
  <c r="V69" i="15"/>
  <c r="Z68" i="15"/>
  <c r="W68" i="15"/>
  <c r="V68" i="15"/>
  <c r="Z67" i="15"/>
  <c r="W67" i="15"/>
  <c r="V67" i="15"/>
  <c r="Z66" i="15"/>
  <c r="W66" i="15"/>
  <c r="V66" i="15"/>
  <c r="Z65" i="15"/>
  <c r="W65" i="15"/>
  <c r="V65" i="15"/>
  <c r="Z64" i="15"/>
  <c r="W64" i="15"/>
  <c r="V64" i="15"/>
  <c r="Z63" i="15"/>
  <c r="W63" i="15"/>
  <c r="V63" i="15"/>
  <c r="Z62" i="15"/>
  <c r="W62" i="15"/>
  <c r="V62" i="15"/>
  <c r="Z61" i="15"/>
  <c r="W61" i="15"/>
  <c r="V61" i="15"/>
  <c r="Z60" i="15"/>
  <c r="W60" i="15"/>
  <c r="V60" i="15"/>
  <c r="Z59" i="15"/>
  <c r="W59" i="15"/>
  <c r="V59" i="15"/>
  <c r="Z58" i="15"/>
  <c r="W58" i="15"/>
  <c r="V58" i="15"/>
  <c r="Z57" i="15"/>
  <c r="W57" i="15"/>
  <c r="V57" i="15"/>
  <c r="Z56" i="15"/>
  <c r="W56" i="15"/>
  <c r="V56" i="15"/>
  <c r="Z55" i="15"/>
  <c r="W55" i="15"/>
  <c r="V55" i="15"/>
  <c r="Z54" i="15"/>
  <c r="W54" i="15"/>
  <c r="V54" i="15"/>
  <c r="Z53" i="15"/>
  <c r="W53" i="15"/>
  <c r="V53" i="15"/>
  <c r="Z52" i="15"/>
  <c r="W52" i="15"/>
  <c r="V52" i="15"/>
  <c r="Z51" i="15"/>
  <c r="W51" i="15"/>
  <c r="V51" i="15"/>
  <c r="Z50" i="15"/>
  <c r="W50" i="15"/>
  <c r="V50" i="15"/>
  <c r="Z49" i="15"/>
  <c r="W49" i="15"/>
  <c r="V49" i="15"/>
  <c r="Z48" i="15"/>
  <c r="W48" i="15"/>
  <c r="V48" i="15"/>
  <c r="Z47" i="15"/>
  <c r="W47" i="15"/>
  <c r="V47" i="15"/>
  <c r="Z46" i="15"/>
  <c r="W46" i="15"/>
  <c r="V46" i="15"/>
  <c r="Z45" i="15"/>
  <c r="W45" i="15"/>
  <c r="V45" i="15"/>
  <c r="Z44" i="15"/>
  <c r="W44" i="15"/>
  <c r="V44" i="15"/>
  <c r="Z43" i="15"/>
  <c r="W43" i="15"/>
  <c r="V43" i="15"/>
  <c r="Z42" i="15"/>
  <c r="W42" i="15"/>
  <c r="V42" i="15"/>
  <c r="Z41" i="15"/>
  <c r="W41" i="15"/>
  <c r="V41" i="15"/>
  <c r="Z40" i="15"/>
  <c r="W40" i="15"/>
  <c r="V40" i="15"/>
  <c r="Z39" i="15"/>
  <c r="W39" i="15"/>
  <c r="V39" i="15"/>
  <c r="Z38" i="15"/>
  <c r="W38" i="15"/>
  <c r="V38" i="15"/>
  <c r="Z37" i="15"/>
  <c r="W37" i="15"/>
  <c r="V37" i="15"/>
  <c r="Z36" i="15"/>
  <c r="W36" i="15"/>
  <c r="V36" i="15"/>
  <c r="Z35" i="15"/>
  <c r="W35" i="15"/>
  <c r="V35" i="15"/>
  <c r="Z34" i="15"/>
  <c r="W34" i="15"/>
  <c r="V34" i="15"/>
  <c r="Z33" i="15"/>
  <c r="W33" i="15"/>
  <c r="V33" i="15"/>
  <c r="Z32" i="15"/>
  <c r="W32" i="15"/>
  <c r="V32" i="15"/>
  <c r="Z31" i="15"/>
  <c r="W31" i="15"/>
  <c r="V31" i="15"/>
  <c r="Z30" i="15"/>
  <c r="W30" i="15"/>
  <c r="V30" i="15"/>
  <c r="Z29" i="15"/>
  <c r="W29" i="15"/>
  <c r="V29" i="15"/>
  <c r="Z28" i="15"/>
  <c r="W28" i="15"/>
  <c r="V28" i="15"/>
  <c r="Z27" i="15"/>
  <c r="W27" i="15"/>
  <c r="V27" i="15"/>
  <c r="Z26" i="15"/>
  <c r="W26" i="15"/>
  <c r="V26" i="15"/>
  <c r="Z25" i="15"/>
  <c r="W25" i="15"/>
  <c r="V25" i="15"/>
  <c r="Z24" i="15"/>
  <c r="W24" i="15"/>
  <c r="V24" i="15"/>
  <c r="Z23" i="15"/>
  <c r="W23" i="15"/>
  <c r="V23" i="15"/>
  <c r="Z22" i="15"/>
  <c r="W22" i="15"/>
  <c r="V22" i="15"/>
  <c r="Z21" i="15"/>
  <c r="W21" i="15"/>
  <c r="V21" i="15"/>
  <c r="Z20" i="15"/>
  <c r="W20" i="15"/>
  <c r="V20" i="15"/>
  <c r="Z19" i="15"/>
  <c r="W19" i="15"/>
  <c r="V19" i="15"/>
  <c r="Z18" i="15"/>
  <c r="W18" i="15"/>
  <c r="V18" i="15"/>
  <c r="Z17" i="15"/>
  <c r="W17" i="15"/>
  <c r="V17" i="15"/>
  <c r="Z16" i="15"/>
  <c r="W16" i="15"/>
  <c r="V16" i="15"/>
  <c r="Z15" i="15"/>
  <c r="W15" i="15"/>
  <c r="V15" i="15"/>
  <c r="Z14" i="15"/>
  <c r="W14" i="15"/>
  <c r="V14" i="15"/>
  <c r="Z13" i="15"/>
  <c r="W13" i="15"/>
  <c r="V13" i="15"/>
  <c r="Z12" i="15"/>
  <c r="W12" i="15"/>
  <c r="V12" i="15"/>
  <c r="Z11" i="15"/>
  <c r="W11" i="15"/>
  <c r="V11" i="15"/>
  <c r="Z10" i="15"/>
  <c r="W10" i="15"/>
  <c r="V10" i="15"/>
  <c r="Z9" i="15"/>
  <c r="W9" i="15"/>
  <c r="V9" i="15"/>
  <c r="Z8" i="15"/>
  <c r="W8" i="15"/>
  <c r="V8" i="15"/>
  <c r="Z7" i="15"/>
  <c r="W7" i="15"/>
  <c r="V7" i="15"/>
  <c r="Z79" i="14"/>
  <c r="W79" i="14"/>
  <c r="V79" i="14"/>
  <c r="Z78" i="14"/>
  <c r="W78" i="14"/>
  <c r="V78" i="14"/>
  <c r="Z77" i="14"/>
  <c r="W77" i="14"/>
  <c r="V77" i="14"/>
  <c r="Z76" i="14"/>
  <c r="W76" i="14"/>
  <c r="V76" i="14"/>
  <c r="Z75" i="14"/>
  <c r="W75" i="14"/>
  <c r="V75" i="14"/>
  <c r="Z74" i="14"/>
  <c r="W74" i="14"/>
  <c r="V74" i="14"/>
  <c r="Z73" i="14"/>
  <c r="W73" i="14"/>
  <c r="V73" i="14"/>
  <c r="Z72" i="14"/>
  <c r="W72" i="14"/>
  <c r="V72" i="14"/>
  <c r="Z71" i="14"/>
  <c r="W71" i="14"/>
  <c r="V71" i="14"/>
  <c r="Z70" i="14"/>
  <c r="W70" i="14"/>
  <c r="V70" i="14"/>
  <c r="Z69" i="14"/>
  <c r="W69" i="14"/>
  <c r="V69" i="14"/>
  <c r="Z68" i="14"/>
  <c r="W68" i="14"/>
  <c r="V68" i="14"/>
  <c r="Z67" i="14"/>
  <c r="W67" i="14"/>
  <c r="V67" i="14"/>
  <c r="Z66" i="14"/>
  <c r="W66" i="14"/>
  <c r="V66" i="14"/>
  <c r="Z65" i="14"/>
  <c r="W65" i="14"/>
  <c r="V65" i="14"/>
  <c r="Z64" i="14"/>
  <c r="W64" i="14"/>
  <c r="V64" i="14"/>
  <c r="Z63" i="14"/>
  <c r="W63" i="14"/>
  <c r="V63" i="14"/>
  <c r="Z62" i="14"/>
  <c r="W62" i="14"/>
  <c r="V62" i="14"/>
  <c r="Z61" i="14"/>
  <c r="W61" i="14"/>
  <c r="V61" i="14"/>
  <c r="Z60" i="14"/>
  <c r="W60" i="14"/>
  <c r="V60" i="14"/>
  <c r="Z59" i="14"/>
  <c r="W59" i="14"/>
  <c r="V59" i="14"/>
  <c r="Z58" i="14"/>
  <c r="W58" i="14"/>
  <c r="V58" i="14"/>
  <c r="Z57" i="14"/>
  <c r="W57" i="14"/>
  <c r="V57" i="14"/>
  <c r="Z56" i="14"/>
  <c r="W56" i="14"/>
  <c r="V56" i="14"/>
  <c r="Z55" i="14"/>
  <c r="W55" i="14"/>
  <c r="V55" i="14"/>
  <c r="Z54" i="14"/>
  <c r="W54" i="14"/>
  <c r="V54" i="14"/>
  <c r="Z53" i="14"/>
  <c r="W53" i="14"/>
  <c r="V53" i="14"/>
  <c r="Z52" i="14"/>
  <c r="W52" i="14"/>
  <c r="V52" i="14"/>
  <c r="Z51" i="14"/>
  <c r="W51" i="14"/>
  <c r="V51" i="14"/>
  <c r="Z50" i="14"/>
  <c r="W50" i="14"/>
  <c r="V50" i="14"/>
  <c r="Z49" i="14"/>
  <c r="W49" i="14"/>
  <c r="V49" i="14"/>
  <c r="Z48" i="14"/>
  <c r="W48" i="14"/>
  <c r="V48" i="14"/>
  <c r="Z47" i="14"/>
  <c r="W47" i="14"/>
  <c r="V47" i="14"/>
  <c r="Z46" i="14"/>
  <c r="W46" i="14"/>
  <c r="V46" i="14"/>
  <c r="Z45" i="14"/>
  <c r="W45" i="14"/>
  <c r="V45" i="14"/>
  <c r="Z44" i="14"/>
  <c r="W44" i="14"/>
  <c r="V44" i="14"/>
  <c r="Z43" i="14"/>
  <c r="W43" i="14"/>
  <c r="V43" i="14"/>
  <c r="Z42" i="14"/>
  <c r="W42" i="14"/>
  <c r="V42" i="14"/>
  <c r="Z41" i="14"/>
  <c r="W41" i="14"/>
  <c r="V41" i="14"/>
  <c r="Z40" i="14"/>
  <c r="W40" i="14"/>
  <c r="V40" i="14"/>
  <c r="Z39" i="14"/>
  <c r="W39" i="14"/>
  <c r="V39" i="14"/>
  <c r="Z38" i="14"/>
  <c r="W38" i="14"/>
  <c r="V38" i="14"/>
  <c r="Z37" i="14"/>
  <c r="W37" i="14"/>
  <c r="V37" i="14"/>
  <c r="Z36" i="14"/>
  <c r="W36" i="14"/>
  <c r="V36" i="14"/>
  <c r="Z35" i="14"/>
  <c r="W35" i="14"/>
  <c r="V35" i="14"/>
  <c r="Z34" i="14"/>
  <c r="W34" i="14"/>
  <c r="V34" i="14"/>
  <c r="Z33" i="14"/>
  <c r="W33" i="14"/>
  <c r="V33" i="14"/>
  <c r="Z32" i="14"/>
  <c r="W32" i="14"/>
  <c r="V32" i="14"/>
  <c r="Z31" i="14"/>
  <c r="W31" i="14"/>
  <c r="V31" i="14"/>
  <c r="Z30" i="14"/>
  <c r="W30" i="14"/>
  <c r="V30" i="14"/>
  <c r="Z29" i="14"/>
  <c r="W29" i="14"/>
  <c r="V29" i="14"/>
  <c r="Z28" i="14"/>
  <c r="W28" i="14"/>
  <c r="V28" i="14"/>
  <c r="Z27" i="14"/>
  <c r="W27" i="14"/>
  <c r="V27" i="14"/>
  <c r="Z26" i="14"/>
  <c r="W26" i="14"/>
  <c r="V26" i="14"/>
  <c r="Z25" i="14"/>
  <c r="W25" i="14"/>
  <c r="V25" i="14"/>
  <c r="Z24" i="14"/>
  <c r="W24" i="14"/>
  <c r="V24" i="14"/>
  <c r="Z23" i="14"/>
  <c r="W23" i="14"/>
  <c r="V23" i="14"/>
  <c r="Z22" i="14"/>
  <c r="W22" i="14"/>
  <c r="V22" i="14"/>
  <c r="Z21" i="14"/>
  <c r="W21" i="14"/>
  <c r="V21" i="14"/>
  <c r="Z20" i="14"/>
  <c r="W20" i="14"/>
  <c r="V20" i="14"/>
  <c r="Z19" i="14"/>
  <c r="W19" i="14"/>
  <c r="V19" i="14"/>
  <c r="Z18" i="14"/>
  <c r="W18" i="14"/>
  <c r="V18" i="14"/>
  <c r="Z17" i="14"/>
  <c r="W17" i="14"/>
  <c r="V17" i="14"/>
  <c r="Z16" i="14"/>
  <c r="W16" i="14"/>
  <c r="V16" i="14"/>
  <c r="Z15" i="14"/>
  <c r="W15" i="14"/>
  <c r="V15" i="14"/>
  <c r="Z14" i="14"/>
  <c r="W14" i="14"/>
  <c r="V14" i="14"/>
  <c r="Z13" i="14"/>
  <c r="W13" i="14"/>
  <c r="V13" i="14"/>
  <c r="Z12" i="14"/>
  <c r="W12" i="14"/>
  <c r="V12" i="14"/>
  <c r="Z11" i="14"/>
  <c r="W11" i="14"/>
  <c r="V11" i="14"/>
  <c r="Z10" i="14"/>
  <c r="W10" i="14"/>
  <c r="V10" i="14"/>
  <c r="Z9" i="14"/>
  <c r="W9" i="14"/>
  <c r="V9" i="14"/>
  <c r="Z8" i="14"/>
  <c r="W8" i="14"/>
  <c r="V8" i="14"/>
  <c r="Z7" i="14"/>
  <c r="W7" i="14"/>
  <c r="V7" i="14"/>
  <c r="Z79" i="13"/>
  <c r="W79" i="13"/>
  <c r="V79" i="13"/>
  <c r="Z78" i="13"/>
  <c r="W78" i="13"/>
  <c r="V78" i="13"/>
  <c r="Z77" i="13"/>
  <c r="W77" i="13"/>
  <c r="V77" i="13"/>
  <c r="Z76" i="13"/>
  <c r="W76" i="13"/>
  <c r="V76" i="13"/>
  <c r="Z75" i="13"/>
  <c r="W75" i="13"/>
  <c r="V75" i="13"/>
  <c r="Z74" i="13"/>
  <c r="W74" i="13"/>
  <c r="V74" i="13"/>
  <c r="Z73" i="13"/>
  <c r="W73" i="13"/>
  <c r="V73" i="13"/>
  <c r="Z72" i="13"/>
  <c r="W72" i="13"/>
  <c r="V72" i="13"/>
  <c r="Z71" i="13"/>
  <c r="W71" i="13"/>
  <c r="V71" i="13"/>
  <c r="Z70" i="13"/>
  <c r="W70" i="13"/>
  <c r="V70" i="13"/>
  <c r="Z69" i="13"/>
  <c r="W69" i="13"/>
  <c r="V69" i="13"/>
  <c r="Z68" i="13"/>
  <c r="W68" i="13"/>
  <c r="V68" i="13"/>
  <c r="Z67" i="13"/>
  <c r="W67" i="13"/>
  <c r="V67" i="13"/>
  <c r="Z66" i="13"/>
  <c r="W66" i="13"/>
  <c r="V66" i="13"/>
  <c r="Z65" i="13"/>
  <c r="W65" i="13"/>
  <c r="V65" i="13"/>
  <c r="Z64" i="13"/>
  <c r="W64" i="13"/>
  <c r="V64" i="13"/>
  <c r="Z63" i="13"/>
  <c r="W63" i="13"/>
  <c r="V63" i="13"/>
  <c r="Z62" i="13"/>
  <c r="W62" i="13"/>
  <c r="V62" i="13"/>
  <c r="Z61" i="13"/>
  <c r="W61" i="13"/>
  <c r="V61" i="13"/>
  <c r="Z60" i="13"/>
  <c r="W60" i="13"/>
  <c r="V60" i="13"/>
  <c r="Z59" i="13"/>
  <c r="W59" i="13"/>
  <c r="V59" i="13"/>
  <c r="Z58" i="13"/>
  <c r="W58" i="13"/>
  <c r="V58" i="13"/>
  <c r="Z57" i="13"/>
  <c r="W57" i="13"/>
  <c r="V57" i="13"/>
  <c r="Z56" i="13"/>
  <c r="W56" i="13"/>
  <c r="V56" i="13"/>
  <c r="Z55" i="13"/>
  <c r="W55" i="13"/>
  <c r="V55" i="13"/>
  <c r="Z54" i="13"/>
  <c r="W54" i="13"/>
  <c r="V54" i="13"/>
  <c r="Z53" i="13"/>
  <c r="W53" i="13"/>
  <c r="V53" i="13"/>
  <c r="Z52" i="13"/>
  <c r="W52" i="13"/>
  <c r="V52" i="13"/>
  <c r="Z51" i="13"/>
  <c r="W51" i="13"/>
  <c r="V51" i="13"/>
  <c r="Z50" i="13"/>
  <c r="W50" i="13"/>
  <c r="V50" i="13"/>
  <c r="Z49" i="13"/>
  <c r="W49" i="13"/>
  <c r="V49" i="13"/>
  <c r="Z48" i="13"/>
  <c r="W48" i="13"/>
  <c r="V48" i="13"/>
  <c r="Z47" i="13"/>
  <c r="W47" i="13"/>
  <c r="V47" i="13"/>
  <c r="Z46" i="13"/>
  <c r="W46" i="13"/>
  <c r="V46" i="13"/>
  <c r="Z45" i="13"/>
  <c r="W45" i="13"/>
  <c r="V45" i="13"/>
  <c r="Z44" i="13"/>
  <c r="W44" i="13"/>
  <c r="V44" i="13"/>
  <c r="Z43" i="13"/>
  <c r="W43" i="13"/>
  <c r="V43" i="13"/>
  <c r="Z42" i="13"/>
  <c r="W42" i="13"/>
  <c r="V42" i="13"/>
  <c r="Z41" i="13"/>
  <c r="W41" i="13"/>
  <c r="V41" i="13"/>
  <c r="Z40" i="13"/>
  <c r="W40" i="13"/>
  <c r="V40" i="13"/>
  <c r="Z39" i="13"/>
  <c r="W39" i="13"/>
  <c r="V39" i="13"/>
  <c r="Z38" i="13"/>
  <c r="W38" i="13"/>
  <c r="V38" i="13"/>
  <c r="Z37" i="13"/>
  <c r="W37" i="13"/>
  <c r="V37" i="13"/>
  <c r="Z36" i="13"/>
  <c r="W36" i="13"/>
  <c r="V36" i="13"/>
  <c r="Z35" i="13"/>
  <c r="W35" i="13"/>
  <c r="V35" i="13"/>
  <c r="Z34" i="13"/>
  <c r="W34" i="13"/>
  <c r="V34" i="13"/>
  <c r="Z33" i="13"/>
  <c r="W33" i="13"/>
  <c r="V33" i="13"/>
  <c r="Z32" i="13"/>
  <c r="W32" i="13"/>
  <c r="V32" i="13"/>
  <c r="Z31" i="13"/>
  <c r="W31" i="13"/>
  <c r="V31" i="13"/>
  <c r="Z30" i="13"/>
  <c r="W30" i="13"/>
  <c r="V30" i="13"/>
  <c r="Z29" i="13"/>
  <c r="W29" i="13"/>
  <c r="V29" i="13"/>
  <c r="Z28" i="13"/>
  <c r="W28" i="13"/>
  <c r="V28" i="13"/>
  <c r="Z27" i="13"/>
  <c r="W27" i="13"/>
  <c r="V27" i="13"/>
  <c r="Z26" i="13"/>
  <c r="W26" i="13"/>
  <c r="V26" i="13"/>
  <c r="Z25" i="13"/>
  <c r="W25" i="13"/>
  <c r="V25" i="13"/>
  <c r="Z24" i="13"/>
  <c r="W24" i="13"/>
  <c r="V24" i="13"/>
  <c r="Z23" i="13"/>
  <c r="W23" i="13"/>
  <c r="V23" i="13"/>
  <c r="Z22" i="13"/>
  <c r="W22" i="13"/>
  <c r="V22" i="13"/>
  <c r="Z21" i="13"/>
  <c r="W21" i="13"/>
  <c r="V21" i="13"/>
  <c r="Z20" i="13"/>
  <c r="W20" i="13"/>
  <c r="V20" i="13"/>
  <c r="Z19" i="13"/>
  <c r="W19" i="13"/>
  <c r="V19" i="13"/>
  <c r="Z18" i="13"/>
  <c r="W18" i="13"/>
  <c r="V18" i="13"/>
  <c r="Z17" i="13"/>
  <c r="W17" i="13"/>
  <c r="V17" i="13"/>
  <c r="Z16" i="13"/>
  <c r="W16" i="13"/>
  <c r="V16" i="13"/>
  <c r="Z15" i="13"/>
  <c r="W15" i="13"/>
  <c r="V15" i="13"/>
  <c r="Z14" i="13"/>
  <c r="W14" i="13"/>
  <c r="V14" i="13"/>
  <c r="Z13" i="13"/>
  <c r="W13" i="13"/>
  <c r="V13" i="13"/>
  <c r="Z12" i="13"/>
  <c r="W12" i="13"/>
  <c r="V12" i="13"/>
  <c r="Z11" i="13"/>
  <c r="W11" i="13"/>
  <c r="V11" i="13"/>
  <c r="Z10" i="13"/>
  <c r="W10" i="13"/>
  <c r="V10" i="13"/>
  <c r="Z9" i="13"/>
  <c r="W9" i="13"/>
  <c r="V9" i="13"/>
  <c r="Z8" i="13"/>
  <c r="W8" i="13"/>
  <c r="V8" i="13"/>
  <c r="Z7" i="13"/>
  <c r="W7" i="13"/>
  <c r="V7" i="13"/>
  <c r="Z79" i="12"/>
  <c r="W79" i="12"/>
  <c r="V79" i="12"/>
  <c r="Z78" i="12"/>
  <c r="W78" i="12"/>
  <c r="V78" i="12"/>
  <c r="Z77" i="12"/>
  <c r="W77" i="12"/>
  <c r="V77" i="12"/>
  <c r="Z76" i="12"/>
  <c r="W76" i="12"/>
  <c r="V76" i="12"/>
  <c r="Z75" i="12"/>
  <c r="W75" i="12"/>
  <c r="V75" i="12"/>
  <c r="Z74" i="12"/>
  <c r="W74" i="12"/>
  <c r="V74" i="12"/>
  <c r="Z73" i="12"/>
  <c r="W73" i="12"/>
  <c r="V73" i="12"/>
  <c r="Z72" i="12"/>
  <c r="W72" i="12"/>
  <c r="V72" i="12"/>
  <c r="Z71" i="12"/>
  <c r="W71" i="12"/>
  <c r="V71" i="12"/>
  <c r="Z70" i="12"/>
  <c r="W70" i="12"/>
  <c r="V70" i="12"/>
  <c r="Z69" i="12"/>
  <c r="W69" i="12"/>
  <c r="V69" i="12"/>
  <c r="Z68" i="12"/>
  <c r="W68" i="12"/>
  <c r="V68" i="12"/>
  <c r="Z67" i="12"/>
  <c r="W67" i="12"/>
  <c r="V67" i="12"/>
  <c r="Z66" i="12"/>
  <c r="W66" i="12"/>
  <c r="V66" i="12"/>
  <c r="Z65" i="12"/>
  <c r="W65" i="12"/>
  <c r="V65" i="12"/>
  <c r="Z64" i="12"/>
  <c r="W64" i="12"/>
  <c r="V64" i="12"/>
  <c r="Z63" i="12"/>
  <c r="W63" i="12"/>
  <c r="V63" i="12"/>
  <c r="Z62" i="12"/>
  <c r="W62" i="12"/>
  <c r="V62" i="12"/>
  <c r="Z61" i="12"/>
  <c r="W61" i="12"/>
  <c r="V61" i="12"/>
  <c r="Z60" i="12"/>
  <c r="W60" i="12"/>
  <c r="V60" i="12"/>
  <c r="Z59" i="12"/>
  <c r="W59" i="12"/>
  <c r="V59" i="12"/>
  <c r="Z58" i="12"/>
  <c r="W58" i="12"/>
  <c r="V58" i="12"/>
  <c r="Z57" i="12"/>
  <c r="W57" i="12"/>
  <c r="V57" i="12"/>
  <c r="Z56" i="12"/>
  <c r="W56" i="12"/>
  <c r="V56" i="12"/>
  <c r="Z55" i="12"/>
  <c r="W55" i="12"/>
  <c r="V55" i="12"/>
  <c r="Z54" i="12"/>
  <c r="W54" i="12"/>
  <c r="V54" i="12"/>
  <c r="Z53" i="12"/>
  <c r="W53" i="12"/>
  <c r="V53" i="12"/>
  <c r="Z52" i="12"/>
  <c r="W52" i="12"/>
  <c r="V52" i="12"/>
  <c r="Z51" i="12"/>
  <c r="W51" i="12"/>
  <c r="V51" i="12"/>
  <c r="Z50" i="12"/>
  <c r="W50" i="12"/>
  <c r="V50" i="12"/>
  <c r="Z49" i="12"/>
  <c r="W49" i="12"/>
  <c r="V49" i="12"/>
  <c r="Z48" i="12"/>
  <c r="W48" i="12"/>
  <c r="V48" i="12"/>
  <c r="Z47" i="12"/>
  <c r="W47" i="12"/>
  <c r="V47" i="12"/>
  <c r="Z46" i="12"/>
  <c r="W46" i="12"/>
  <c r="V46" i="12"/>
  <c r="Z45" i="12"/>
  <c r="W45" i="12"/>
  <c r="V45" i="12"/>
  <c r="Z44" i="12"/>
  <c r="W44" i="12"/>
  <c r="V44" i="12"/>
  <c r="Z43" i="12"/>
  <c r="W43" i="12"/>
  <c r="V43" i="12"/>
  <c r="Z42" i="12"/>
  <c r="W42" i="12"/>
  <c r="V42" i="12"/>
  <c r="Z41" i="12"/>
  <c r="W41" i="12"/>
  <c r="V41" i="12"/>
  <c r="Z40" i="12"/>
  <c r="W40" i="12"/>
  <c r="V40" i="12"/>
  <c r="Z39" i="12"/>
  <c r="W39" i="12"/>
  <c r="V39" i="12"/>
  <c r="Z38" i="12"/>
  <c r="W38" i="12"/>
  <c r="V38" i="12"/>
  <c r="Z37" i="12"/>
  <c r="W37" i="12"/>
  <c r="V37" i="12"/>
  <c r="Z36" i="12"/>
  <c r="W36" i="12"/>
  <c r="V36" i="12"/>
  <c r="Z35" i="12"/>
  <c r="W35" i="12"/>
  <c r="V35" i="12"/>
  <c r="Z34" i="12"/>
  <c r="W34" i="12"/>
  <c r="V34" i="12"/>
  <c r="Z33" i="12"/>
  <c r="W33" i="12"/>
  <c r="V33" i="12"/>
  <c r="Z32" i="12"/>
  <c r="W32" i="12"/>
  <c r="V32" i="12"/>
  <c r="Z31" i="12"/>
  <c r="W31" i="12"/>
  <c r="V31" i="12"/>
  <c r="Z30" i="12"/>
  <c r="W30" i="12"/>
  <c r="V30" i="12"/>
  <c r="Z29" i="12"/>
  <c r="W29" i="12"/>
  <c r="V29" i="12"/>
  <c r="Z28" i="12"/>
  <c r="W28" i="12"/>
  <c r="V28" i="12"/>
  <c r="Z27" i="12"/>
  <c r="W27" i="12"/>
  <c r="V27" i="12"/>
  <c r="Z26" i="12"/>
  <c r="W26" i="12"/>
  <c r="V26" i="12"/>
  <c r="Z25" i="12"/>
  <c r="W25" i="12"/>
  <c r="V25" i="12"/>
  <c r="Z24" i="12"/>
  <c r="W24" i="12"/>
  <c r="V24" i="12"/>
  <c r="Z23" i="12"/>
  <c r="W23" i="12"/>
  <c r="V23" i="12"/>
  <c r="Z22" i="12"/>
  <c r="W22" i="12"/>
  <c r="V22" i="12"/>
  <c r="Z21" i="12"/>
  <c r="W21" i="12"/>
  <c r="V21" i="12"/>
  <c r="Z20" i="12"/>
  <c r="W20" i="12"/>
  <c r="V20" i="12"/>
  <c r="Z19" i="12"/>
  <c r="W19" i="12"/>
  <c r="V19" i="12"/>
  <c r="Z18" i="12"/>
  <c r="W18" i="12"/>
  <c r="V18" i="12"/>
  <c r="Z17" i="12"/>
  <c r="W17" i="12"/>
  <c r="V17" i="12"/>
  <c r="Z16" i="12"/>
  <c r="W16" i="12"/>
  <c r="V16" i="12"/>
  <c r="Z15" i="12"/>
  <c r="W15" i="12"/>
  <c r="V15" i="12"/>
  <c r="Z14" i="12"/>
  <c r="W14" i="12"/>
  <c r="V14" i="12"/>
  <c r="Z13" i="12"/>
  <c r="W13" i="12"/>
  <c r="V13" i="12"/>
  <c r="Z12" i="12"/>
  <c r="W12" i="12"/>
  <c r="V12" i="12"/>
  <c r="Z11" i="12"/>
  <c r="W11" i="12"/>
  <c r="V11" i="12"/>
  <c r="Z10" i="12"/>
  <c r="W10" i="12"/>
  <c r="V10" i="12"/>
  <c r="Z9" i="12"/>
  <c r="W9" i="12"/>
  <c r="V9" i="12"/>
  <c r="Z8" i="12"/>
  <c r="W8" i="12"/>
  <c r="V8" i="12"/>
  <c r="Z7" i="12"/>
  <c r="W7" i="12"/>
  <c r="V7" i="12"/>
  <c r="Z79" i="11"/>
  <c r="W79" i="11"/>
  <c r="V79" i="11"/>
  <c r="Z78" i="11"/>
  <c r="W78" i="11"/>
  <c r="V78" i="11"/>
  <c r="Z77" i="11"/>
  <c r="W77" i="11"/>
  <c r="V77" i="11"/>
  <c r="Z76" i="11"/>
  <c r="W76" i="11"/>
  <c r="V76" i="11"/>
  <c r="Z75" i="11"/>
  <c r="W75" i="11"/>
  <c r="V75" i="11"/>
  <c r="Z74" i="11"/>
  <c r="W74" i="11"/>
  <c r="V74" i="11"/>
  <c r="Z73" i="11"/>
  <c r="W73" i="11"/>
  <c r="V73" i="11"/>
  <c r="Z72" i="11"/>
  <c r="W72" i="11"/>
  <c r="V72" i="11"/>
  <c r="Z71" i="11"/>
  <c r="W71" i="11"/>
  <c r="V71" i="11"/>
  <c r="Z70" i="11"/>
  <c r="W70" i="11"/>
  <c r="V70" i="11"/>
  <c r="Z69" i="11"/>
  <c r="W69" i="11"/>
  <c r="V69" i="11"/>
  <c r="Z68" i="11"/>
  <c r="W68" i="11"/>
  <c r="V68" i="11"/>
  <c r="Z67" i="11"/>
  <c r="W67" i="11"/>
  <c r="V67" i="11"/>
  <c r="Z66" i="11"/>
  <c r="W66" i="11"/>
  <c r="V66" i="11"/>
  <c r="Z65" i="11"/>
  <c r="W65" i="11"/>
  <c r="V65" i="11"/>
  <c r="Z64" i="11"/>
  <c r="W64" i="11"/>
  <c r="V64" i="11"/>
  <c r="Z63" i="11"/>
  <c r="W63" i="11"/>
  <c r="V63" i="11"/>
  <c r="Z62" i="11"/>
  <c r="W62" i="11"/>
  <c r="V62" i="11"/>
  <c r="Z61" i="11"/>
  <c r="W61" i="11"/>
  <c r="V61" i="11"/>
  <c r="Z60" i="11"/>
  <c r="W60" i="11"/>
  <c r="V60" i="11"/>
  <c r="Z59" i="11"/>
  <c r="W59" i="11"/>
  <c r="V59" i="11"/>
  <c r="Z58" i="11"/>
  <c r="W58" i="11"/>
  <c r="V58" i="11"/>
  <c r="Z57" i="11"/>
  <c r="W57" i="11"/>
  <c r="V57" i="11"/>
  <c r="Z56" i="11"/>
  <c r="W56" i="11"/>
  <c r="V56" i="11"/>
  <c r="Z55" i="11"/>
  <c r="W55" i="11"/>
  <c r="V55" i="11"/>
  <c r="Z54" i="11"/>
  <c r="W54" i="11"/>
  <c r="V54" i="11"/>
  <c r="Z53" i="11"/>
  <c r="W53" i="11"/>
  <c r="V53" i="11"/>
  <c r="Z52" i="11"/>
  <c r="W52" i="11"/>
  <c r="V52" i="11"/>
  <c r="Z51" i="11"/>
  <c r="W51" i="11"/>
  <c r="V51" i="11"/>
  <c r="Z50" i="11"/>
  <c r="W50" i="11"/>
  <c r="V50" i="11"/>
  <c r="Z49" i="11"/>
  <c r="W49" i="11"/>
  <c r="V49" i="11"/>
  <c r="Z48" i="11"/>
  <c r="W48" i="11"/>
  <c r="V48" i="11"/>
  <c r="Z47" i="11"/>
  <c r="W47" i="11"/>
  <c r="V47" i="11"/>
  <c r="Z46" i="11"/>
  <c r="W46" i="11"/>
  <c r="V46" i="11"/>
  <c r="Z45" i="11"/>
  <c r="W45" i="11"/>
  <c r="V45" i="11"/>
  <c r="Z44" i="11"/>
  <c r="W44" i="11"/>
  <c r="V44" i="11"/>
  <c r="Z43" i="11"/>
  <c r="W43" i="11"/>
  <c r="V43" i="11"/>
  <c r="Z42" i="11"/>
  <c r="W42" i="11"/>
  <c r="V42" i="11"/>
  <c r="Z41" i="11"/>
  <c r="W41" i="11"/>
  <c r="V41" i="11"/>
  <c r="Z40" i="11"/>
  <c r="W40" i="11"/>
  <c r="V40" i="11"/>
  <c r="Z39" i="11"/>
  <c r="W39" i="11"/>
  <c r="V39" i="11"/>
  <c r="Z38" i="11"/>
  <c r="W38" i="11"/>
  <c r="V38" i="11"/>
  <c r="Z37" i="11"/>
  <c r="W37" i="11"/>
  <c r="V37" i="11"/>
  <c r="Z36" i="11"/>
  <c r="W36" i="11"/>
  <c r="V36" i="11"/>
  <c r="Z35" i="11"/>
  <c r="W35" i="11"/>
  <c r="V35" i="11"/>
  <c r="Z34" i="11"/>
  <c r="W34" i="11"/>
  <c r="V34" i="11"/>
  <c r="Z33" i="11"/>
  <c r="W33" i="11"/>
  <c r="V33" i="11"/>
  <c r="Z32" i="11"/>
  <c r="W32" i="11"/>
  <c r="V32" i="11"/>
  <c r="Z31" i="11"/>
  <c r="W31" i="11"/>
  <c r="V31" i="11"/>
  <c r="Z30" i="11"/>
  <c r="W30" i="11"/>
  <c r="V30" i="11"/>
  <c r="Z29" i="11"/>
  <c r="W29" i="11"/>
  <c r="V29" i="11"/>
  <c r="Z28" i="11"/>
  <c r="W28" i="11"/>
  <c r="V28" i="11"/>
  <c r="Z27" i="11"/>
  <c r="W27" i="11"/>
  <c r="V27" i="11"/>
  <c r="Z26" i="11"/>
  <c r="W26" i="11"/>
  <c r="V26" i="11"/>
  <c r="Z25" i="11"/>
  <c r="W25" i="11"/>
  <c r="V25" i="11"/>
  <c r="Z24" i="11"/>
  <c r="W24" i="11"/>
  <c r="V24" i="11"/>
  <c r="Z23" i="11"/>
  <c r="W23" i="11"/>
  <c r="V23" i="11"/>
  <c r="Z22" i="11"/>
  <c r="W22" i="11"/>
  <c r="V22" i="11"/>
  <c r="Z21" i="11"/>
  <c r="W21" i="11"/>
  <c r="V21" i="11"/>
  <c r="Z20" i="11"/>
  <c r="W20" i="11"/>
  <c r="V20" i="11"/>
  <c r="Z19" i="11"/>
  <c r="W19" i="11"/>
  <c r="V19" i="11"/>
  <c r="Z18" i="11"/>
  <c r="W18" i="11"/>
  <c r="V18" i="11"/>
  <c r="Z17" i="11"/>
  <c r="W17" i="11"/>
  <c r="V17" i="11"/>
  <c r="Z16" i="11"/>
  <c r="W16" i="11"/>
  <c r="V16" i="11"/>
  <c r="Z15" i="11"/>
  <c r="W15" i="11"/>
  <c r="V15" i="11"/>
  <c r="Z14" i="11"/>
  <c r="W14" i="11"/>
  <c r="V14" i="11"/>
  <c r="Z13" i="11"/>
  <c r="W13" i="11"/>
  <c r="V13" i="11"/>
  <c r="Z12" i="11"/>
  <c r="W12" i="11"/>
  <c r="V12" i="11"/>
  <c r="Z11" i="11"/>
  <c r="W11" i="11"/>
  <c r="V11" i="11"/>
  <c r="Z10" i="11"/>
  <c r="W10" i="11"/>
  <c r="V10" i="11"/>
  <c r="Z9" i="11"/>
  <c r="W9" i="11"/>
  <c r="V9" i="11"/>
  <c r="Z8" i="11"/>
  <c r="W8" i="11"/>
  <c r="V8" i="11"/>
  <c r="Z7" i="11"/>
  <c r="W7" i="11"/>
  <c r="V7" i="11"/>
  <c r="Z79" i="10"/>
  <c r="W79" i="10"/>
  <c r="V79" i="10"/>
  <c r="Z78" i="10"/>
  <c r="W78" i="10"/>
  <c r="V78" i="10"/>
  <c r="Z77" i="10"/>
  <c r="W77" i="10"/>
  <c r="V77" i="10"/>
  <c r="Z76" i="10"/>
  <c r="W76" i="10"/>
  <c r="V76" i="10"/>
  <c r="Z75" i="10"/>
  <c r="W75" i="10"/>
  <c r="V75" i="10"/>
  <c r="Z74" i="10"/>
  <c r="W74" i="10"/>
  <c r="V74" i="10"/>
  <c r="Z73" i="10"/>
  <c r="W73" i="10"/>
  <c r="V73" i="10"/>
  <c r="Z72" i="10"/>
  <c r="W72" i="10"/>
  <c r="V72" i="10"/>
  <c r="Z71" i="10"/>
  <c r="W71" i="10"/>
  <c r="V71" i="10"/>
  <c r="Z70" i="10"/>
  <c r="W70" i="10"/>
  <c r="V70" i="10"/>
  <c r="Z69" i="10"/>
  <c r="W69" i="10"/>
  <c r="V69" i="10"/>
  <c r="Z68" i="10"/>
  <c r="W68" i="10"/>
  <c r="V68" i="10"/>
  <c r="Z67" i="10"/>
  <c r="W67" i="10"/>
  <c r="V67" i="10"/>
  <c r="Z66" i="10"/>
  <c r="W66" i="10"/>
  <c r="V66" i="10"/>
  <c r="Z65" i="10"/>
  <c r="W65" i="10"/>
  <c r="V65" i="10"/>
  <c r="Z64" i="10"/>
  <c r="W64" i="10"/>
  <c r="V64" i="10"/>
  <c r="Z63" i="10"/>
  <c r="W63" i="10"/>
  <c r="V63" i="10"/>
  <c r="Z62" i="10"/>
  <c r="W62" i="10"/>
  <c r="V62" i="10"/>
  <c r="Z61" i="10"/>
  <c r="W61" i="10"/>
  <c r="V61" i="10"/>
  <c r="Z60" i="10"/>
  <c r="W60" i="10"/>
  <c r="V60" i="10"/>
  <c r="Z59" i="10"/>
  <c r="W59" i="10"/>
  <c r="V59" i="10"/>
  <c r="Z58" i="10"/>
  <c r="W58" i="10"/>
  <c r="V58" i="10"/>
  <c r="Z57" i="10"/>
  <c r="W57" i="10"/>
  <c r="V57" i="10"/>
  <c r="Z56" i="10"/>
  <c r="W56" i="10"/>
  <c r="V56" i="10"/>
  <c r="Z55" i="10"/>
  <c r="W55" i="10"/>
  <c r="V55" i="10"/>
  <c r="Z54" i="10"/>
  <c r="W54" i="10"/>
  <c r="V54" i="10"/>
  <c r="Z53" i="10"/>
  <c r="W53" i="10"/>
  <c r="V53" i="10"/>
  <c r="Z52" i="10"/>
  <c r="W52" i="10"/>
  <c r="V52" i="10"/>
  <c r="Z51" i="10"/>
  <c r="W51" i="10"/>
  <c r="V51" i="10"/>
  <c r="Z50" i="10"/>
  <c r="W50" i="10"/>
  <c r="V50" i="10"/>
  <c r="Z49" i="10"/>
  <c r="W49" i="10"/>
  <c r="V49" i="10"/>
  <c r="Z48" i="10"/>
  <c r="W48" i="10"/>
  <c r="V48" i="10"/>
  <c r="Z47" i="10"/>
  <c r="W47" i="10"/>
  <c r="V47" i="10"/>
  <c r="Z46" i="10"/>
  <c r="W46" i="10"/>
  <c r="V46" i="10"/>
  <c r="Z45" i="10"/>
  <c r="W45" i="10"/>
  <c r="V45" i="10"/>
  <c r="Z44" i="10"/>
  <c r="W44" i="10"/>
  <c r="V44" i="10"/>
  <c r="Z43" i="10"/>
  <c r="W43" i="10"/>
  <c r="V43" i="10"/>
  <c r="Z42" i="10"/>
  <c r="W42" i="10"/>
  <c r="V42" i="10"/>
  <c r="Z41" i="10"/>
  <c r="W41" i="10"/>
  <c r="V41" i="10"/>
  <c r="Z40" i="10"/>
  <c r="W40" i="10"/>
  <c r="V40" i="10"/>
  <c r="Z39" i="10"/>
  <c r="W39" i="10"/>
  <c r="V39" i="10"/>
  <c r="Z38" i="10"/>
  <c r="W38" i="10"/>
  <c r="V38" i="10"/>
  <c r="Z37" i="10"/>
  <c r="W37" i="10"/>
  <c r="V37" i="10"/>
  <c r="Z36" i="10"/>
  <c r="W36" i="10"/>
  <c r="V36" i="10"/>
  <c r="Z35" i="10"/>
  <c r="W35" i="10"/>
  <c r="V35" i="10"/>
  <c r="Z34" i="10"/>
  <c r="W34" i="10"/>
  <c r="V34" i="10"/>
  <c r="Z33" i="10"/>
  <c r="W33" i="10"/>
  <c r="V33" i="10"/>
  <c r="Z32" i="10"/>
  <c r="W32" i="10"/>
  <c r="V32" i="10"/>
  <c r="Z31" i="10"/>
  <c r="W31" i="10"/>
  <c r="V31" i="10"/>
  <c r="Z30" i="10"/>
  <c r="W30" i="10"/>
  <c r="V30" i="10"/>
  <c r="Z29" i="10"/>
  <c r="W29" i="10"/>
  <c r="V29" i="10"/>
  <c r="Z28" i="10"/>
  <c r="W28" i="10"/>
  <c r="V28" i="10"/>
  <c r="Z27" i="10"/>
  <c r="W27" i="10"/>
  <c r="V27" i="10"/>
  <c r="Z26" i="10"/>
  <c r="W26" i="10"/>
  <c r="V26" i="10"/>
  <c r="Z25" i="10"/>
  <c r="W25" i="10"/>
  <c r="V25" i="10"/>
  <c r="Z24" i="10"/>
  <c r="W24" i="10"/>
  <c r="V24" i="10"/>
  <c r="Z23" i="10"/>
  <c r="W23" i="10"/>
  <c r="V23" i="10"/>
  <c r="Z22" i="10"/>
  <c r="W22" i="10"/>
  <c r="V22" i="10"/>
  <c r="Z21" i="10"/>
  <c r="W21" i="10"/>
  <c r="V21" i="10"/>
  <c r="Z20" i="10"/>
  <c r="W20" i="10"/>
  <c r="V20" i="10"/>
  <c r="Z19" i="10"/>
  <c r="W19" i="10"/>
  <c r="V19" i="10"/>
  <c r="Z18" i="10"/>
  <c r="W18" i="10"/>
  <c r="V18" i="10"/>
  <c r="Z17" i="10"/>
  <c r="W17" i="10"/>
  <c r="V17" i="10"/>
  <c r="Z16" i="10"/>
  <c r="W16" i="10"/>
  <c r="V16" i="10"/>
  <c r="Z15" i="10"/>
  <c r="W15" i="10"/>
  <c r="V15" i="10"/>
  <c r="Z14" i="10"/>
  <c r="W14" i="10"/>
  <c r="V14" i="10"/>
  <c r="Z13" i="10"/>
  <c r="W13" i="10"/>
  <c r="V13" i="10"/>
  <c r="Z12" i="10"/>
  <c r="W12" i="10"/>
  <c r="V12" i="10"/>
  <c r="Z11" i="10"/>
  <c r="W11" i="10"/>
  <c r="V11" i="10"/>
  <c r="Z10" i="10"/>
  <c r="W10" i="10"/>
  <c r="V10" i="10"/>
  <c r="Z9" i="10"/>
  <c r="W9" i="10"/>
  <c r="V9" i="10"/>
  <c r="Z8" i="10"/>
  <c r="W8" i="10"/>
  <c r="V8" i="10"/>
  <c r="Z7" i="10"/>
  <c r="W7" i="10"/>
  <c r="V7" i="10"/>
  <c r="Z79" i="9"/>
  <c r="W79" i="9"/>
  <c r="V79" i="9"/>
  <c r="Z78" i="9"/>
  <c r="W78" i="9"/>
  <c r="V78" i="9"/>
  <c r="Z77" i="9"/>
  <c r="W77" i="9"/>
  <c r="V77" i="9"/>
  <c r="Z76" i="9"/>
  <c r="W76" i="9"/>
  <c r="V76" i="9"/>
  <c r="Z75" i="9"/>
  <c r="W75" i="9"/>
  <c r="V75" i="9"/>
  <c r="Z74" i="9"/>
  <c r="W74" i="9"/>
  <c r="V74" i="9"/>
  <c r="Z73" i="9"/>
  <c r="W73" i="9"/>
  <c r="V73" i="9"/>
  <c r="Z72" i="9"/>
  <c r="W72" i="9"/>
  <c r="V72" i="9"/>
  <c r="Z71" i="9"/>
  <c r="W71" i="9"/>
  <c r="V71" i="9"/>
  <c r="Z70" i="9"/>
  <c r="W70" i="9"/>
  <c r="V70" i="9"/>
  <c r="Z69" i="9"/>
  <c r="W69" i="9"/>
  <c r="V69" i="9"/>
  <c r="Z68" i="9"/>
  <c r="W68" i="9"/>
  <c r="V68" i="9"/>
  <c r="Z67" i="9"/>
  <c r="W67" i="9"/>
  <c r="V67" i="9"/>
  <c r="Z66" i="9"/>
  <c r="W66" i="9"/>
  <c r="V66" i="9"/>
  <c r="Z65" i="9"/>
  <c r="W65" i="9"/>
  <c r="V65" i="9"/>
  <c r="Z64" i="9"/>
  <c r="W64" i="9"/>
  <c r="V64" i="9"/>
  <c r="Z63" i="9"/>
  <c r="W63" i="9"/>
  <c r="V63" i="9"/>
  <c r="Z62" i="9"/>
  <c r="W62" i="9"/>
  <c r="V62" i="9"/>
  <c r="Z61" i="9"/>
  <c r="W61" i="9"/>
  <c r="V61" i="9"/>
  <c r="Z60" i="9"/>
  <c r="W60" i="9"/>
  <c r="V60" i="9"/>
  <c r="Z59" i="9"/>
  <c r="W59" i="9"/>
  <c r="V59" i="9"/>
  <c r="Z58" i="9"/>
  <c r="W58" i="9"/>
  <c r="V58" i="9"/>
  <c r="Z57" i="9"/>
  <c r="W57" i="9"/>
  <c r="V57" i="9"/>
  <c r="Z56" i="9"/>
  <c r="W56" i="9"/>
  <c r="V56" i="9"/>
  <c r="Z55" i="9"/>
  <c r="W55" i="9"/>
  <c r="V55" i="9"/>
  <c r="Z54" i="9"/>
  <c r="W54" i="9"/>
  <c r="V54" i="9"/>
  <c r="Z53" i="9"/>
  <c r="W53" i="9"/>
  <c r="V53" i="9"/>
  <c r="Z52" i="9"/>
  <c r="W52" i="9"/>
  <c r="V52" i="9"/>
  <c r="Z51" i="9"/>
  <c r="W51" i="9"/>
  <c r="V51" i="9"/>
  <c r="Z50" i="9"/>
  <c r="W50" i="9"/>
  <c r="V50" i="9"/>
  <c r="Z49" i="9"/>
  <c r="W49" i="9"/>
  <c r="V49" i="9"/>
  <c r="Z48" i="9"/>
  <c r="W48" i="9"/>
  <c r="V48" i="9"/>
  <c r="Z47" i="9"/>
  <c r="W47" i="9"/>
  <c r="V47" i="9"/>
  <c r="Z46" i="9"/>
  <c r="W46" i="9"/>
  <c r="V46" i="9"/>
  <c r="Z45" i="9"/>
  <c r="W45" i="9"/>
  <c r="V45" i="9"/>
  <c r="Z44" i="9"/>
  <c r="W44" i="9"/>
  <c r="V44" i="9"/>
  <c r="Z43" i="9"/>
  <c r="W43" i="9"/>
  <c r="V43" i="9"/>
  <c r="Z42" i="9"/>
  <c r="W42" i="9"/>
  <c r="V42" i="9"/>
  <c r="Z41" i="9"/>
  <c r="W41" i="9"/>
  <c r="V41" i="9"/>
  <c r="Z40" i="9"/>
  <c r="W40" i="9"/>
  <c r="V40" i="9"/>
  <c r="Z39" i="9"/>
  <c r="W39" i="9"/>
  <c r="V39" i="9"/>
  <c r="Z38" i="9"/>
  <c r="W38" i="9"/>
  <c r="V38" i="9"/>
  <c r="Z37" i="9"/>
  <c r="W37" i="9"/>
  <c r="V37" i="9"/>
  <c r="Z36" i="9"/>
  <c r="W36" i="9"/>
  <c r="V36" i="9"/>
  <c r="Z35" i="9"/>
  <c r="W35" i="9"/>
  <c r="V35" i="9"/>
  <c r="Z34" i="9"/>
  <c r="W34" i="9"/>
  <c r="V34" i="9"/>
  <c r="Z33" i="9"/>
  <c r="W33" i="9"/>
  <c r="V33" i="9"/>
  <c r="Z32" i="9"/>
  <c r="W32" i="9"/>
  <c r="V32" i="9"/>
  <c r="Z31" i="9"/>
  <c r="W31" i="9"/>
  <c r="V31" i="9"/>
  <c r="Z30" i="9"/>
  <c r="W30" i="9"/>
  <c r="V30" i="9"/>
  <c r="Z29" i="9"/>
  <c r="W29" i="9"/>
  <c r="V29" i="9"/>
  <c r="Z28" i="9"/>
  <c r="W28" i="9"/>
  <c r="V28" i="9"/>
  <c r="Z27" i="9"/>
  <c r="W27" i="9"/>
  <c r="V27" i="9"/>
  <c r="Z26" i="9"/>
  <c r="W26" i="9"/>
  <c r="V26" i="9"/>
  <c r="Z25" i="9"/>
  <c r="W25" i="9"/>
  <c r="V25" i="9"/>
  <c r="Z24" i="9"/>
  <c r="W24" i="9"/>
  <c r="V24" i="9"/>
  <c r="Z23" i="9"/>
  <c r="W23" i="9"/>
  <c r="V23" i="9"/>
  <c r="Z22" i="9"/>
  <c r="W22" i="9"/>
  <c r="V22" i="9"/>
  <c r="Z21" i="9"/>
  <c r="W21" i="9"/>
  <c r="V21" i="9"/>
  <c r="Z20" i="9"/>
  <c r="W20" i="9"/>
  <c r="V20" i="9"/>
  <c r="Z19" i="9"/>
  <c r="W19" i="9"/>
  <c r="V19" i="9"/>
  <c r="Z18" i="9"/>
  <c r="W18" i="9"/>
  <c r="V18" i="9"/>
  <c r="Z17" i="9"/>
  <c r="W17" i="9"/>
  <c r="V17" i="9"/>
  <c r="Z16" i="9"/>
  <c r="W16" i="9"/>
  <c r="V16" i="9"/>
  <c r="Z15" i="9"/>
  <c r="W15" i="9"/>
  <c r="V15" i="9"/>
  <c r="Z14" i="9"/>
  <c r="W14" i="9"/>
  <c r="V14" i="9"/>
  <c r="Z13" i="9"/>
  <c r="W13" i="9"/>
  <c r="V13" i="9"/>
  <c r="Z12" i="9"/>
  <c r="W12" i="9"/>
  <c r="V12" i="9"/>
  <c r="Z11" i="9"/>
  <c r="W11" i="9"/>
  <c r="V11" i="9"/>
  <c r="Z10" i="9"/>
  <c r="W10" i="9"/>
  <c r="V10" i="9"/>
  <c r="Z9" i="9"/>
  <c r="W9" i="9"/>
  <c r="V9" i="9"/>
  <c r="Z8" i="9"/>
  <c r="W8" i="9"/>
  <c r="V8" i="9"/>
  <c r="Z7" i="9"/>
  <c r="W7" i="9"/>
  <c r="V7" i="9"/>
  <c r="Z79" i="8"/>
  <c r="W79" i="8"/>
  <c r="V79" i="8"/>
  <c r="Z78" i="8"/>
  <c r="W78" i="8"/>
  <c r="V78" i="8"/>
  <c r="Z77" i="8"/>
  <c r="W77" i="8"/>
  <c r="V77" i="8"/>
  <c r="Z76" i="8"/>
  <c r="W76" i="8"/>
  <c r="V76" i="8"/>
  <c r="Z75" i="8"/>
  <c r="W75" i="8"/>
  <c r="V75" i="8"/>
  <c r="Z74" i="8"/>
  <c r="W74" i="8"/>
  <c r="V74" i="8"/>
  <c r="Z73" i="8"/>
  <c r="W73" i="8"/>
  <c r="V73" i="8"/>
  <c r="Z72" i="8"/>
  <c r="W72" i="8"/>
  <c r="V72" i="8"/>
  <c r="Z71" i="8"/>
  <c r="W71" i="8"/>
  <c r="V71" i="8"/>
  <c r="Z70" i="8"/>
  <c r="W70" i="8"/>
  <c r="V70" i="8"/>
  <c r="Z69" i="8"/>
  <c r="W69" i="8"/>
  <c r="V69" i="8"/>
  <c r="Z68" i="8"/>
  <c r="W68" i="8"/>
  <c r="V68" i="8"/>
  <c r="Z67" i="8"/>
  <c r="W67" i="8"/>
  <c r="V67" i="8"/>
  <c r="Z66" i="8"/>
  <c r="W66" i="8"/>
  <c r="V66" i="8"/>
  <c r="Z65" i="8"/>
  <c r="W65" i="8"/>
  <c r="V65" i="8"/>
  <c r="Z64" i="8"/>
  <c r="W64" i="8"/>
  <c r="V64" i="8"/>
  <c r="Z63" i="8"/>
  <c r="W63" i="8"/>
  <c r="V63" i="8"/>
  <c r="Z62" i="8"/>
  <c r="W62" i="8"/>
  <c r="V62" i="8"/>
  <c r="Z61" i="8"/>
  <c r="W61" i="8"/>
  <c r="V61" i="8"/>
  <c r="Z60" i="8"/>
  <c r="W60" i="8"/>
  <c r="V60" i="8"/>
  <c r="Z59" i="8"/>
  <c r="W59" i="8"/>
  <c r="V59" i="8"/>
  <c r="Z58" i="8"/>
  <c r="W58" i="8"/>
  <c r="V58" i="8"/>
  <c r="Z57" i="8"/>
  <c r="W57" i="8"/>
  <c r="V57" i="8"/>
  <c r="Z56" i="8"/>
  <c r="W56" i="8"/>
  <c r="V56" i="8"/>
  <c r="Z55" i="8"/>
  <c r="W55" i="8"/>
  <c r="V55" i="8"/>
  <c r="Z54" i="8"/>
  <c r="W54" i="8"/>
  <c r="V54" i="8"/>
  <c r="Z53" i="8"/>
  <c r="W53" i="8"/>
  <c r="V53" i="8"/>
  <c r="Z52" i="8"/>
  <c r="W52" i="8"/>
  <c r="V52" i="8"/>
  <c r="Z51" i="8"/>
  <c r="W51" i="8"/>
  <c r="V51" i="8"/>
  <c r="Z50" i="8"/>
  <c r="W50" i="8"/>
  <c r="V50" i="8"/>
  <c r="Z49" i="8"/>
  <c r="W49" i="8"/>
  <c r="V49" i="8"/>
  <c r="Z48" i="8"/>
  <c r="W48" i="8"/>
  <c r="V48" i="8"/>
  <c r="Z47" i="8"/>
  <c r="W47" i="8"/>
  <c r="V47" i="8"/>
  <c r="Z46" i="8"/>
  <c r="W46" i="8"/>
  <c r="V46" i="8"/>
  <c r="Z45" i="8"/>
  <c r="W45" i="8"/>
  <c r="V45" i="8"/>
  <c r="Z44" i="8"/>
  <c r="W44" i="8"/>
  <c r="V44" i="8"/>
  <c r="Z43" i="8"/>
  <c r="W43" i="8"/>
  <c r="V43" i="8"/>
  <c r="Z42" i="8"/>
  <c r="W42" i="8"/>
  <c r="V42" i="8"/>
  <c r="Z41" i="8"/>
  <c r="W41" i="8"/>
  <c r="V41" i="8"/>
  <c r="Z40" i="8"/>
  <c r="W40" i="8"/>
  <c r="V40" i="8"/>
  <c r="Z39" i="8"/>
  <c r="W39" i="8"/>
  <c r="V39" i="8"/>
  <c r="Z38" i="8"/>
  <c r="W38" i="8"/>
  <c r="V38" i="8"/>
  <c r="Z37" i="8"/>
  <c r="W37" i="8"/>
  <c r="V37" i="8"/>
  <c r="Z36" i="8"/>
  <c r="W36" i="8"/>
  <c r="V36" i="8"/>
  <c r="Z35" i="8"/>
  <c r="W35" i="8"/>
  <c r="V35" i="8"/>
  <c r="Z34" i="8"/>
  <c r="W34" i="8"/>
  <c r="V34" i="8"/>
  <c r="Z33" i="8"/>
  <c r="W33" i="8"/>
  <c r="V33" i="8"/>
  <c r="Z32" i="8"/>
  <c r="W32" i="8"/>
  <c r="V32" i="8"/>
  <c r="Z31" i="8"/>
  <c r="W31" i="8"/>
  <c r="V31" i="8"/>
  <c r="Z30" i="8"/>
  <c r="W30" i="8"/>
  <c r="V30" i="8"/>
  <c r="Z29" i="8"/>
  <c r="W29" i="8"/>
  <c r="V29" i="8"/>
  <c r="Z28" i="8"/>
  <c r="W28" i="8"/>
  <c r="V28" i="8"/>
  <c r="Z27" i="8"/>
  <c r="W27" i="8"/>
  <c r="V27" i="8"/>
  <c r="Z26" i="8"/>
  <c r="W26" i="8"/>
  <c r="V26" i="8"/>
  <c r="Z25" i="8"/>
  <c r="W25" i="8"/>
  <c r="V25" i="8"/>
  <c r="Z24" i="8"/>
  <c r="W24" i="8"/>
  <c r="V24" i="8"/>
  <c r="Z23" i="8"/>
  <c r="W23" i="8"/>
  <c r="V23" i="8"/>
  <c r="Z22" i="8"/>
  <c r="W22" i="8"/>
  <c r="V22" i="8"/>
  <c r="Z21" i="8"/>
  <c r="W21" i="8"/>
  <c r="V21" i="8"/>
  <c r="Z20" i="8"/>
  <c r="W20" i="8"/>
  <c r="V20" i="8"/>
  <c r="Z19" i="8"/>
  <c r="W19" i="8"/>
  <c r="V19" i="8"/>
  <c r="Z18" i="8"/>
  <c r="W18" i="8"/>
  <c r="V18" i="8"/>
  <c r="Z17" i="8"/>
  <c r="W17" i="8"/>
  <c r="V17" i="8"/>
  <c r="Z16" i="8"/>
  <c r="W16" i="8"/>
  <c r="V16" i="8"/>
  <c r="Z15" i="8"/>
  <c r="W15" i="8"/>
  <c r="V15" i="8"/>
  <c r="Z14" i="8"/>
  <c r="W14" i="8"/>
  <c r="V14" i="8"/>
  <c r="Z13" i="8"/>
  <c r="W13" i="8"/>
  <c r="V13" i="8"/>
  <c r="Z12" i="8"/>
  <c r="W12" i="8"/>
  <c r="V12" i="8"/>
  <c r="Z11" i="8"/>
  <c r="W11" i="8"/>
  <c r="V11" i="8"/>
  <c r="Z10" i="8"/>
  <c r="W10" i="8"/>
  <c r="V10" i="8"/>
  <c r="Z9" i="8"/>
  <c r="W9" i="8"/>
  <c r="V9" i="8"/>
  <c r="Z8" i="8"/>
  <c r="W8" i="8"/>
  <c r="V8" i="8"/>
  <c r="Z7" i="8"/>
  <c r="W7" i="8"/>
  <c r="V7" i="8"/>
  <c r="Z79" i="7"/>
  <c r="W79" i="7"/>
  <c r="V79" i="7"/>
  <c r="Z78" i="7"/>
  <c r="W78" i="7"/>
  <c r="V78" i="7"/>
  <c r="Z77" i="7"/>
  <c r="W77" i="7"/>
  <c r="V77" i="7"/>
  <c r="Z76" i="7"/>
  <c r="W76" i="7"/>
  <c r="V76" i="7"/>
  <c r="Z75" i="7"/>
  <c r="W75" i="7"/>
  <c r="V75" i="7"/>
  <c r="Z74" i="7"/>
  <c r="W74" i="7"/>
  <c r="V74" i="7"/>
  <c r="Z73" i="7"/>
  <c r="W73" i="7"/>
  <c r="V73" i="7"/>
  <c r="Z72" i="7"/>
  <c r="W72" i="7"/>
  <c r="V72" i="7"/>
  <c r="Z71" i="7"/>
  <c r="W71" i="7"/>
  <c r="V71" i="7"/>
  <c r="Z70" i="7"/>
  <c r="W70" i="7"/>
  <c r="V70" i="7"/>
  <c r="Z69" i="7"/>
  <c r="W69" i="7"/>
  <c r="V69" i="7"/>
  <c r="Z68" i="7"/>
  <c r="W68" i="7"/>
  <c r="V68" i="7"/>
  <c r="Z67" i="7"/>
  <c r="W67" i="7"/>
  <c r="V67" i="7"/>
  <c r="Z66" i="7"/>
  <c r="W66" i="7"/>
  <c r="V66" i="7"/>
  <c r="Z65" i="7"/>
  <c r="W65" i="7"/>
  <c r="V65" i="7"/>
  <c r="Z64" i="7"/>
  <c r="W64" i="7"/>
  <c r="V64" i="7"/>
  <c r="Z63" i="7"/>
  <c r="W63" i="7"/>
  <c r="V63" i="7"/>
  <c r="Z62" i="7"/>
  <c r="W62" i="7"/>
  <c r="V62" i="7"/>
  <c r="Z61" i="7"/>
  <c r="W61" i="7"/>
  <c r="V61" i="7"/>
  <c r="Z60" i="7"/>
  <c r="W60" i="7"/>
  <c r="V60" i="7"/>
  <c r="Z59" i="7"/>
  <c r="W59" i="7"/>
  <c r="V59" i="7"/>
  <c r="Z58" i="7"/>
  <c r="W58" i="7"/>
  <c r="V58" i="7"/>
  <c r="Z57" i="7"/>
  <c r="W57" i="7"/>
  <c r="V57" i="7"/>
  <c r="Z56" i="7"/>
  <c r="W56" i="7"/>
  <c r="V56" i="7"/>
  <c r="Z55" i="7"/>
  <c r="W55" i="7"/>
  <c r="V55" i="7"/>
  <c r="Z54" i="7"/>
  <c r="W54" i="7"/>
  <c r="V54" i="7"/>
  <c r="Z53" i="7"/>
  <c r="W53" i="7"/>
  <c r="V53" i="7"/>
  <c r="Z52" i="7"/>
  <c r="W52" i="7"/>
  <c r="V52" i="7"/>
  <c r="Z51" i="7"/>
  <c r="W51" i="7"/>
  <c r="V51" i="7"/>
  <c r="Z50" i="7"/>
  <c r="W50" i="7"/>
  <c r="V50" i="7"/>
  <c r="Z49" i="7"/>
  <c r="W49" i="7"/>
  <c r="V49" i="7"/>
  <c r="Z48" i="7"/>
  <c r="W48" i="7"/>
  <c r="V48" i="7"/>
  <c r="Z47" i="7"/>
  <c r="W47" i="7"/>
  <c r="V47" i="7"/>
  <c r="Z46" i="7"/>
  <c r="W46" i="7"/>
  <c r="V46" i="7"/>
  <c r="Z45" i="7"/>
  <c r="W45" i="7"/>
  <c r="V45" i="7"/>
  <c r="Z44" i="7"/>
  <c r="W44" i="7"/>
  <c r="V44" i="7"/>
  <c r="Z43" i="7"/>
  <c r="W43" i="7"/>
  <c r="V43" i="7"/>
  <c r="Z42" i="7"/>
  <c r="W42" i="7"/>
  <c r="V42" i="7"/>
  <c r="Z41" i="7"/>
  <c r="W41" i="7"/>
  <c r="V41" i="7"/>
  <c r="Z40" i="7"/>
  <c r="W40" i="7"/>
  <c r="V40" i="7"/>
  <c r="Z39" i="7"/>
  <c r="W39" i="7"/>
  <c r="V39" i="7"/>
  <c r="Z38" i="7"/>
  <c r="W38" i="7"/>
  <c r="V38" i="7"/>
  <c r="Z37" i="7"/>
  <c r="W37" i="7"/>
  <c r="V37" i="7"/>
  <c r="Z36" i="7"/>
  <c r="W36" i="7"/>
  <c r="V36" i="7"/>
  <c r="Z35" i="7"/>
  <c r="W35" i="7"/>
  <c r="V35" i="7"/>
  <c r="Z34" i="7"/>
  <c r="W34" i="7"/>
  <c r="V34" i="7"/>
  <c r="Z33" i="7"/>
  <c r="W33" i="7"/>
  <c r="V33" i="7"/>
  <c r="Z32" i="7"/>
  <c r="W32" i="7"/>
  <c r="V32" i="7"/>
  <c r="Z31" i="7"/>
  <c r="W31" i="7"/>
  <c r="V31" i="7"/>
  <c r="Z30" i="7"/>
  <c r="W30" i="7"/>
  <c r="V30" i="7"/>
  <c r="Z29" i="7"/>
  <c r="W29" i="7"/>
  <c r="V29" i="7"/>
  <c r="Z28" i="7"/>
  <c r="W28" i="7"/>
  <c r="V28" i="7"/>
  <c r="Z27" i="7"/>
  <c r="W27" i="7"/>
  <c r="V27" i="7"/>
  <c r="Z26" i="7"/>
  <c r="W26" i="7"/>
  <c r="V26" i="7"/>
  <c r="Z25" i="7"/>
  <c r="W25" i="7"/>
  <c r="V25" i="7"/>
  <c r="Z24" i="7"/>
  <c r="W24" i="7"/>
  <c r="V24" i="7"/>
  <c r="Z23" i="7"/>
  <c r="W23" i="7"/>
  <c r="V23" i="7"/>
  <c r="Z22" i="7"/>
  <c r="W22" i="7"/>
  <c r="V22" i="7"/>
  <c r="Z21" i="7"/>
  <c r="W21" i="7"/>
  <c r="V21" i="7"/>
  <c r="Z20" i="7"/>
  <c r="W20" i="7"/>
  <c r="V20" i="7"/>
  <c r="Z19" i="7"/>
  <c r="W19" i="7"/>
  <c r="V19" i="7"/>
  <c r="Z18" i="7"/>
  <c r="W18" i="7"/>
  <c r="V18" i="7"/>
  <c r="Z17" i="7"/>
  <c r="W17" i="7"/>
  <c r="V17" i="7"/>
  <c r="Z16" i="7"/>
  <c r="W16" i="7"/>
  <c r="V16" i="7"/>
  <c r="Z15" i="7"/>
  <c r="W15" i="7"/>
  <c r="V15" i="7"/>
  <c r="Z14" i="7"/>
  <c r="W14" i="7"/>
  <c r="V14" i="7"/>
  <c r="Z13" i="7"/>
  <c r="W13" i="7"/>
  <c r="V13" i="7"/>
  <c r="Z12" i="7"/>
  <c r="W12" i="7"/>
  <c r="V12" i="7"/>
  <c r="Z11" i="7"/>
  <c r="W11" i="7"/>
  <c r="V11" i="7"/>
  <c r="Z10" i="7"/>
  <c r="W10" i="7"/>
  <c r="V10" i="7"/>
  <c r="Z9" i="7"/>
  <c r="W9" i="7"/>
  <c r="V9" i="7"/>
  <c r="Z8" i="7"/>
  <c r="W8" i="7"/>
  <c r="V8" i="7"/>
  <c r="Z7" i="7"/>
  <c r="W7" i="7"/>
  <c r="V7" i="7"/>
  <c r="Z79" i="6"/>
  <c r="W79" i="6"/>
  <c r="V79" i="6"/>
  <c r="Z78" i="6"/>
  <c r="W78" i="6"/>
  <c r="V78" i="6"/>
  <c r="Z77" i="6"/>
  <c r="W77" i="6"/>
  <c r="V77" i="6"/>
  <c r="Z76" i="6"/>
  <c r="W76" i="6"/>
  <c r="V76" i="6"/>
  <c r="Z75" i="6"/>
  <c r="W75" i="6"/>
  <c r="V75" i="6"/>
  <c r="Z74" i="6"/>
  <c r="W74" i="6"/>
  <c r="V74" i="6"/>
  <c r="Z73" i="6"/>
  <c r="W73" i="6"/>
  <c r="V73" i="6"/>
  <c r="Z72" i="6"/>
  <c r="W72" i="6"/>
  <c r="V72" i="6"/>
  <c r="Z71" i="6"/>
  <c r="W71" i="6"/>
  <c r="V71" i="6"/>
  <c r="Z70" i="6"/>
  <c r="W70" i="6"/>
  <c r="V70" i="6"/>
  <c r="Z69" i="6"/>
  <c r="W69" i="6"/>
  <c r="V69" i="6"/>
  <c r="Z68" i="6"/>
  <c r="W68" i="6"/>
  <c r="V68" i="6"/>
  <c r="Z67" i="6"/>
  <c r="W67" i="6"/>
  <c r="V67" i="6"/>
  <c r="Z66" i="6"/>
  <c r="W66" i="6"/>
  <c r="V66" i="6"/>
  <c r="Z65" i="6"/>
  <c r="W65" i="6"/>
  <c r="V65" i="6"/>
  <c r="Z64" i="6"/>
  <c r="W64" i="6"/>
  <c r="V64" i="6"/>
  <c r="Z63" i="6"/>
  <c r="W63" i="6"/>
  <c r="V63" i="6"/>
  <c r="Z62" i="6"/>
  <c r="W62" i="6"/>
  <c r="V62" i="6"/>
  <c r="Z61" i="6"/>
  <c r="W61" i="6"/>
  <c r="V61" i="6"/>
  <c r="Z60" i="6"/>
  <c r="W60" i="6"/>
  <c r="V60" i="6"/>
  <c r="Z59" i="6"/>
  <c r="W59" i="6"/>
  <c r="V59" i="6"/>
  <c r="Z58" i="6"/>
  <c r="W58" i="6"/>
  <c r="V58" i="6"/>
  <c r="Z57" i="6"/>
  <c r="W57" i="6"/>
  <c r="V57" i="6"/>
  <c r="Z56" i="6"/>
  <c r="W56" i="6"/>
  <c r="V56" i="6"/>
  <c r="Z55" i="6"/>
  <c r="W55" i="6"/>
  <c r="V55" i="6"/>
  <c r="Z54" i="6"/>
  <c r="W54" i="6"/>
  <c r="V54" i="6"/>
  <c r="Z53" i="6"/>
  <c r="W53" i="6"/>
  <c r="V53" i="6"/>
  <c r="Z52" i="6"/>
  <c r="W52" i="6"/>
  <c r="V52" i="6"/>
  <c r="Z51" i="6"/>
  <c r="W51" i="6"/>
  <c r="V51" i="6"/>
  <c r="Z50" i="6"/>
  <c r="W50" i="6"/>
  <c r="V50" i="6"/>
  <c r="Z49" i="6"/>
  <c r="W49" i="6"/>
  <c r="V49" i="6"/>
  <c r="Z48" i="6"/>
  <c r="W48" i="6"/>
  <c r="V48" i="6"/>
  <c r="Z47" i="6"/>
  <c r="W47" i="6"/>
  <c r="V47" i="6"/>
  <c r="Z46" i="6"/>
  <c r="W46" i="6"/>
  <c r="V46" i="6"/>
  <c r="Z45" i="6"/>
  <c r="W45" i="6"/>
  <c r="V45" i="6"/>
  <c r="Z44" i="6"/>
  <c r="W44" i="6"/>
  <c r="V44" i="6"/>
  <c r="Z43" i="6"/>
  <c r="W43" i="6"/>
  <c r="V43" i="6"/>
  <c r="Z42" i="6"/>
  <c r="W42" i="6"/>
  <c r="V42" i="6"/>
  <c r="Z41" i="6"/>
  <c r="W41" i="6"/>
  <c r="V41" i="6"/>
  <c r="Z40" i="6"/>
  <c r="W40" i="6"/>
  <c r="V40" i="6"/>
  <c r="Z39" i="6"/>
  <c r="W39" i="6"/>
  <c r="V39" i="6"/>
  <c r="Z38" i="6"/>
  <c r="W38" i="6"/>
  <c r="V38" i="6"/>
  <c r="Z37" i="6"/>
  <c r="W37" i="6"/>
  <c r="V37" i="6"/>
  <c r="Z36" i="6"/>
  <c r="W36" i="6"/>
  <c r="V36" i="6"/>
  <c r="Z35" i="6"/>
  <c r="W35" i="6"/>
  <c r="V35" i="6"/>
  <c r="Z34" i="6"/>
  <c r="W34" i="6"/>
  <c r="V34" i="6"/>
  <c r="Z33" i="6"/>
  <c r="W33" i="6"/>
  <c r="V33" i="6"/>
  <c r="Z32" i="6"/>
  <c r="W32" i="6"/>
  <c r="V32" i="6"/>
  <c r="Z31" i="6"/>
  <c r="W31" i="6"/>
  <c r="V31" i="6"/>
  <c r="Z30" i="6"/>
  <c r="W30" i="6"/>
  <c r="V30" i="6"/>
  <c r="Z29" i="6"/>
  <c r="W29" i="6"/>
  <c r="V29" i="6"/>
  <c r="Z28" i="6"/>
  <c r="W28" i="6"/>
  <c r="V28" i="6"/>
  <c r="Z27" i="6"/>
  <c r="W27" i="6"/>
  <c r="V27" i="6"/>
  <c r="Z26" i="6"/>
  <c r="W26" i="6"/>
  <c r="V26" i="6"/>
  <c r="Z25" i="6"/>
  <c r="W25" i="6"/>
  <c r="V25" i="6"/>
  <c r="Z24" i="6"/>
  <c r="W24" i="6"/>
  <c r="V24" i="6"/>
  <c r="Z23" i="6"/>
  <c r="W23" i="6"/>
  <c r="V23" i="6"/>
  <c r="Z22" i="6"/>
  <c r="W22" i="6"/>
  <c r="V22" i="6"/>
  <c r="Z21" i="6"/>
  <c r="W21" i="6"/>
  <c r="V21" i="6"/>
  <c r="Z20" i="6"/>
  <c r="W20" i="6"/>
  <c r="V20" i="6"/>
  <c r="Z19" i="6"/>
  <c r="W19" i="6"/>
  <c r="V19" i="6"/>
  <c r="Z18" i="6"/>
  <c r="W18" i="6"/>
  <c r="V18" i="6"/>
  <c r="Z17" i="6"/>
  <c r="W17" i="6"/>
  <c r="V17" i="6"/>
  <c r="Z16" i="6"/>
  <c r="W16" i="6"/>
  <c r="V16" i="6"/>
  <c r="Z15" i="6"/>
  <c r="W15" i="6"/>
  <c r="V15" i="6"/>
  <c r="Z14" i="6"/>
  <c r="W14" i="6"/>
  <c r="V14" i="6"/>
  <c r="Z13" i="6"/>
  <c r="W13" i="6"/>
  <c r="V13" i="6"/>
  <c r="Z12" i="6"/>
  <c r="W12" i="6"/>
  <c r="V12" i="6"/>
  <c r="Z11" i="6"/>
  <c r="W11" i="6"/>
  <c r="V11" i="6"/>
  <c r="Z10" i="6"/>
  <c r="W10" i="6"/>
  <c r="V10" i="6"/>
  <c r="Z9" i="6"/>
  <c r="W9" i="6"/>
  <c r="V9" i="6"/>
  <c r="Z8" i="6"/>
  <c r="W8" i="6"/>
  <c r="V8" i="6"/>
  <c r="Z7" i="6"/>
  <c r="W7" i="6"/>
  <c r="V7" i="6"/>
  <c r="Z79" i="5"/>
  <c r="W79" i="5"/>
  <c r="V79" i="5"/>
  <c r="Z78" i="5"/>
  <c r="W78" i="5"/>
  <c r="V78" i="5"/>
  <c r="Z77" i="5"/>
  <c r="W77" i="5"/>
  <c r="V77" i="5"/>
  <c r="Z76" i="5"/>
  <c r="W76" i="5"/>
  <c r="V76" i="5"/>
  <c r="Z75" i="5"/>
  <c r="W75" i="5"/>
  <c r="V75" i="5"/>
  <c r="Z74" i="5"/>
  <c r="W74" i="5"/>
  <c r="V74" i="5"/>
  <c r="Z73" i="5"/>
  <c r="W73" i="5"/>
  <c r="V73" i="5"/>
  <c r="Z72" i="5"/>
  <c r="W72" i="5"/>
  <c r="V72" i="5"/>
  <c r="Z71" i="5"/>
  <c r="W71" i="5"/>
  <c r="V71" i="5"/>
  <c r="Z70" i="5"/>
  <c r="W70" i="5"/>
  <c r="V70" i="5"/>
  <c r="Z69" i="5"/>
  <c r="W69" i="5"/>
  <c r="V69" i="5"/>
  <c r="Z68" i="5"/>
  <c r="W68" i="5"/>
  <c r="V68" i="5"/>
  <c r="Z67" i="5"/>
  <c r="W67" i="5"/>
  <c r="V67" i="5"/>
  <c r="Z66" i="5"/>
  <c r="W66" i="5"/>
  <c r="V66" i="5"/>
  <c r="Z65" i="5"/>
  <c r="W65" i="5"/>
  <c r="V65" i="5"/>
  <c r="Z64" i="5"/>
  <c r="W64" i="5"/>
  <c r="V64" i="5"/>
  <c r="Z63" i="5"/>
  <c r="W63" i="5"/>
  <c r="V63" i="5"/>
  <c r="Z62" i="5"/>
  <c r="W62" i="5"/>
  <c r="V62" i="5"/>
  <c r="Z61" i="5"/>
  <c r="W61" i="5"/>
  <c r="V61" i="5"/>
  <c r="Z60" i="5"/>
  <c r="W60" i="5"/>
  <c r="V60" i="5"/>
  <c r="Z59" i="5"/>
  <c r="W59" i="5"/>
  <c r="V59" i="5"/>
  <c r="Z58" i="5"/>
  <c r="W58" i="5"/>
  <c r="V58" i="5"/>
  <c r="Z57" i="5"/>
  <c r="W57" i="5"/>
  <c r="V57" i="5"/>
  <c r="Z56" i="5"/>
  <c r="W56" i="5"/>
  <c r="V56" i="5"/>
  <c r="Z55" i="5"/>
  <c r="W55" i="5"/>
  <c r="V55" i="5"/>
  <c r="Z54" i="5"/>
  <c r="W54" i="5"/>
  <c r="V54" i="5"/>
  <c r="Z53" i="5"/>
  <c r="W53" i="5"/>
  <c r="V53" i="5"/>
  <c r="Z52" i="5"/>
  <c r="W52" i="5"/>
  <c r="V52" i="5"/>
  <c r="Z51" i="5"/>
  <c r="W51" i="5"/>
  <c r="V51" i="5"/>
  <c r="Z50" i="5"/>
  <c r="W50" i="5"/>
  <c r="V50" i="5"/>
  <c r="Z49" i="5"/>
  <c r="W49" i="5"/>
  <c r="V49" i="5"/>
  <c r="Z48" i="5"/>
  <c r="W48" i="5"/>
  <c r="V48" i="5"/>
  <c r="Z47" i="5"/>
  <c r="W47" i="5"/>
  <c r="V47" i="5"/>
  <c r="Z46" i="5"/>
  <c r="W46" i="5"/>
  <c r="V46" i="5"/>
  <c r="Z45" i="5"/>
  <c r="W45" i="5"/>
  <c r="V45" i="5"/>
  <c r="Z44" i="5"/>
  <c r="W44" i="5"/>
  <c r="V44" i="5"/>
  <c r="Z43" i="5"/>
  <c r="W43" i="5"/>
  <c r="V43" i="5"/>
  <c r="Z42" i="5"/>
  <c r="W42" i="5"/>
  <c r="V42" i="5"/>
  <c r="Z41" i="5"/>
  <c r="W41" i="5"/>
  <c r="V41" i="5"/>
  <c r="Z40" i="5"/>
  <c r="W40" i="5"/>
  <c r="V40" i="5"/>
  <c r="Z39" i="5"/>
  <c r="W39" i="5"/>
  <c r="V39" i="5"/>
  <c r="Z38" i="5"/>
  <c r="W38" i="5"/>
  <c r="V38" i="5"/>
  <c r="Z37" i="5"/>
  <c r="W37" i="5"/>
  <c r="V37" i="5"/>
  <c r="Z36" i="5"/>
  <c r="W36" i="5"/>
  <c r="V36" i="5"/>
  <c r="Z35" i="5"/>
  <c r="W35" i="5"/>
  <c r="V35" i="5"/>
  <c r="Z34" i="5"/>
  <c r="W34" i="5"/>
  <c r="V34" i="5"/>
  <c r="Z33" i="5"/>
  <c r="W33" i="5"/>
  <c r="V33" i="5"/>
  <c r="Z32" i="5"/>
  <c r="W32" i="5"/>
  <c r="V32" i="5"/>
  <c r="Z31" i="5"/>
  <c r="W31" i="5"/>
  <c r="V31" i="5"/>
  <c r="Z30" i="5"/>
  <c r="W30" i="5"/>
  <c r="V30" i="5"/>
  <c r="Z29" i="5"/>
  <c r="W29" i="5"/>
  <c r="V29" i="5"/>
  <c r="Z28" i="5"/>
  <c r="W28" i="5"/>
  <c r="V28" i="5"/>
  <c r="Z27" i="5"/>
  <c r="W27" i="5"/>
  <c r="V27" i="5"/>
  <c r="Z26" i="5"/>
  <c r="W26" i="5"/>
  <c r="V26" i="5"/>
  <c r="Z25" i="5"/>
  <c r="W25" i="5"/>
  <c r="V25" i="5"/>
  <c r="Z24" i="5"/>
  <c r="W24" i="5"/>
  <c r="V24" i="5"/>
  <c r="Z23" i="5"/>
  <c r="W23" i="5"/>
  <c r="V23" i="5"/>
  <c r="Z22" i="5"/>
  <c r="W22" i="5"/>
  <c r="V22" i="5"/>
  <c r="Z21" i="5"/>
  <c r="W21" i="5"/>
  <c r="V21" i="5"/>
  <c r="Z20" i="5"/>
  <c r="W20" i="5"/>
  <c r="V20" i="5"/>
  <c r="Z19" i="5"/>
  <c r="W19" i="5"/>
  <c r="V19" i="5"/>
  <c r="Z18" i="5"/>
  <c r="W18" i="5"/>
  <c r="V18" i="5"/>
  <c r="Z17" i="5"/>
  <c r="W17" i="5"/>
  <c r="V17" i="5"/>
  <c r="Z16" i="5"/>
  <c r="W16" i="5"/>
  <c r="V16" i="5"/>
  <c r="Z15" i="5"/>
  <c r="W15" i="5"/>
  <c r="V15" i="5"/>
  <c r="Z14" i="5"/>
  <c r="W14" i="5"/>
  <c r="V14" i="5"/>
  <c r="Z13" i="5"/>
  <c r="W13" i="5"/>
  <c r="V13" i="5"/>
  <c r="Z12" i="5"/>
  <c r="W12" i="5"/>
  <c r="V12" i="5"/>
  <c r="Z11" i="5"/>
  <c r="W11" i="5"/>
  <c r="V11" i="5"/>
  <c r="Z10" i="5"/>
  <c r="W10" i="5"/>
  <c r="V10" i="5"/>
  <c r="Z9" i="5"/>
  <c r="W9" i="5"/>
  <c r="V9" i="5"/>
  <c r="Z8" i="5"/>
  <c r="W8" i="5"/>
  <c r="V8" i="5"/>
  <c r="Z7" i="5"/>
  <c r="W7" i="5"/>
  <c r="V7" i="5"/>
  <c r="Z79" i="4"/>
  <c r="W79" i="4"/>
  <c r="V79" i="4"/>
  <c r="Z78" i="4"/>
  <c r="W78" i="4"/>
  <c r="V78" i="4"/>
  <c r="Z77" i="4"/>
  <c r="W77" i="4"/>
  <c r="V77" i="4"/>
  <c r="Z76" i="4"/>
  <c r="W76" i="4"/>
  <c r="V76" i="4"/>
  <c r="Z75" i="4"/>
  <c r="W75" i="4"/>
  <c r="V75" i="4"/>
  <c r="Z74" i="4"/>
  <c r="W74" i="4"/>
  <c r="V74" i="4"/>
  <c r="Z73" i="4"/>
  <c r="W73" i="4"/>
  <c r="V73" i="4"/>
  <c r="Z72" i="4"/>
  <c r="W72" i="4"/>
  <c r="V72" i="4"/>
  <c r="Z71" i="4"/>
  <c r="W71" i="4"/>
  <c r="V71" i="4"/>
  <c r="Z70" i="4"/>
  <c r="W70" i="4"/>
  <c r="V70" i="4"/>
  <c r="Z69" i="4"/>
  <c r="W69" i="4"/>
  <c r="V69" i="4"/>
  <c r="Z68" i="4"/>
  <c r="W68" i="4"/>
  <c r="V68" i="4"/>
  <c r="Z67" i="4"/>
  <c r="W67" i="4"/>
  <c r="V67" i="4"/>
  <c r="Z66" i="4"/>
  <c r="W66" i="4"/>
  <c r="V66" i="4"/>
  <c r="Z65" i="4"/>
  <c r="W65" i="4"/>
  <c r="V65" i="4"/>
  <c r="Z64" i="4"/>
  <c r="W64" i="4"/>
  <c r="V64" i="4"/>
  <c r="Z63" i="4"/>
  <c r="W63" i="4"/>
  <c r="V63" i="4"/>
  <c r="Z62" i="4"/>
  <c r="W62" i="4"/>
  <c r="V62" i="4"/>
  <c r="Z61" i="4"/>
  <c r="W61" i="4"/>
  <c r="V61" i="4"/>
  <c r="Z60" i="4"/>
  <c r="W60" i="4"/>
  <c r="V60" i="4"/>
  <c r="Z59" i="4"/>
  <c r="W59" i="4"/>
  <c r="V59" i="4"/>
  <c r="Z58" i="4"/>
  <c r="W58" i="4"/>
  <c r="V58" i="4"/>
  <c r="Z57" i="4"/>
  <c r="W57" i="4"/>
  <c r="V57" i="4"/>
  <c r="Z56" i="4"/>
  <c r="W56" i="4"/>
  <c r="V56" i="4"/>
  <c r="Z55" i="4"/>
  <c r="W55" i="4"/>
  <c r="V55" i="4"/>
  <c r="Z54" i="4"/>
  <c r="W54" i="4"/>
  <c r="V54" i="4"/>
  <c r="Z53" i="4"/>
  <c r="W53" i="4"/>
  <c r="V53" i="4"/>
  <c r="Z52" i="4"/>
  <c r="W52" i="4"/>
  <c r="V52" i="4"/>
  <c r="Z51" i="4"/>
  <c r="W51" i="4"/>
  <c r="V51" i="4"/>
  <c r="Z50" i="4"/>
  <c r="W50" i="4"/>
  <c r="V50" i="4"/>
  <c r="Z49" i="4"/>
  <c r="W49" i="4"/>
  <c r="V49" i="4"/>
  <c r="Z48" i="4"/>
  <c r="W48" i="4"/>
  <c r="V48" i="4"/>
  <c r="Z47" i="4"/>
  <c r="W47" i="4"/>
  <c r="V47" i="4"/>
  <c r="Z46" i="4"/>
  <c r="W46" i="4"/>
  <c r="V46" i="4"/>
  <c r="Z45" i="4"/>
  <c r="W45" i="4"/>
  <c r="V45" i="4"/>
  <c r="Z44" i="4"/>
  <c r="W44" i="4"/>
  <c r="V44" i="4"/>
  <c r="Z43" i="4"/>
  <c r="W43" i="4"/>
  <c r="V43" i="4"/>
  <c r="Z42" i="4"/>
  <c r="W42" i="4"/>
  <c r="V42" i="4"/>
  <c r="Z41" i="4"/>
  <c r="W41" i="4"/>
  <c r="V41" i="4"/>
  <c r="Z40" i="4"/>
  <c r="W40" i="4"/>
  <c r="V40" i="4"/>
  <c r="Z39" i="4"/>
  <c r="W39" i="4"/>
  <c r="V39" i="4"/>
  <c r="Z38" i="4"/>
  <c r="W38" i="4"/>
  <c r="V38" i="4"/>
  <c r="Z37" i="4"/>
  <c r="W37" i="4"/>
  <c r="V37" i="4"/>
  <c r="Z36" i="4"/>
  <c r="W36" i="4"/>
  <c r="V36" i="4"/>
  <c r="Z35" i="4"/>
  <c r="W35" i="4"/>
  <c r="V35" i="4"/>
  <c r="Z34" i="4"/>
  <c r="W34" i="4"/>
  <c r="V34" i="4"/>
  <c r="Z33" i="4"/>
  <c r="W33" i="4"/>
  <c r="V33" i="4"/>
  <c r="Z32" i="4"/>
  <c r="W32" i="4"/>
  <c r="V32" i="4"/>
  <c r="Z31" i="4"/>
  <c r="W31" i="4"/>
  <c r="V31" i="4"/>
  <c r="Z30" i="4"/>
  <c r="W30" i="4"/>
  <c r="V30" i="4"/>
  <c r="Z29" i="4"/>
  <c r="W29" i="4"/>
  <c r="V29" i="4"/>
  <c r="Z28" i="4"/>
  <c r="W28" i="4"/>
  <c r="V28" i="4"/>
  <c r="Z27" i="4"/>
  <c r="W27" i="4"/>
  <c r="V27" i="4"/>
  <c r="Z26" i="4"/>
  <c r="W26" i="4"/>
  <c r="V26" i="4"/>
  <c r="Z25" i="4"/>
  <c r="W25" i="4"/>
  <c r="V25" i="4"/>
  <c r="Z24" i="4"/>
  <c r="W24" i="4"/>
  <c r="V24" i="4"/>
  <c r="Z23" i="4"/>
  <c r="W23" i="4"/>
  <c r="V23" i="4"/>
  <c r="Z22" i="4"/>
  <c r="W22" i="4"/>
  <c r="V22" i="4"/>
  <c r="Z21" i="4"/>
  <c r="W21" i="4"/>
  <c r="V21" i="4"/>
  <c r="Z20" i="4"/>
  <c r="W20" i="4"/>
  <c r="V20" i="4"/>
  <c r="Z19" i="4"/>
  <c r="W19" i="4"/>
  <c r="V19" i="4"/>
  <c r="Z18" i="4"/>
  <c r="W18" i="4"/>
  <c r="V18" i="4"/>
  <c r="Z17" i="4"/>
  <c r="W17" i="4"/>
  <c r="V17" i="4"/>
  <c r="Z16" i="4"/>
  <c r="W16" i="4"/>
  <c r="V16" i="4"/>
  <c r="Z15" i="4"/>
  <c r="W15" i="4"/>
  <c r="V15" i="4"/>
  <c r="Z14" i="4"/>
  <c r="W14" i="4"/>
  <c r="V14" i="4"/>
  <c r="Z13" i="4"/>
  <c r="W13" i="4"/>
  <c r="V13" i="4"/>
  <c r="Z12" i="4"/>
  <c r="W12" i="4"/>
  <c r="V12" i="4"/>
  <c r="Z11" i="4"/>
  <c r="W11" i="4"/>
  <c r="V11" i="4"/>
  <c r="Z10" i="4"/>
  <c r="W10" i="4"/>
  <c r="V10" i="4"/>
  <c r="Z9" i="4"/>
  <c r="W9" i="4"/>
  <c r="V9" i="4"/>
  <c r="Z8" i="4"/>
  <c r="W8" i="4"/>
  <c r="V8" i="4"/>
  <c r="Z7" i="4"/>
  <c r="W7" i="4"/>
  <c r="V7" i="4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45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45" i="3"/>
  <c r="V45" i="3"/>
  <c r="V78" i="3"/>
  <c r="V79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B15" i="1"/>
  <c r="B16" i="1"/>
  <c r="B17" i="1"/>
  <c r="B18" i="1"/>
  <c r="B19" i="1"/>
  <c r="B20" i="1"/>
  <c r="B21" i="1"/>
  <c r="B22" i="1"/>
  <c r="B23" i="1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E7" i="22"/>
  <c r="F7" i="22" s="1"/>
  <c r="B7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D5" i="22"/>
  <c r="C5" i="22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E7" i="21"/>
  <c r="B7" i="21"/>
  <c r="U5" i="21"/>
  <c r="S22" i="23" s="1"/>
  <c r="T5" i="21"/>
  <c r="R22" i="23" s="1"/>
  <c r="S5" i="21"/>
  <c r="Q22" i="23" s="1"/>
  <c r="R5" i="21"/>
  <c r="P22" i="23" s="1"/>
  <c r="Q5" i="21"/>
  <c r="P5" i="21"/>
  <c r="N22" i="23" s="1"/>
  <c r="O5" i="21"/>
  <c r="N5" i="21"/>
  <c r="M5" i="21"/>
  <c r="K22" i="23" s="1"/>
  <c r="L5" i="21"/>
  <c r="J22" i="23" s="1"/>
  <c r="K5" i="21"/>
  <c r="I22" i="23" s="1"/>
  <c r="J5" i="21"/>
  <c r="H22" i="23" s="1"/>
  <c r="I5" i="21"/>
  <c r="G22" i="23" s="1"/>
  <c r="H5" i="21"/>
  <c r="F22" i="23" s="1"/>
  <c r="G5" i="21"/>
  <c r="D5" i="21"/>
  <c r="C5" i="21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E7" i="20"/>
  <c r="F7" i="20" s="1"/>
  <c r="B7" i="20"/>
  <c r="U5" i="20"/>
  <c r="T5" i="20"/>
  <c r="S5" i="20"/>
  <c r="R5" i="20"/>
  <c r="Q5" i="20"/>
  <c r="O15" i="23" s="1"/>
  <c r="P5" i="20"/>
  <c r="N15" i="23" s="1"/>
  <c r="O5" i="20"/>
  <c r="M15" i="23" s="1"/>
  <c r="N5" i="20"/>
  <c r="M5" i="20"/>
  <c r="L5" i="20"/>
  <c r="J15" i="23" s="1"/>
  <c r="K5" i="20"/>
  <c r="I15" i="23" s="1"/>
  <c r="J5" i="20"/>
  <c r="H15" i="23" s="1"/>
  <c r="I5" i="20"/>
  <c r="G15" i="23" s="1"/>
  <c r="H5" i="20"/>
  <c r="G5" i="20"/>
  <c r="E15" i="23" s="1"/>
  <c r="D5" i="20"/>
  <c r="C5" i="20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E7" i="19"/>
  <c r="F7" i="19" s="1"/>
  <c r="B7" i="19"/>
  <c r="U5" i="19"/>
  <c r="T5" i="19"/>
  <c r="S5" i="19"/>
  <c r="R5" i="19"/>
  <c r="P26" i="23" s="1"/>
  <c r="Q5" i="19"/>
  <c r="P5" i="19"/>
  <c r="N26" i="23" s="1"/>
  <c r="O5" i="19"/>
  <c r="M26" i="23" s="1"/>
  <c r="N5" i="19"/>
  <c r="L26" i="23" s="1"/>
  <c r="M5" i="19"/>
  <c r="L5" i="19"/>
  <c r="K5" i="19"/>
  <c r="J5" i="19"/>
  <c r="H26" i="23" s="1"/>
  <c r="I5" i="19"/>
  <c r="H5" i="19"/>
  <c r="F26" i="23" s="1"/>
  <c r="G5" i="19"/>
  <c r="E26" i="23" s="1"/>
  <c r="D5" i="19"/>
  <c r="D26" i="23" s="1"/>
  <c r="C5" i="19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E7" i="18"/>
  <c r="F7" i="18" s="1"/>
  <c r="B7" i="18"/>
  <c r="U5" i="18"/>
  <c r="T5" i="18"/>
  <c r="R13" i="23" s="1"/>
  <c r="S5" i="18"/>
  <c r="Q13" i="23" s="1"/>
  <c r="R5" i="18"/>
  <c r="Q5" i="18"/>
  <c r="O13" i="23" s="1"/>
  <c r="P5" i="18"/>
  <c r="N13" i="23" s="1"/>
  <c r="O5" i="18"/>
  <c r="M13" i="23" s="1"/>
  <c r="N5" i="18"/>
  <c r="M5" i="18"/>
  <c r="L5" i="18"/>
  <c r="J13" i="23" s="1"/>
  <c r="K5" i="18"/>
  <c r="I13" i="23" s="1"/>
  <c r="J5" i="18"/>
  <c r="I5" i="18"/>
  <c r="G13" i="23" s="1"/>
  <c r="H5" i="18"/>
  <c r="F13" i="23" s="1"/>
  <c r="G5" i="18"/>
  <c r="E13" i="23" s="1"/>
  <c r="D5" i="18"/>
  <c r="C5" i="18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E7" i="17"/>
  <c r="F7" i="17" s="1"/>
  <c r="B7" i="17"/>
  <c r="U5" i="17"/>
  <c r="S28" i="23" s="1"/>
  <c r="T5" i="17"/>
  <c r="R28" i="23" s="1"/>
  <c r="S5" i="17"/>
  <c r="R5" i="17"/>
  <c r="P28" i="23" s="1"/>
  <c r="Q5" i="17"/>
  <c r="P5" i="17"/>
  <c r="N28" i="23" s="1"/>
  <c r="O5" i="17"/>
  <c r="M28" i="23" s="1"/>
  <c r="N5" i="17"/>
  <c r="L28" i="23" s="1"/>
  <c r="M5" i="17"/>
  <c r="K28" i="23" s="1"/>
  <c r="L5" i="17"/>
  <c r="J28" i="23" s="1"/>
  <c r="K5" i="17"/>
  <c r="J5" i="17"/>
  <c r="H28" i="23" s="1"/>
  <c r="I5" i="17"/>
  <c r="H5" i="17"/>
  <c r="F28" i="23" s="1"/>
  <c r="G5" i="17"/>
  <c r="E28" i="23" s="1"/>
  <c r="D5" i="17"/>
  <c r="D28" i="23" s="1"/>
  <c r="C5" i="17"/>
  <c r="C28" i="23" s="1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E7" i="16"/>
  <c r="F7" i="16" s="1"/>
  <c r="B7" i="16"/>
  <c r="U5" i="16"/>
  <c r="S19" i="23" s="1"/>
  <c r="T5" i="16"/>
  <c r="S5" i="16"/>
  <c r="R5" i="16"/>
  <c r="Q5" i="16"/>
  <c r="O19" i="23" s="1"/>
  <c r="P5" i="16"/>
  <c r="N19" i="23" s="1"/>
  <c r="O5" i="16"/>
  <c r="M19" i="23" s="1"/>
  <c r="N5" i="16"/>
  <c r="L19" i="23" s="1"/>
  <c r="M5" i="16"/>
  <c r="K19" i="23" s="1"/>
  <c r="L5" i="16"/>
  <c r="K5" i="16"/>
  <c r="J5" i="16"/>
  <c r="I5" i="16"/>
  <c r="G19" i="23" s="1"/>
  <c r="H5" i="16"/>
  <c r="G5" i="16"/>
  <c r="E19" i="23" s="1"/>
  <c r="D5" i="16"/>
  <c r="D19" i="23" s="1"/>
  <c r="C5" i="16"/>
  <c r="C19" i="23" s="1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E7" i="15"/>
  <c r="F7" i="15" s="1"/>
  <c r="B7" i="15"/>
  <c r="U5" i="15"/>
  <c r="S16" i="23" s="1"/>
  <c r="T5" i="15"/>
  <c r="R16" i="23" s="1"/>
  <c r="S5" i="15"/>
  <c r="R5" i="15"/>
  <c r="Q5" i="15"/>
  <c r="P5" i="15"/>
  <c r="O5" i="15"/>
  <c r="N5" i="15"/>
  <c r="M5" i="15"/>
  <c r="K16" i="23" s="1"/>
  <c r="L5" i="15"/>
  <c r="J16" i="23" s="1"/>
  <c r="K5" i="15"/>
  <c r="J5" i="15"/>
  <c r="H16" i="23" s="1"/>
  <c r="I5" i="15"/>
  <c r="H5" i="15"/>
  <c r="G5" i="15"/>
  <c r="D5" i="15"/>
  <c r="D16" i="23" s="1"/>
  <c r="C5" i="15"/>
  <c r="C16" i="23" s="1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E7" i="14"/>
  <c r="E8" i="14" s="1"/>
  <c r="F8" i="14" s="1"/>
  <c r="B7" i="14"/>
  <c r="U5" i="14"/>
  <c r="T5" i="14"/>
  <c r="R25" i="23" s="1"/>
  <c r="S5" i="14"/>
  <c r="Q25" i="23" s="1"/>
  <c r="R5" i="14"/>
  <c r="Q5" i="14"/>
  <c r="P5" i="14"/>
  <c r="O5" i="14"/>
  <c r="N5" i="14"/>
  <c r="L25" i="23" s="1"/>
  <c r="M5" i="14"/>
  <c r="L5" i="14"/>
  <c r="J25" i="23" s="1"/>
  <c r="K5" i="14"/>
  <c r="I25" i="23" s="1"/>
  <c r="J5" i="14"/>
  <c r="H25" i="23" s="1"/>
  <c r="I5" i="14"/>
  <c r="H5" i="14"/>
  <c r="G5" i="14"/>
  <c r="D5" i="14"/>
  <c r="D25" i="23" s="1"/>
  <c r="C5" i="14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E7" i="13"/>
  <c r="F7" i="13" s="1"/>
  <c r="B7" i="13"/>
  <c r="U5" i="13"/>
  <c r="S14" i="23" s="1"/>
  <c r="T5" i="13"/>
  <c r="S5" i="13"/>
  <c r="Q14" i="23" s="1"/>
  <c r="R5" i="13"/>
  <c r="P14" i="23" s="1"/>
  <c r="Q5" i="13"/>
  <c r="P5" i="13"/>
  <c r="O5" i="13"/>
  <c r="M14" i="23" s="1"/>
  <c r="N5" i="13"/>
  <c r="M5" i="13"/>
  <c r="K14" i="23" s="1"/>
  <c r="L5" i="13"/>
  <c r="K5" i="13"/>
  <c r="I14" i="23" s="1"/>
  <c r="J5" i="13"/>
  <c r="H14" i="23" s="1"/>
  <c r="I5" i="13"/>
  <c r="H5" i="13"/>
  <c r="G5" i="13"/>
  <c r="E14" i="23" s="1"/>
  <c r="D5" i="13"/>
  <c r="C5" i="13"/>
  <c r="C14" i="23" s="1"/>
  <c r="B14" i="1"/>
  <c r="B13" i="1"/>
  <c r="B12" i="1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E7" i="12"/>
  <c r="F7" i="12" s="1"/>
  <c r="B7" i="12"/>
  <c r="U5" i="12"/>
  <c r="T5" i="12"/>
  <c r="R12" i="23" s="1"/>
  <c r="S5" i="12"/>
  <c r="R5" i="12"/>
  <c r="P12" i="23" s="1"/>
  <c r="Q5" i="12"/>
  <c r="O12" i="23" s="1"/>
  <c r="P5" i="12"/>
  <c r="N12" i="23" s="1"/>
  <c r="O5" i="12"/>
  <c r="N5" i="12"/>
  <c r="L12" i="23" s="1"/>
  <c r="M5" i="12"/>
  <c r="L5" i="12"/>
  <c r="J12" i="23" s="1"/>
  <c r="K5" i="12"/>
  <c r="J5" i="12"/>
  <c r="H12" i="23" s="1"/>
  <c r="I5" i="12"/>
  <c r="G12" i="23" s="1"/>
  <c r="H5" i="12"/>
  <c r="F12" i="23" s="1"/>
  <c r="G5" i="12"/>
  <c r="D5" i="12"/>
  <c r="C5" i="12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E7" i="11"/>
  <c r="F7" i="11" s="1"/>
  <c r="B7" i="11"/>
  <c r="U5" i="11"/>
  <c r="T5" i="11"/>
  <c r="S5" i="11"/>
  <c r="Q11" i="23" s="1"/>
  <c r="R5" i="11"/>
  <c r="P11" i="23" s="1"/>
  <c r="Q5" i="11"/>
  <c r="P5" i="11"/>
  <c r="O5" i="11"/>
  <c r="M11" i="23" s="1"/>
  <c r="N5" i="11"/>
  <c r="M5" i="11"/>
  <c r="L5" i="11"/>
  <c r="K5" i="11"/>
  <c r="I11" i="23" s="1"/>
  <c r="J5" i="11"/>
  <c r="H11" i="23" s="1"/>
  <c r="I5" i="11"/>
  <c r="H5" i="11"/>
  <c r="G5" i="11"/>
  <c r="E11" i="23" s="1"/>
  <c r="D5" i="11"/>
  <c r="D11" i="23" s="1"/>
  <c r="C5" i="11"/>
  <c r="B11" i="1"/>
  <c r="B10" i="1"/>
  <c r="B9" i="1"/>
  <c r="B8" i="1"/>
  <c r="B7" i="1"/>
  <c r="B6" i="1"/>
  <c r="B5" i="1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E7" i="10"/>
  <c r="F7" i="10" s="1"/>
  <c r="B7" i="10"/>
  <c r="U5" i="10"/>
  <c r="T5" i="10"/>
  <c r="R9" i="23" s="1"/>
  <c r="S5" i="10"/>
  <c r="Q9" i="23" s="1"/>
  <c r="R5" i="10"/>
  <c r="P9" i="23" s="1"/>
  <c r="Q5" i="10"/>
  <c r="O9" i="23" s="1"/>
  <c r="P5" i="10"/>
  <c r="N9" i="23" s="1"/>
  <c r="O5" i="10"/>
  <c r="N5" i="10"/>
  <c r="M5" i="10"/>
  <c r="L5" i="10"/>
  <c r="J9" i="23" s="1"/>
  <c r="K5" i="10"/>
  <c r="I9" i="23" s="1"/>
  <c r="J5" i="10"/>
  <c r="H9" i="23" s="1"/>
  <c r="I5" i="10"/>
  <c r="G9" i="23" s="1"/>
  <c r="H5" i="10"/>
  <c r="F9" i="23" s="1"/>
  <c r="G5" i="10"/>
  <c r="D5" i="10"/>
  <c r="C5" i="10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E7" i="9"/>
  <c r="F7" i="9" s="1"/>
  <c r="B7" i="9"/>
  <c r="U5" i="9"/>
  <c r="S7" i="23" s="1"/>
  <c r="T5" i="9"/>
  <c r="S5" i="9"/>
  <c r="Q7" i="23" s="1"/>
  <c r="R5" i="9"/>
  <c r="Q5" i="9"/>
  <c r="O7" i="23" s="1"/>
  <c r="P5" i="9"/>
  <c r="N7" i="23" s="1"/>
  <c r="O5" i="9"/>
  <c r="N5" i="9"/>
  <c r="M5" i="9"/>
  <c r="K7" i="23" s="1"/>
  <c r="L5" i="9"/>
  <c r="K5" i="9"/>
  <c r="J5" i="9"/>
  <c r="I5" i="9"/>
  <c r="H5" i="9"/>
  <c r="F7" i="23" s="1"/>
  <c r="G5" i="9"/>
  <c r="D5" i="9"/>
  <c r="C5" i="9"/>
  <c r="C7" i="23" s="1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E7" i="8"/>
  <c r="F7" i="8" s="1"/>
  <c r="B7" i="8"/>
  <c r="U5" i="8"/>
  <c r="S8" i="23" s="1"/>
  <c r="T5" i="8"/>
  <c r="R8" i="23" s="1"/>
  <c r="S5" i="8"/>
  <c r="R5" i="8"/>
  <c r="Q5" i="8"/>
  <c r="P5" i="8"/>
  <c r="N8" i="23" s="1"/>
  <c r="O5" i="8"/>
  <c r="M8" i="23" s="1"/>
  <c r="N5" i="8"/>
  <c r="M5" i="8"/>
  <c r="K8" i="23" s="1"/>
  <c r="L5" i="8"/>
  <c r="K5" i="8"/>
  <c r="J5" i="8"/>
  <c r="I5" i="8"/>
  <c r="H5" i="8"/>
  <c r="F8" i="23" s="1"/>
  <c r="G5" i="8"/>
  <c r="E8" i="23" s="1"/>
  <c r="D5" i="8"/>
  <c r="D8" i="23" s="1"/>
  <c r="C5" i="8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E7" i="7"/>
  <c r="F7" i="7" s="1"/>
  <c r="B7" i="7"/>
  <c r="U5" i="7"/>
  <c r="S10" i="23" s="1"/>
  <c r="T5" i="7"/>
  <c r="S5" i="7"/>
  <c r="Q10" i="23" s="1"/>
  <c r="R5" i="7"/>
  <c r="P10" i="23" s="1"/>
  <c r="Q5" i="7"/>
  <c r="O10" i="23" s="1"/>
  <c r="P5" i="7"/>
  <c r="O5" i="7"/>
  <c r="N5" i="7"/>
  <c r="L10" i="23" s="1"/>
  <c r="M5" i="7"/>
  <c r="K10" i="23" s="1"/>
  <c r="L5" i="7"/>
  <c r="K5" i="7"/>
  <c r="J5" i="7"/>
  <c r="H10" i="23" s="1"/>
  <c r="I5" i="7"/>
  <c r="G10" i="23" s="1"/>
  <c r="H5" i="7"/>
  <c r="G5" i="7"/>
  <c r="D5" i="7"/>
  <c r="D10" i="23" s="1"/>
  <c r="C5" i="7"/>
  <c r="C10" i="23" s="1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E7" i="6"/>
  <c r="E8" i="6" s="1"/>
  <c r="B7" i="6"/>
  <c r="U5" i="6"/>
  <c r="S6" i="23" s="1"/>
  <c r="T5" i="6"/>
  <c r="R6" i="23" s="1"/>
  <c r="S5" i="6"/>
  <c r="Q6" i="23" s="1"/>
  <c r="R5" i="6"/>
  <c r="Q5" i="6"/>
  <c r="P5" i="6"/>
  <c r="O5" i="6"/>
  <c r="N5" i="6"/>
  <c r="M5" i="6"/>
  <c r="K6" i="23" s="1"/>
  <c r="L5" i="6"/>
  <c r="J6" i="23" s="1"/>
  <c r="K5" i="6"/>
  <c r="I6" i="23" s="1"/>
  <c r="J5" i="6"/>
  <c r="H6" i="23" s="1"/>
  <c r="I5" i="6"/>
  <c r="H5" i="6"/>
  <c r="G5" i="6"/>
  <c r="D5" i="6"/>
  <c r="C5" i="6"/>
  <c r="C6" i="23" s="1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E7" i="5"/>
  <c r="E8" i="5" s="1"/>
  <c r="F8" i="5" s="1"/>
  <c r="B7" i="5"/>
  <c r="U5" i="5"/>
  <c r="T5" i="5"/>
  <c r="R4" i="23" s="1"/>
  <c r="S5" i="5"/>
  <c r="R5" i="5"/>
  <c r="P4" i="23" s="1"/>
  <c r="Q5" i="5"/>
  <c r="P5" i="5"/>
  <c r="N4" i="23" s="1"/>
  <c r="O5" i="5"/>
  <c r="N5" i="5"/>
  <c r="M5" i="5"/>
  <c r="L5" i="5"/>
  <c r="J4" i="23" s="1"/>
  <c r="K5" i="5"/>
  <c r="I4" i="23" s="1"/>
  <c r="J5" i="5"/>
  <c r="H4" i="23" s="1"/>
  <c r="I5" i="5"/>
  <c r="H5" i="5"/>
  <c r="F4" i="23" s="1"/>
  <c r="G5" i="5"/>
  <c r="D5" i="5"/>
  <c r="C5" i="5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E7" i="4"/>
  <c r="E8" i="4" s="1"/>
  <c r="B7" i="4"/>
  <c r="U5" i="4"/>
  <c r="T5" i="4"/>
  <c r="S5" i="4"/>
  <c r="Q5" i="23" s="1"/>
  <c r="R5" i="4"/>
  <c r="Q5" i="4"/>
  <c r="O5" i="23" s="1"/>
  <c r="P5" i="4"/>
  <c r="O5" i="4"/>
  <c r="M5" i="23" s="1"/>
  <c r="N5" i="4"/>
  <c r="M5" i="4"/>
  <c r="L5" i="4"/>
  <c r="K5" i="4"/>
  <c r="I5" i="23" s="1"/>
  <c r="J5" i="4"/>
  <c r="H5" i="23" s="1"/>
  <c r="I5" i="4"/>
  <c r="G5" i="23" s="1"/>
  <c r="H5" i="4"/>
  <c r="G5" i="4"/>
  <c r="E5" i="23" s="1"/>
  <c r="D5" i="4"/>
  <c r="C5" i="4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E7" i="3"/>
  <c r="F7" i="3" s="1"/>
  <c r="B7" i="3"/>
  <c r="U5" i="3"/>
  <c r="S3" i="23" s="1"/>
  <c r="T5" i="3"/>
  <c r="S5" i="3"/>
  <c r="Q3" i="23" s="1"/>
  <c r="R5" i="3"/>
  <c r="P3" i="23" s="1"/>
  <c r="Q5" i="3"/>
  <c r="P5" i="3"/>
  <c r="N3" i="23" s="1"/>
  <c r="O5" i="3"/>
  <c r="M3" i="23" s="1"/>
  <c r="N5" i="3"/>
  <c r="M5" i="3"/>
  <c r="K3" i="23" s="1"/>
  <c r="L5" i="3"/>
  <c r="K5" i="3"/>
  <c r="I3" i="23" s="1"/>
  <c r="J5" i="3"/>
  <c r="H3" i="23" s="1"/>
  <c r="I5" i="3"/>
  <c r="G3" i="23" s="1"/>
  <c r="H5" i="3"/>
  <c r="F3" i="23" s="1"/>
  <c r="G5" i="3"/>
  <c r="D5" i="3"/>
  <c r="C5" i="3"/>
  <c r="E7" i="2"/>
  <c r="F7" i="2" s="1"/>
  <c r="B7" i="2"/>
  <c r="B8" i="2"/>
  <c r="B9" i="2"/>
  <c r="B10" i="2"/>
  <c r="B11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G5" i="2"/>
  <c r="D5" i="2"/>
  <c r="C5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AK20" i="44" l="1"/>
  <c r="X78" i="39"/>
  <c r="E9" i="34"/>
  <c r="AH44" i="44"/>
  <c r="X62" i="34"/>
  <c r="F10" i="42"/>
  <c r="AH62" i="44"/>
  <c r="F9" i="42"/>
  <c r="X40" i="35"/>
  <c r="X54" i="35"/>
  <c r="T42" i="1"/>
  <c r="E9" i="40"/>
  <c r="AE68" i="44"/>
  <c r="AE27" i="44"/>
  <c r="X10" i="35"/>
  <c r="AH28" i="44"/>
  <c r="X45" i="35"/>
  <c r="X56" i="33"/>
  <c r="AO73" i="44"/>
  <c r="AI44" i="44"/>
  <c r="X37" i="35"/>
  <c r="AK49" i="44"/>
  <c r="X62" i="39"/>
  <c r="AK52" i="44"/>
  <c r="AE11" i="44"/>
  <c r="AH38" i="44"/>
  <c r="AH68" i="44"/>
  <c r="X59" i="35"/>
  <c r="AE60" i="44"/>
  <c r="AE46" i="44"/>
  <c r="X64" i="33"/>
  <c r="AH67" i="44"/>
  <c r="X11" i="35"/>
  <c r="AI41" i="44"/>
  <c r="X14" i="39"/>
  <c r="X74" i="34"/>
  <c r="AI60" i="44"/>
  <c r="X49" i="35"/>
  <c r="X41" i="33"/>
  <c r="X63" i="35"/>
  <c r="X38" i="34"/>
  <c r="X41" i="35"/>
  <c r="AK60" i="44"/>
  <c r="AK4" i="44"/>
  <c r="X67" i="35"/>
  <c r="AH12" i="44"/>
  <c r="X12" i="35"/>
  <c r="AE31" i="44"/>
  <c r="AI68" i="44"/>
  <c r="X35" i="34"/>
  <c r="X19" i="35"/>
  <c r="X68" i="35"/>
  <c r="AE50" i="44"/>
  <c r="AI49" i="44"/>
  <c r="X7" i="35"/>
  <c r="AH54" i="44"/>
  <c r="X38" i="35"/>
  <c r="X52" i="35"/>
  <c r="X20" i="35"/>
  <c r="AK12" i="44"/>
  <c r="X9" i="35"/>
  <c r="AI4" i="44"/>
  <c r="AH20" i="44"/>
  <c r="Y22" i="4"/>
  <c r="X22" i="4" s="1"/>
  <c r="Y30" i="4"/>
  <c r="X30" i="4" s="1"/>
  <c r="Y38" i="4"/>
  <c r="D33" i="44" s="1"/>
  <c r="Y46" i="4"/>
  <c r="X46" i="4" s="1"/>
  <c r="Y54" i="4"/>
  <c r="X54" i="4" s="1"/>
  <c r="Y62" i="4"/>
  <c r="Y70" i="4"/>
  <c r="X70" i="4" s="1"/>
  <c r="Y78" i="4"/>
  <c r="X78" i="4" s="1"/>
  <c r="Y14" i="12"/>
  <c r="X14" i="12" s="1"/>
  <c r="Y30" i="12"/>
  <c r="X30" i="12" s="1"/>
  <c r="Y38" i="12"/>
  <c r="X38" i="12" s="1"/>
  <c r="Y46" i="12"/>
  <c r="X46" i="12" s="1"/>
  <c r="Y54" i="12"/>
  <c r="X54" i="12" s="1"/>
  <c r="Y62" i="12"/>
  <c r="Y70" i="12"/>
  <c r="X70" i="12" s="1"/>
  <c r="Y78" i="12"/>
  <c r="X78" i="12" s="1"/>
  <c r="Y70" i="7"/>
  <c r="X70" i="7" s="1"/>
  <c r="Y78" i="7"/>
  <c r="L73" i="44" s="1"/>
  <c r="AH70" i="44"/>
  <c r="X56" i="35"/>
  <c r="X70" i="34"/>
  <c r="X42" i="35"/>
  <c r="AI20" i="44"/>
  <c r="AK28" i="44"/>
  <c r="AH14" i="44"/>
  <c r="AK36" i="44"/>
  <c r="X79" i="33"/>
  <c r="X78" i="34"/>
  <c r="AH55" i="44"/>
  <c r="X38" i="39"/>
  <c r="X14" i="34"/>
  <c r="AI28" i="44"/>
  <c r="X28" i="35"/>
  <c r="X40" i="33"/>
  <c r="AJ44" i="44"/>
  <c r="AO72" i="44"/>
  <c r="F8" i="37"/>
  <c r="X64" i="35"/>
  <c r="X48" i="35"/>
  <c r="X34" i="35"/>
  <c r="AI52" i="44"/>
  <c r="X22" i="34"/>
  <c r="U35" i="1"/>
  <c r="AH46" i="44"/>
  <c r="X65" i="33"/>
  <c r="Y25" i="24"/>
  <c r="J23" i="1"/>
  <c r="Y13" i="21"/>
  <c r="X13" i="21" s="1"/>
  <c r="Y21" i="21"/>
  <c r="X21" i="21" s="1"/>
  <c r="Y29" i="21"/>
  <c r="X29" i="21" s="1"/>
  <c r="Y37" i="21"/>
  <c r="U32" i="44" s="1"/>
  <c r="Y45" i="21"/>
  <c r="X45" i="21" s="1"/>
  <c r="Y53" i="21"/>
  <c r="X53" i="21" s="1"/>
  <c r="Y61" i="21"/>
  <c r="Y69" i="21"/>
  <c r="X69" i="21" s="1"/>
  <c r="Y14" i="20"/>
  <c r="X14" i="20" s="1"/>
  <c r="Y22" i="20"/>
  <c r="X22" i="20" s="1"/>
  <c r="Y30" i="20"/>
  <c r="X30" i="20" s="1"/>
  <c r="Y38" i="20"/>
  <c r="X38" i="20" s="1"/>
  <c r="Y46" i="20"/>
  <c r="X46" i="20" s="1"/>
  <c r="Y54" i="20"/>
  <c r="O49" i="44" s="1"/>
  <c r="Y62" i="20"/>
  <c r="Y70" i="20"/>
  <c r="X70" i="20" s="1"/>
  <c r="Y78" i="20"/>
  <c r="X78" i="20" s="1"/>
  <c r="Y8" i="18"/>
  <c r="X8" i="18" s="1"/>
  <c r="Y16" i="18"/>
  <c r="X16" i="18" s="1"/>
  <c r="Y24" i="18"/>
  <c r="J19" i="44" s="1"/>
  <c r="Y9" i="17"/>
  <c r="X9" i="17" s="1"/>
  <c r="Y17" i="17"/>
  <c r="X17" i="17" s="1"/>
  <c r="Y25" i="17"/>
  <c r="Y33" i="17"/>
  <c r="X33" i="17" s="1"/>
  <c r="Y41" i="17"/>
  <c r="X41" i="17" s="1"/>
  <c r="Y49" i="17"/>
  <c r="X49" i="17" s="1"/>
  <c r="Y57" i="17"/>
  <c r="X57" i="17" s="1"/>
  <c r="Y65" i="17"/>
  <c r="X65" i="17" s="1"/>
  <c r="Y73" i="17"/>
  <c r="AA68" i="44" s="1"/>
  <c r="E8" i="16"/>
  <c r="E9" i="16" s="1"/>
  <c r="F9" i="16" s="1"/>
  <c r="E8" i="15"/>
  <c r="E9" i="15" s="1"/>
  <c r="Q15" i="1"/>
  <c r="Y22" i="12"/>
  <c r="X22" i="12" s="1"/>
  <c r="K11" i="1"/>
  <c r="E8" i="8"/>
  <c r="E9" i="8" s="1"/>
  <c r="F9" i="8" s="1"/>
  <c r="Y14" i="7"/>
  <c r="X14" i="7" s="1"/>
  <c r="Y22" i="7"/>
  <c r="X22" i="7" s="1"/>
  <c r="Y30" i="7"/>
  <c r="X30" i="7" s="1"/>
  <c r="Y38" i="7"/>
  <c r="Y46" i="7"/>
  <c r="X46" i="7" s="1"/>
  <c r="Y54" i="7"/>
  <c r="X54" i="7" s="1"/>
  <c r="Y62" i="7"/>
  <c r="L57" i="44" s="1"/>
  <c r="I5" i="1"/>
  <c r="X62" i="35"/>
  <c r="X46" i="35"/>
  <c r="X58" i="35"/>
  <c r="X66" i="34"/>
  <c r="AI19" i="44"/>
  <c r="E9" i="33"/>
  <c r="Y16" i="32"/>
  <c r="X16" i="32" s="1"/>
  <c r="Y32" i="32"/>
  <c r="X32" i="32" s="1"/>
  <c r="Y48" i="32"/>
  <c r="X48" i="32" s="1"/>
  <c r="Y64" i="32"/>
  <c r="Q59" i="44" s="1"/>
  <c r="Y72" i="32"/>
  <c r="X72" i="32" s="1"/>
  <c r="Y14" i="32"/>
  <c r="Q9" i="44" s="1"/>
  <c r="Y46" i="32"/>
  <c r="Q41" i="44" s="1"/>
  <c r="Y70" i="32"/>
  <c r="X70" i="32" s="1"/>
  <c r="Y24" i="31"/>
  <c r="X24" i="31" s="1"/>
  <c r="Y32" i="31"/>
  <c r="AF27" i="44" s="1"/>
  <c r="Y56" i="31"/>
  <c r="X56" i="31" s="1"/>
  <c r="Y21" i="26"/>
  <c r="X21" i="26" s="1"/>
  <c r="Y37" i="26"/>
  <c r="X37" i="26" s="1"/>
  <c r="Y33" i="24"/>
  <c r="I23" i="1"/>
  <c r="Q23" i="1"/>
  <c r="Y77" i="21"/>
  <c r="X77" i="21" s="1"/>
  <c r="N23" i="1"/>
  <c r="M22" i="1"/>
  <c r="E22" i="1"/>
  <c r="E8" i="20"/>
  <c r="E9" i="20" s="1"/>
  <c r="F9" i="20" s="1"/>
  <c r="N21" i="1"/>
  <c r="F21" i="1"/>
  <c r="E8" i="18"/>
  <c r="E9" i="18" s="1"/>
  <c r="E10" i="18" s="1"/>
  <c r="R20" i="1"/>
  <c r="M20" i="1"/>
  <c r="J20" i="1"/>
  <c r="P19" i="1"/>
  <c r="M19" i="1"/>
  <c r="H19" i="1"/>
  <c r="E19" i="1"/>
  <c r="L18" i="1"/>
  <c r="D18" i="1"/>
  <c r="I16" i="1"/>
  <c r="J16" i="1"/>
  <c r="I15" i="1"/>
  <c r="H15" i="1"/>
  <c r="E8" i="13"/>
  <c r="E9" i="13" s="1"/>
  <c r="E10" i="13" s="1"/>
  <c r="L14" i="1"/>
  <c r="D13" i="1"/>
  <c r="Q12" i="1"/>
  <c r="I12" i="1"/>
  <c r="H12" i="1"/>
  <c r="C11" i="1"/>
  <c r="S11" i="1"/>
  <c r="Y9" i="8"/>
  <c r="Y17" i="8"/>
  <c r="X17" i="8" s="1"/>
  <c r="Y25" i="8"/>
  <c r="X25" i="8" s="1"/>
  <c r="Y33" i="8"/>
  <c r="H28" i="44" s="1"/>
  <c r="Y41" i="8"/>
  <c r="X41" i="8" s="1"/>
  <c r="Y49" i="8"/>
  <c r="X49" i="8" s="1"/>
  <c r="Y57" i="8"/>
  <c r="X57" i="8" s="1"/>
  <c r="Y65" i="8"/>
  <c r="X65" i="8" s="1"/>
  <c r="Y73" i="8"/>
  <c r="S10" i="1"/>
  <c r="K10" i="1"/>
  <c r="S8" i="1"/>
  <c r="C8" i="1"/>
  <c r="F7" i="5"/>
  <c r="R7" i="1"/>
  <c r="J7" i="1"/>
  <c r="Y77" i="5"/>
  <c r="Y72" i="5"/>
  <c r="X72" i="5" s="1"/>
  <c r="Q6" i="1"/>
  <c r="Y9" i="4"/>
  <c r="X9" i="4" s="1"/>
  <c r="Y17" i="4"/>
  <c r="X17" i="4" s="1"/>
  <c r="F5" i="1"/>
  <c r="Q5" i="1"/>
  <c r="N5" i="1"/>
  <c r="Q8" i="23"/>
  <c r="Q10" i="1"/>
  <c r="O14" i="23"/>
  <c r="O15" i="1"/>
  <c r="E9" i="1"/>
  <c r="E10" i="23"/>
  <c r="M11" i="1"/>
  <c r="M7" i="23"/>
  <c r="C16" i="1"/>
  <c r="C25" i="23"/>
  <c r="P16" i="23"/>
  <c r="P17" i="1"/>
  <c r="J3" i="23"/>
  <c r="J5" i="1"/>
  <c r="L7" i="1"/>
  <c r="L4" i="23"/>
  <c r="P6" i="23"/>
  <c r="P8" i="1"/>
  <c r="M9" i="1"/>
  <c r="M10" i="23"/>
  <c r="S12" i="1"/>
  <c r="S9" i="23"/>
  <c r="C5" i="1"/>
  <c r="C3" i="23"/>
  <c r="P6" i="1"/>
  <c r="P5" i="23"/>
  <c r="E7" i="1"/>
  <c r="E4" i="23"/>
  <c r="M7" i="1"/>
  <c r="M4" i="23"/>
  <c r="F9" i="1"/>
  <c r="F10" i="23"/>
  <c r="N9" i="1"/>
  <c r="N10" i="23"/>
  <c r="C10" i="1"/>
  <c r="C8" i="23"/>
  <c r="G7" i="23"/>
  <c r="G11" i="1"/>
  <c r="D12" i="1"/>
  <c r="D9" i="23"/>
  <c r="L12" i="1"/>
  <c r="L9" i="23"/>
  <c r="I6" i="1"/>
  <c r="H8" i="1"/>
  <c r="R10" i="1"/>
  <c r="J12" i="1"/>
  <c r="F19" i="23"/>
  <c r="F18" i="1"/>
  <c r="I19" i="1"/>
  <c r="I28" i="23"/>
  <c r="Q19" i="1"/>
  <c r="Q28" i="23"/>
  <c r="J26" i="23"/>
  <c r="J21" i="1"/>
  <c r="R26" i="23"/>
  <c r="R21" i="1"/>
  <c r="H23" i="23"/>
  <c r="H24" i="1"/>
  <c r="P24" i="1"/>
  <c r="P23" i="23"/>
  <c r="H17" i="1"/>
  <c r="O8" i="1"/>
  <c r="O6" i="23"/>
  <c r="S16" i="1"/>
  <c r="S25" i="23"/>
  <c r="H11" i="1"/>
  <c r="H7" i="23"/>
  <c r="P11" i="1"/>
  <c r="P7" i="23"/>
  <c r="E12" i="1"/>
  <c r="E9" i="23"/>
  <c r="M12" i="1"/>
  <c r="M9" i="23"/>
  <c r="L11" i="23"/>
  <c r="L13" i="1"/>
  <c r="I12" i="23"/>
  <c r="I14" i="1"/>
  <c r="Q12" i="23"/>
  <c r="Q14" i="1"/>
  <c r="J15" i="1"/>
  <c r="J14" i="23"/>
  <c r="R15" i="1"/>
  <c r="R14" i="23"/>
  <c r="F25" i="23"/>
  <c r="F16" i="1"/>
  <c r="N25" i="23"/>
  <c r="N16" i="1"/>
  <c r="C21" i="1"/>
  <c r="C26" i="23"/>
  <c r="K21" i="1"/>
  <c r="K26" i="23"/>
  <c r="S21" i="1"/>
  <c r="S26" i="23"/>
  <c r="P15" i="23"/>
  <c r="P22" i="1"/>
  <c r="D23" i="1"/>
  <c r="D22" i="23"/>
  <c r="L23" i="1"/>
  <c r="L22" i="23"/>
  <c r="I23" i="23"/>
  <c r="I24" i="1"/>
  <c r="Q23" i="23"/>
  <c r="Q24" i="1"/>
  <c r="D17" i="1"/>
  <c r="D5" i="1"/>
  <c r="D3" i="23"/>
  <c r="G16" i="1"/>
  <c r="G25" i="23"/>
  <c r="Q15" i="23"/>
  <c r="Q22" i="1"/>
  <c r="E23" i="1"/>
  <c r="E22" i="23"/>
  <c r="M23" i="1"/>
  <c r="M22" i="23"/>
  <c r="F7" i="21"/>
  <c r="E8" i="21"/>
  <c r="F8" i="21" s="1"/>
  <c r="G14" i="23"/>
  <c r="G15" i="1"/>
  <c r="O7" i="1"/>
  <c r="O4" i="23"/>
  <c r="O16" i="1"/>
  <c r="O25" i="23"/>
  <c r="L16" i="23"/>
  <c r="L17" i="1"/>
  <c r="H19" i="23"/>
  <c r="H18" i="1"/>
  <c r="P20" i="1"/>
  <c r="P13" i="23"/>
  <c r="L8" i="1"/>
  <c r="L6" i="23"/>
  <c r="J11" i="1"/>
  <c r="J7" i="23"/>
  <c r="Q9" i="1"/>
  <c r="F11" i="23"/>
  <c r="F13" i="1"/>
  <c r="C14" i="1"/>
  <c r="C12" i="23"/>
  <c r="S14" i="1"/>
  <c r="S12" i="23"/>
  <c r="D15" i="1"/>
  <c r="D14" i="23"/>
  <c r="L15" i="1"/>
  <c r="L14" i="23"/>
  <c r="P25" i="23"/>
  <c r="P16" i="1"/>
  <c r="E17" i="1"/>
  <c r="E16" i="23"/>
  <c r="M17" i="1"/>
  <c r="M16" i="23"/>
  <c r="G8" i="1"/>
  <c r="G6" i="23"/>
  <c r="E11" i="1"/>
  <c r="E7" i="23"/>
  <c r="R3" i="23"/>
  <c r="R5" i="1"/>
  <c r="D7" i="1"/>
  <c r="D4" i="23"/>
  <c r="J8" i="23"/>
  <c r="J10" i="1"/>
  <c r="C12" i="1"/>
  <c r="C9" i="23"/>
  <c r="K12" i="1"/>
  <c r="K9" i="23"/>
  <c r="W5" i="3"/>
  <c r="U3" i="23" s="1"/>
  <c r="L5" i="1"/>
  <c r="L3" i="23"/>
  <c r="L10" i="1"/>
  <c r="L8" i="23"/>
  <c r="R6" i="1"/>
  <c r="R5" i="23"/>
  <c r="G7" i="1"/>
  <c r="G4" i="23"/>
  <c r="P19" i="23"/>
  <c r="P18" i="1"/>
  <c r="H20" i="1"/>
  <c r="H13" i="23"/>
  <c r="D8" i="1"/>
  <c r="D6" i="23"/>
  <c r="I10" i="23"/>
  <c r="I9" i="1"/>
  <c r="R11" i="1"/>
  <c r="R7" i="23"/>
  <c r="N7" i="1"/>
  <c r="N11" i="23"/>
  <c r="N13" i="1"/>
  <c r="K14" i="1"/>
  <c r="K12" i="23"/>
  <c r="O5" i="1"/>
  <c r="O3" i="23"/>
  <c r="D6" i="1"/>
  <c r="D5" i="23"/>
  <c r="L6" i="1"/>
  <c r="L5" i="23"/>
  <c r="Q7" i="1"/>
  <c r="Q4" i="23"/>
  <c r="O9" i="1"/>
  <c r="O11" i="1"/>
  <c r="M13" i="1"/>
  <c r="I22" i="1"/>
  <c r="N18" i="1"/>
  <c r="K16" i="1"/>
  <c r="K25" i="23"/>
  <c r="E5" i="1"/>
  <c r="E3" i="23"/>
  <c r="J6" i="1"/>
  <c r="J5" i="23"/>
  <c r="F7" i="1"/>
  <c r="G9" i="1"/>
  <c r="E13" i="1"/>
  <c r="C20" i="1"/>
  <c r="C13" i="23"/>
  <c r="K20" i="1"/>
  <c r="K13" i="23"/>
  <c r="H22" i="1"/>
  <c r="H16" i="1"/>
  <c r="I8" i="23"/>
  <c r="I10" i="1"/>
  <c r="R12" i="1"/>
  <c r="G18" i="23"/>
  <c r="G25" i="1"/>
  <c r="O18" i="23"/>
  <c r="O25" i="1"/>
  <c r="G21" i="1"/>
  <c r="G26" i="23"/>
  <c r="D22" i="1"/>
  <c r="D15" i="23"/>
  <c r="L23" i="23"/>
  <c r="L24" i="1"/>
  <c r="E8" i="1"/>
  <c r="E6" i="23"/>
  <c r="R9" i="1"/>
  <c r="R10" i="23"/>
  <c r="G10" i="1"/>
  <c r="G8" i="23"/>
  <c r="E6" i="1"/>
  <c r="J13" i="1"/>
  <c r="J11" i="23"/>
  <c r="Q17" i="1"/>
  <c r="Q16" i="23"/>
  <c r="O19" i="1"/>
  <c r="O28" i="23"/>
  <c r="L20" i="1"/>
  <c r="L13" i="23"/>
  <c r="E23" i="23"/>
  <c r="E24" i="1"/>
  <c r="F6" i="1"/>
  <c r="F5" i="23"/>
  <c r="N6" i="1"/>
  <c r="N5" i="23"/>
  <c r="C7" i="1"/>
  <c r="C4" i="23"/>
  <c r="K7" i="1"/>
  <c r="K4" i="23"/>
  <c r="S7" i="1"/>
  <c r="S4" i="23"/>
  <c r="F8" i="1"/>
  <c r="F6" i="23"/>
  <c r="N8" i="1"/>
  <c r="N6" i="23"/>
  <c r="H10" i="1"/>
  <c r="H8" i="23"/>
  <c r="P10" i="1"/>
  <c r="P8" i="23"/>
  <c r="D11" i="1"/>
  <c r="D7" i="23"/>
  <c r="L11" i="1"/>
  <c r="L7" i="23"/>
  <c r="K8" i="1"/>
  <c r="H9" i="1"/>
  <c r="C13" i="1"/>
  <c r="C11" i="23"/>
  <c r="K13" i="1"/>
  <c r="K11" i="23"/>
  <c r="S13" i="1"/>
  <c r="S11" i="23"/>
  <c r="P12" i="1"/>
  <c r="G14" i="1"/>
  <c r="E16" i="1"/>
  <c r="E25" i="23"/>
  <c r="M16" i="1"/>
  <c r="M25" i="23"/>
  <c r="I21" i="1"/>
  <c r="I26" i="23"/>
  <c r="Q21" i="1"/>
  <c r="Q26" i="23"/>
  <c r="F22" i="1"/>
  <c r="F15" i="23"/>
  <c r="F23" i="23"/>
  <c r="F24" i="1"/>
  <c r="N23" i="23"/>
  <c r="N24" i="1"/>
  <c r="R23" i="1"/>
  <c r="E20" i="1"/>
  <c r="Y73" i="3"/>
  <c r="B68" i="44" s="1"/>
  <c r="Y65" i="3"/>
  <c r="X65" i="3" s="1"/>
  <c r="Y57" i="3"/>
  <c r="X57" i="3" s="1"/>
  <c r="Y49" i="3"/>
  <c r="Y40" i="3"/>
  <c r="B35" i="44" s="1"/>
  <c r="Y32" i="3"/>
  <c r="X32" i="3" s="1"/>
  <c r="Y24" i="3"/>
  <c r="X24" i="3" s="1"/>
  <c r="Y16" i="3"/>
  <c r="B11" i="44" s="1"/>
  <c r="Y8" i="3"/>
  <c r="X8" i="3" s="1"/>
  <c r="Y37" i="18"/>
  <c r="J32" i="44" s="1"/>
  <c r="Y45" i="18"/>
  <c r="X45" i="18" s="1"/>
  <c r="Y53" i="18"/>
  <c r="Y61" i="18"/>
  <c r="X61" i="18" s="1"/>
  <c r="Y69" i="18"/>
  <c r="J64" i="44" s="1"/>
  <c r="Y77" i="18"/>
  <c r="X77" i="18" s="1"/>
  <c r="E18" i="23"/>
  <c r="E25" i="1"/>
  <c r="M18" i="23"/>
  <c r="M25" i="1"/>
  <c r="Y14" i="24"/>
  <c r="Y38" i="24"/>
  <c r="P33" i="44" s="1"/>
  <c r="G29" i="23"/>
  <c r="G26" i="1"/>
  <c r="O29" i="23"/>
  <c r="O26" i="1"/>
  <c r="I32" i="23"/>
  <c r="I27" i="1"/>
  <c r="Q32" i="23"/>
  <c r="Q27" i="1"/>
  <c r="J24" i="23"/>
  <c r="J28" i="1"/>
  <c r="R24" i="23"/>
  <c r="R28" i="1"/>
  <c r="D17" i="23"/>
  <c r="D29" i="1"/>
  <c r="L17" i="23"/>
  <c r="L29" i="1"/>
  <c r="E27" i="23"/>
  <c r="E30" i="1"/>
  <c r="M27" i="23"/>
  <c r="M30" i="1"/>
  <c r="G31" i="23"/>
  <c r="G31" i="1"/>
  <c r="O31" i="23"/>
  <c r="O31" i="1"/>
  <c r="I30" i="23"/>
  <c r="I32" i="1"/>
  <c r="Q30" i="23"/>
  <c r="Q32" i="1"/>
  <c r="C20" i="23"/>
  <c r="C33" i="1"/>
  <c r="K20" i="23"/>
  <c r="K33" i="1"/>
  <c r="S20" i="23"/>
  <c r="S33" i="1"/>
  <c r="U34" i="23"/>
  <c r="U34" i="1"/>
  <c r="T42" i="23"/>
  <c r="T39" i="1"/>
  <c r="U38" i="23"/>
  <c r="U40" i="1"/>
  <c r="C23" i="1"/>
  <c r="C22" i="23"/>
  <c r="G23" i="23"/>
  <c r="G24" i="1"/>
  <c r="O23" i="23"/>
  <c r="O24" i="1"/>
  <c r="M15" i="1"/>
  <c r="F18" i="23"/>
  <c r="F25" i="1"/>
  <c r="N18" i="23"/>
  <c r="N25" i="1"/>
  <c r="W5" i="24"/>
  <c r="H29" i="23"/>
  <c r="H26" i="1"/>
  <c r="P26" i="1"/>
  <c r="P29" i="23"/>
  <c r="J32" i="23"/>
  <c r="J27" i="1"/>
  <c r="R27" i="1"/>
  <c r="R32" i="23"/>
  <c r="C24" i="23"/>
  <c r="C28" i="1"/>
  <c r="K24" i="23"/>
  <c r="K28" i="1"/>
  <c r="S24" i="23"/>
  <c r="S28" i="1"/>
  <c r="E17" i="23"/>
  <c r="E29" i="1"/>
  <c r="M17" i="23"/>
  <c r="M29" i="1"/>
  <c r="F30" i="1"/>
  <c r="F27" i="23"/>
  <c r="N30" i="1"/>
  <c r="N27" i="23"/>
  <c r="H31" i="23"/>
  <c r="H31" i="1"/>
  <c r="P31" i="23"/>
  <c r="P31" i="1"/>
  <c r="J30" i="23"/>
  <c r="J32" i="1"/>
  <c r="R30" i="23"/>
  <c r="R32" i="1"/>
  <c r="Y37" i="31"/>
  <c r="X37" i="31" s="1"/>
  <c r="Y61" i="31"/>
  <c r="AF56" i="44" s="1"/>
  <c r="D20" i="23"/>
  <c r="D33" i="1"/>
  <c r="L20" i="23"/>
  <c r="L33" i="1"/>
  <c r="T34" i="23"/>
  <c r="T34" i="1"/>
  <c r="U33" i="23"/>
  <c r="U36" i="1"/>
  <c r="T39" i="23"/>
  <c r="T38" i="1"/>
  <c r="E10" i="37"/>
  <c r="F9" i="37"/>
  <c r="I29" i="23"/>
  <c r="I26" i="1"/>
  <c r="Q29" i="23"/>
  <c r="Q26" i="1"/>
  <c r="C32" i="23"/>
  <c r="C27" i="1"/>
  <c r="K32" i="23"/>
  <c r="K27" i="1"/>
  <c r="S32" i="23"/>
  <c r="S27" i="1"/>
  <c r="D24" i="23"/>
  <c r="D28" i="1"/>
  <c r="L24" i="23"/>
  <c r="L28" i="1"/>
  <c r="F17" i="23"/>
  <c r="F29" i="1"/>
  <c r="N17" i="23"/>
  <c r="N29" i="1"/>
  <c r="G27" i="23"/>
  <c r="G30" i="1"/>
  <c r="O27" i="23"/>
  <c r="O30" i="1"/>
  <c r="I31" i="23"/>
  <c r="I31" i="1"/>
  <c r="Q31" i="23"/>
  <c r="Q31" i="1"/>
  <c r="C30" i="23"/>
  <c r="C32" i="1"/>
  <c r="K30" i="23"/>
  <c r="K32" i="1"/>
  <c r="S30" i="23"/>
  <c r="S32" i="1"/>
  <c r="E20" i="23"/>
  <c r="E33" i="1"/>
  <c r="M20" i="23"/>
  <c r="M33" i="1"/>
  <c r="T37" i="1"/>
  <c r="T21" i="23"/>
  <c r="U42" i="23"/>
  <c r="U39" i="1"/>
  <c r="T35" i="23"/>
  <c r="T44" i="1"/>
  <c r="U35" i="23"/>
  <c r="U44" i="1"/>
  <c r="U39" i="23"/>
  <c r="V39" i="23" s="1"/>
  <c r="U38" i="1"/>
  <c r="Y9" i="2"/>
  <c r="X9" i="2" s="1"/>
  <c r="Y17" i="2"/>
  <c r="X17" i="2" s="1"/>
  <c r="Y25" i="2"/>
  <c r="X25" i="2" s="1"/>
  <c r="Y33" i="2"/>
  <c r="X33" i="2" s="1"/>
  <c r="Y41" i="2"/>
  <c r="X41" i="2" s="1"/>
  <c r="Y49" i="2"/>
  <c r="X49" i="2" s="1"/>
  <c r="Y57" i="2"/>
  <c r="X57" i="2" s="1"/>
  <c r="Y65" i="2"/>
  <c r="X65" i="2" s="1"/>
  <c r="Y73" i="2"/>
  <c r="X73" i="2" s="1"/>
  <c r="H18" i="23"/>
  <c r="H25" i="1"/>
  <c r="P18" i="23"/>
  <c r="P25" i="1"/>
  <c r="J29" i="23"/>
  <c r="J26" i="1"/>
  <c r="R29" i="23"/>
  <c r="R26" i="1"/>
  <c r="Y53" i="25"/>
  <c r="X53" i="25" s="1"/>
  <c r="D27" i="1"/>
  <c r="D32" i="23"/>
  <c r="L32" i="23"/>
  <c r="L27" i="1"/>
  <c r="E24" i="23"/>
  <c r="E28" i="1"/>
  <c r="M24" i="23"/>
  <c r="M28" i="1"/>
  <c r="Y38" i="27"/>
  <c r="X38" i="27" s="1"/>
  <c r="Y62" i="27"/>
  <c r="AB57" i="44" s="1"/>
  <c r="G17" i="23"/>
  <c r="G29" i="1"/>
  <c r="O17" i="23"/>
  <c r="O29" i="1"/>
  <c r="H30" i="1"/>
  <c r="H27" i="23"/>
  <c r="P27" i="23"/>
  <c r="P30" i="1"/>
  <c r="J31" i="23"/>
  <c r="J31" i="1"/>
  <c r="R31" i="23"/>
  <c r="R31" i="1"/>
  <c r="D30" i="23"/>
  <c r="D32" i="1"/>
  <c r="L30" i="23"/>
  <c r="L32" i="1"/>
  <c r="F20" i="23"/>
  <c r="F33" i="1"/>
  <c r="N20" i="23"/>
  <c r="N33" i="1"/>
  <c r="Y17" i="32"/>
  <c r="X17" i="32" s="1"/>
  <c r="Y33" i="32"/>
  <c r="X33" i="32" s="1"/>
  <c r="Y49" i="32"/>
  <c r="X49" i="32" s="1"/>
  <c r="Y65" i="32"/>
  <c r="Q60" i="44" s="1"/>
  <c r="AH30" i="44"/>
  <c r="X32" i="33"/>
  <c r="X66" i="35"/>
  <c r="X50" i="35"/>
  <c r="O13" i="1"/>
  <c r="O11" i="23"/>
  <c r="N17" i="1"/>
  <c r="N16" i="23"/>
  <c r="I18" i="1"/>
  <c r="I19" i="23"/>
  <c r="R22" i="1"/>
  <c r="R15" i="23"/>
  <c r="R23" i="23"/>
  <c r="R24" i="1"/>
  <c r="Q20" i="1"/>
  <c r="L19" i="1"/>
  <c r="Y69" i="3"/>
  <c r="X69" i="3" s="1"/>
  <c r="Y44" i="3"/>
  <c r="X44" i="3" s="1"/>
  <c r="Y28" i="3"/>
  <c r="X28" i="3" s="1"/>
  <c r="Y9" i="10"/>
  <c r="X9" i="10" s="1"/>
  <c r="W5" i="10"/>
  <c r="U9" i="23" s="1"/>
  <c r="Y17" i="10"/>
  <c r="X17" i="10" s="1"/>
  <c r="Y25" i="10"/>
  <c r="X25" i="10" s="1"/>
  <c r="Y33" i="10"/>
  <c r="X33" i="10" s="1"/>
  <c r="Y41" i="10"/>
  <c r="X41" i="10" s="1"/>
  <c r="Y49" i="10"/>
  <c r="X49" i="10" s="1"/>
  <c r="Y57" i="10"/>
  <c r="G52" i="44" s="1"/>
  <c r="Y65" i="10"/>
  <c r="X65" i="10" s="1"/>
  <c r="Y73" i="10"/>
  <c r="X73" i="10" s="1"/>
  <c r="Y33" i="18"/>
  <c r="J28" i="44" s="1"/>
  <c r="Y41" i="18"/>
  <c r="X41" i="18" s="1"/>
  <c r="Y49" i="18"/>
  <c r="X49" i="18" s="1"/>
  <c r="Y57" i="18"/>
  <c r="J52" i="44" s="1"/>
  <c r="Y65" i="18"/>
  <c r="X65" i="18" s="1"/>
  <c r="Y73" i="18"/>
  <c r="X73" i="18" s="1"/>
  <c r="I18" i="23"/>
  <c r="I25" i="1"/>
  <c r="Q18" i="23"/>
  <c r="Q25" i="1"/>
  <c r="C29" i="23"/>
  <c r="C26" i="1"/>
  <c r="K29" i="23"/>
  <c r="K26" i="1"/>
  <c r="S29" i="23"/>
  <c r="S26" i="1"/>
  <c r="Y16" i="25"/>
  <c r="X16" i="25" s="1"/>
  <c r="Y40" i="25"/>
  <c r="X40" i="25" s="1"/>
  <c r="Y72" i="25"/>
  <c r="X72" i="25" s="1"/>
  <c r="E32" i="23"/>
  <c r="E27" i="1"/>
  <c r="M32" i="23"/>
  <c r="M27" i="1"/>
  <c r="F28" i="1"/>
  <c r="F24" i="23"/>
  <c r="N24" i="23"/>
  <c r="N28" i="1"/>
  <c r="Y49" i="27"/>
  <c r="X49" i="27" s="1"/>
  <c r="Y57" i="27"/>
  <c r="X57" i="27" s="1"/>
  <c r="H17" i="23"/>
  <c r="H29" i="1"/>
  <c r="P17" i="23"/>
  <c r="P29" i="1"/>
  <c r="I27" i="23"/>
  <c r="I30" i="1"/>
  <c r="Q27" i="23"/>
  <c r="Q30" i="1"/>
  <c r="C31" i="23"/>
  <c r="C31" i="1"/>
  <c r="K31" i="23"/>
  <c r="K31" i="1"/>
  <c r="S31" i="23"/>
  <c r="S31" i="1"/>
  <c r="E30" i="23"/>
  <c r="E32" i="1"/>
  <c r="M30" i="23"/>
  <c r="M32" i="1"/>
  <c r="G20" i="23"/>
  <c r="G33" i="1"/>
  <c r="O20" i="23"/>
  <c r="O33" i="1"/>
  <c r="U40" i="23"/>
  <c r="U41" i="1"/>
  <c r="G13" i="1"/>
  <c r="G11" i="23"/>
  <c r="D14" i="1"/>
  <c r="D12" i="23"/>
  <c r="F17" i="1"/>
  <c r="F16" i="23"/>
  <c r="Q18" i="1"/>
  <c r="Q19" i="23"/>
  <c r="J23" i="23"/>
  <c r="J24" i="1"/>
  <c r="Y77" i="3"/>
  <c r="Y61" i="3"/>
  <c r="X61" i="3" s="1"/>
  <c r="Y53" i="3"/>
  <c r="X53" i="3" s="1"/>
  <c r="Y36" i="3"/>
  <c r="B31" i="44" s="1"/>
  <c r="Y20" i="3"/>
  <c r="X20" i="3" s="1"/>
  <c r="Y12" i="3"/>
  <c r="B7" i="44" s="1"/>
  <c r="C6" i="1"/>
  <c r="C5" i="23"/>
  <c r="K6" i="1"/>
  <c r="K5" i="23"/>
  <c r="S6" i="1"/>
  <c r="S5" i="23"/>
  <c r="I11" i="1"/>
  <c r="I7" i="23"/>
  <c r="M6" i="1"/>
  <c r="P9" i="1"/>
  <c r="E14" i="1"/>
  <c r="E12" i="23"/>
  <c r="M14" i="1"/>
  <c r="M12" i="23"/>
  <c r="O14" i="1"/>
  <c r="F15" i="1"/>
  <c r="F14" i="23"/>
  <c r="N15" i="1"/>
  <c r="N14" i="23"/>
  <c r="G17" i="1"/>
  <c r="G16" i="23"/>
  <c r="O17" i="1"/>
  <c r="O16" i="23"/>
  <c r="J18" i="1"/>
  <c r="J19" i="23"/>
  <c r="R18" i="1"/>
  <c r="R19" i="23"/>
  <c r="C22" i="1"/>
  <c r="C15" i="23"/>
  <c r="K22" i="1"/>
  <c r="K15" i="23"/>
  <c r="S22" i="1"/>
  <c r="S15" i="23"/>
  <c r="O23" i="1"/>
  <c r="O22" i="23"/>
  <c r="C23" i="23"/>
  <c r="C24" i="1"/>
  <c r="K23" i="23"/>
  <c r="K24" i="1"/>
  <c r="S23" i="23"/>
  <c r="S24" i="1"/>
  <c r="F23" i="1"/>
  <c r="R16" i="1"/>
  <c r="E15" i="1"/>
  <c r="Y73" i="5"/>
  <c r="X73" i="5" s="1"/>
  <c r="Y68" i="10"/>
  <c r="X68" i="10" s="1"/>
  <c r="Y76" i="10"/>
  <c r="X76" i="10" s="1"/>
  <c r="Y11" i="11"/>
  <c r="X11" i="11" s="1"/>
  <c r="Y19" i="11"/>
  <c r="X19" i="11" s="1"/>
  <c r="Y27" i="11"/>
  <c r="X27" i="11" s="1"/>
  <c r="Y35" i="11"/>
  <c r="Y43" i="11"/>
  <c r="X43" i="11" s="1"/>
  <c r="Y51" i="11"/>
  <c r="X51" i="11" s="1"/>
  <c r="Y59" i="11"/>
  <c r="X59" i="11" s="1"/>
  <c r="Y67" i="11"/>
  <c r="X67" i="11" s="1"/>
  <c r="Y75" i="11"/>
  <c r="X75" i="11" s="1"/>
  <c r="Y7" i="15"/>
  <c r="R2" i="44" s="1"/>
  <c r="R2" i="45" s="1"/>
  <c r="V5" i="15"/>
  <c r="T16" i="23" s="1"/>
  <c r="Y15" i="15"/>
  <c r="R10" i="44" s="1"/>
  <c r="Y23" i="15"/>
  <c r="X23" i="15" s="1"/>
  <c r="Y31" i="15"/>
  <c r="X31" i="15" s="1"/>
  <c r="Y39" i="15"/>
  <c r="R34" i="44" s="1"/>
  <c r="Y47" i="15"/>
  <c r="X47" i="15" s="1"/>
  <c r="Y55" i="15"/>
  <c r="R50" i="44" s="1"/>
  <c r="Y63" i="15"/>
  <c r="R58" i="44" s="1"/>
  <c r="Y71" i="15"/>
  <c r="X71" i="15" s="1"/>
  <c r="Y79" i="15"/>
  <c r="Y14" i="16"/>
  <c r="X14" i="16" s="1"/>
  <c r="Y22" i="16"/>
  <c r="N17" i="44" s="1"/>
  <c r="Y30" i="16"/>
  <c r="X30" i="16" s="1"/>
  <c r="Y38" i="16"/>
  <c r="X38" i="16" s="1"/>
  <c r="Y46" i="16"/>
  <c r="X46" i="16" s="1"/>
  <c r="Y54" i="16"/>
  <c r="X54" i="16" s="1"/>
  <c r="Y62" i="16"/>
  <c r="X62" i="16" s="1"/>
  <c r="Y70" i="16"/>
  <c r="Y78" i="16"/>
  <c r="X78" i="16" s="1"/>
  <c r="Y9" i="21"/>
  <c r="X9" i="21" s="1"/>
  <c r="Y17" i="21"/>
  <c r="U12" i="44" s="1"/>
  <c r="Y25" i="21"/>
  <c r="U20" i="44" s="1"/>
  <c r="Y33" i="21"/>
  <c r="X33" i="21" s="1"/>
  <c r="Y41" i="21"/>
  <c r="X41" i="21" s="1"/>
  <c r="Y49" i="21"/>
  <c r="U44" i="44" s="1"/>
  <c r="Y57" i="21"/>
  <c r="X57" i="21" s="1"/>
  <c r="Y65" i="21"/>
  <c r="U60" i="44" s="1"/>
  <c r="Y73" i="21"/>
  <c r="X73" i="21" s="1"/>
  <c r="J18" i="23"/>
  <c r="J25" i="1"/>
  <c r="R25" i="1"/>
  <c r="R18" i="23"/>
  <c r="D29" i="23"/>
  <c r="D26" i="1"/>
  <c r="L29" i="23"/>
  <c r="L26" i="1"/>
  <c r="F32" i="23"/>
  <c r="F27" i="1"/>
  <c r="N32" i="23"/>
  <c r="N27" i="1"/>
  <c r="G24" i="23"/>
  <c r="G28" i="1"/>
  <c r="O24" i="23"/>
  <c r="O28" i="1"/>
  <c r="I17" i="23"/>
  <c r="I29" i="1"/>
  <c r="Q17" i="23"/>
  <c r="Q29" i="1"/>
  <c r="J27" i="23"/>
  <c r="J30" i="1"/>
  <c r="R27" i="23"/>
  <c r="R30" i="1"/>
  <c r="D31" i="23"/>
  <c r="D31" i="1"/>
  <c r="L31" i="23"/>
  <c r="L31" i="1"/>
  <c r="F32" i="1"/>
  <c r="F30" i="23"/>
  <c r="N30" i="23"/>
  <c r="N32" i="1"/>
  <c r="H20" i="23"/>
  <c r="H33" i="1"/>
  <c r="P20" i="23"/>
  <c r="P33" i="1"/>
  <c r="T33" i="23"/>
  <c r="T36" i="1"/>
  <c r="U21" i="23"/>
  <c r="U37" i="1"/>
  <c r="T41" i="1"/>
  <c r="T40" i="23"/>
  <c r="V40" i="23" s="1"/>
  <c r="T43" i="1"/>
  <c r="T37" i="23"/>
  <c r="F9" i="41"/>
  <c r="E10" i="41"/>
  <c r="S20" i="1"/>
  <c r="S13" i="23"/>
  <c r="L22" i="1"/>
  <c r="L15" i="23"/>
  <c r="D23" i="23"/>
  <c r="D24" i="1"/>
  <c r="Q16" i="1"/>
  <c r="V5" i="10"/>
  <c r="T9" i="23" s="1"/>
  <c r="V9" i="23" s="1"/>
  <c r="Y14" i="19"/>
  <c r="V9" i="44" s="1"/>
  <c r="Y22" i="19"/>
  <c r="V17" i="44" s="1"/>
  <c r="Y30" i="19"/>
  <c r="X30" i="19" s="1"/>
  <c r="Y38" i="19"/>
  <c r="X38" i="19" s="1"/>
  <c r="Y46" i="19"/>
  <c r="X46" i="19" s="1"/>
  <c r="Y54" i="19"/>
  <c r="V49" i="44" s="1"/>
  <c r="Y62" i="19"/>
  <c r="X62" i="19" s="1"/>
  <c r="Y70" i="19"/>
  <c r="Y78" i="19"/>
  <c r="V73" i="44" s="1"/>
  <c r="C18" i="23"/>
  <c r="C25" i="1"/>
  <c r="K18" i="23"/>
  <c r="K25" i="1"/>
  <c r="S18" i="23"/>
  <c r="S25" i="1"/>
  <c r="E29" i="23"/>
  <c r="E26" i="1"/>
  <c r="M29" i="23"/>
  <c r="M26" i="1"/>
  <c r="Y14" i="25"/>
  <c r="AC9" i="44" s="1"/>
  <c r="Y38" i="25"/>
  <c r="AC33" i="44" s="1"/>
  <c r="Y70" i="25"/>
  <c r="AC65" i="44" s="1"/>
  <c r="G32" i="23"/>
  <c r="G27" i="1"/>
  <c r="O32" i="23"/>
  <c r="O27" i="1"/>
  <c r="E8" i="26"/>
  <c r="F8" i="26" s="1"/>
  <c r="H24" i="23"/>
  <c r="H28" i="1"/>
  <c r="P24" i="23"/>
  <c r="P28" i="1"/>
  <c r="J17" i="23"/>
  <c r="J29" i="1"/>
  <c r="R17" i="23"/>
  <c r="R29" i="1"/>
  <c r="E8" i="28"/>
  <c r="F8" i="28" s="1"/>
  <c r="C27" i="23"/>
  <c r="C30" i="1"/>
  <c r="K27" i="23"/>
  <c r="K30" i="1"/>
  <c r="S27" i="23"/>
  <c r="S30" i="1"/>
  <c r="E31" i="23"/>
  <c r="E31" i="1"/>
  <c r="M31" i="23"/>
  <c r="M31" i="1"/>
  <c r="G30" i="23"/>
  <c r="G32" i="1"/>
  <c r="O30" i="23"/>
  <c r="O32" i="1"/>
  <c r="I20" i="23"/>
  <c r="I33" i="1"/>
  <c r="Q20" i="23"/>
  <c r="Q33" i="1"/>
  <c r="X30" i="34"/>
  <c r="O21" i="1"/>
  <c r="O26" i="23"/>
  <c r="M8" i="1"/>
  <c r="M6" i="23"/>
  <c r="J9" i="1"/>
  <c r="J10" i="23"/>
  <c r="O10" i="1"/>
  <c r="O8" i="23"/>
  <c r="R13" i="1"/>
  <c r="R11" i="23"/>
  <c r="I17" i="1"/>
  <c r="I16" i="23"/>
  <c r="G19" i="1"/>
  <c r="G28" i="23"/>
  <c r="D20" i="1"/>
  <c r="D13" i="23"/>
  <c r="M23" i="23"/>
  <c r="M24" i="1"/>
  <c r="I20" i="1"/>
  <c r="D19" i="1"/>
  <c r="P15" i="1"/>
  <c r="V5" i="3"/>
  <c r="T3" i="23" s="1"/>
  <c r="Y35" i="9"/>
  <c r="X35" i="9" s="1"/>
  <c r="Y43" i="9"/>
  <c r="X43" i="9" s="1"/>
  <c r="Y51" i="9"/>
  <c r="Y59" i="9"/>
  <c r="X59" i="9" s="1"/>
  <c r="Y67" i="9"/>
  <c r="F62" i="44" s="1"/>
  <c r="Y75" i="9"/>
  <c r="X75" i="9" s="1"/>
  <c r="D18" i="23"/>
  <c r="D25" i="1"/>
  <c r="L18" i="23"/>
  <c r="L25" i="1"/>
  <c r="F29" i="23"/>
  <c r="F26" i="1"/>
  <c r="N29" i="23"/>
  <c r="N26" i="1"/>
  <c r="Y57" i="25"/>
  <c r="X57" i="25" s="1"/>
  <c r="H32" i="23"/>
  <c r="H27" i="1"/>
  <c r="P32" i="23"/>
  <c r="P27" i="1"/>
  <c r="I24" i="23"/>
  <c r="I28" i="1"/>
  <c r="Q24" i="23"/>
  <c r="Q28" i="1"/>
  <c r="C17" i="23"/>
  <c r="C29" i="1"/>
  <c r="K17" i="23"/>
  <c r="K29" i="1"/>
  <c r="S17" i="23"/>
  <c r="S29" i="1"/>
  <c r="D27" i="23"/>
  <c r="D30" i="1"/>
  <c r="L27" i="23"/>
  <c r="L30" i="1"/>
  <c r="F31" i="23"/>
  <c r="F31" i="1"/>
  <c r="N31" i="23"/>
  <c r="N31" i="1"/>
  <c r="H30" i="23"/>
  <c r="H32" i="1"/>
  <c r="P30" i="23"/>
  <c r="P32" i="1"/>
  <c r="J33" i="1"/>
  <c r="J20" i="23"/>
  <c r="R20" i="23"/>
  <c r="R33" i="1"/>
  <c r="Y29" i="32"/>
  <c r="Q24" i="44" s="1"/>
  <c r="Y61" i="32"/>
  <c r="X61" i="32" s="1"/>
  <c r="Y77" i="32"/>
  <c r="X77" i="32" s="1"/>
  <c r="T36" i="23"/>
  <c r="V36" i="23" s="1"/>
  <c r="T35" i="1"/>
  <c r="T38" i="23"/>
  <c r="V38" i="23" s="1"/>
  <c r="T40" i="1"/>
  <c r="U41" i="23"/>
  <c r="V41" i="23" s="1"/>
  <c r="U42" i="1"/>
  <c r="U37" i="23"/>
  <c r="U43" i="1"/>
  <c r="AK68" i="44"/>
  <c r="AO39" i="44"/>
  <c r="X41" i="43"/>
  <c r="X39" i="39"/>
  <c r="AJ4" i="44"/>
  <c r="X37" i="34"/>
  <c r="X42" i="34"/>
  <c r="AI50" i="44"/>
  <c r="X23" i="43"/>
  <c r="AL44" i="44"/>
  <c r="X53" i="43"/>
  <c r="AH10" i="44"/>
  <c r="X9" i="37"/>
  <c r="X10" i="33"/>
  <c r="X29" i="41"/>
  <c r="AG20" i="44"/>
  <c r="X76" i="38"/>
  <c r="AG29" i="44"/>
  <c r="AL38" i="44"/>
  <c r="X50" i="38"/>
  <c r="X62" i="37"/>
  <c r="X37" i="41"/>
  <c r="X26" i="33"/>
  <c r="AG28" i="44"/>
  <c r="AK35" i="44"/>
  <c r="AM47" i="44"/>
  <c r="AJ36" i="44"/>
  <c r="AH8" i="44"/>
  <c r="X28" i="33"/>
  <c r="AL28" i="44"/>
  <c r="AM41" i="44"/>
  <c r="AJ54" i="44"/>
  <c r="X65" i="40"/>
  <c r="AI18" i="44"/>
  <c r="AM26" i="44"/>
  <c r="X17" i="40"/>
  <c r="AM40" i="44"/>
  <c r="AH40" i="44"/>
  <c r="AH50" i="44"/>
  <c r="X45" i="42"/>
  <c r="X48" i="38"/>
  <c r="X50" i="33"/>
  <c r="AL34" i="44"/>
  <c r="AL57" i="44"/>
  <c r="AJ29" i="44"/>
  <c r="AG30" i="44"/>
  <c r="X9" i="36"/>
  <c r="AM16" i="44"/>
  <c r="Y60" i="25"/>
  <c r="AC55" i="44" s="1"/>
  <c r="Y76" i="25"/>
  <c r="AC71" i="44" s="1"/>
  <c r="Y7" i="26"/>
  <c r="Z2" i="44" s="1"/>
  <c r="Z2" i="45" s="1"/>
  <c r="Y45" i="27"/>
  <c r="X45" i="27" s="1"/>
  <c r="Y53" i="27"/>
  <c r="X53" i="27" s="1"/>
  <c r="AI8" i="44"/>
  <c r="X70" i="33"/>
  <c r="AL66" i="44"/>
  <c r="X31" i="33"/>
  <c r="X51" i="43"/>
  <c r="X12" i="38"/>
  <c r="AI39" i="44"/>
  <c r="AO69" i="44"/>
  <c r="AL16" i="44"/>
  <c r="X45" i="40"/>
  <c r="Y47" i="25"/>
  <c r="X47" i="25" s="1"/>
  <c r="Y42" i="31"/>
  <c r="AF37" i="44" s="1"/>
  <c r="AK24" i="44"/>
  <c r="X52" i="39"/>
  <c r="AG52" i="44"/>
  <c r="X60" i="40"/>
  <c r="AI27" i="44"/>
  <c r="AH16" i="44"/>
  <c r="X49" i="43"/>
  <c r="AI23" i="44"/>
  <c r="AL18" i="44"/>
  <c r="X55" i="37"/>
  <c r="AI55" i="44"/>
  <c r="AK31" i="44"/>
  <c r="AH72" i="44"/>
  <c r="AK42" i="44"/>
  <c r="AO67" i="44"/>
  <c r="X26" i="43"/>
  <c r="AG32" i="44"/>
  <c r="X11" i="39"/>
  <c r="X52" i="42"/>
  <c r="X70" i="38"/>
  <c r="X23" i="41"/>
  <c r="AH33" i="44"/>
  <c r="X54" i="41"/>
  <c r="AJ42" i="44"/>
  <c r="X12" i="39"/>
  <c r="X46" i="38"/>
  <c r="Y20" i="24"/>
  <c r="X20" i="24" s="1"/>
  <c r="Y71" i="25"/>
  <c r="X71" i="25" s="1"/>
  <c r="Y42" i="26"/>
  <c r="X42" i="26" s="1"/>
  <c r="Y66" i="26"/>
  <c r="X66" i="26" s="1"/>
  <c r="Y8" i="27"/>
  <c r="AB3" i="44" s="1"/>
  <c r="Y16" i="27"/>
  <c r="X16" i="27" s="1"/>
  <c r="Y32" i="27"/>
  <c r="X32" i="27" s="1"/>
  <c r="X60" i="37"/>
  <c r="Y55" i="24"/>
  <c r="X55" i="24" s="1"/>
  <c r="Y63" i="24"/>
  <c r="X63" i="24" s="1"/>
  <c r="Y13" i="25"/>
  <c r="AC8" i="44" s="1"/>
  <c r="Y29" i="25"/>
  <c r="AC24" i="44" s="1"/>
  <c r="Y37" i="25"/>
  <c r="X37" i="25" s="1"/>
  <c r="Y59" i="32"/>
  <c r="X59" i="32" s="1"/>
  <c r="X27" i="41"/>
  <c r="AK46" i="44"/>
  <c r="AK64" i="44"/>
  <c r="AI64" i="44"/>
  <c r="AD8" i="44"/>
  <c r="X9" i="43"/>
  <c r="AL42" i="44"/>
  <c r="Y58" i="27"/>
  <c r="X58" i="27" s="1"/>
  <c r="Y8" i="29"/>
  <c r="W3" i="44" s="1"/>
  <c r="Y10" i="29"/>
  <c r="X10" i="29" s="1"/>
  <c r="Y12" i="29"/>
  <c r="W7" i="44" s="1"/>
  <c r="Y14" i="29"/>
  <c r="X14" i="29" s="1"/>
  <c r="Y16" i="29"/>
  <c r="W11" i="44" s="1"/>
  <c r="Y18" i="29"/>
  <c r="X18" i="29" s="1"/>
  <c r="Y20" i="29"/>
  <c r="X20" i="29" s="1"/>
  <c r="Y22" i="29"/>
  <c r="X22" i="29" s="1"/>
  <c r="Y24" i="29"/>
  <c r="X24" i="29" s="1"/>
  <c r="Y26" i="29"/>
  <c r="W21" i="44" s="1"/>
  <c r="Y28" i="29"/>
  <c r="X28" i="29" s="1"/>
  <c r="Y30" i="29"/>
  <c r="X30" i="29" s="1"/>
  <c r="Y32" i="29"/>
  <c r="X32" i="29" s="1"/>
  <c r="Y34" i="29"/>
  <c r="X34" i="29" s="1"/>
  <c r="Y36" i="29"/>
  <c r="X36" i="29" s="1"/>
  <c r="Y38" i="29"/>
  <c r="X38" i="29" s="1"/>
  <c r="Y40" i="29"/>
  <c r="X40" i="29" s="1"/>
  <c r="Y42" i="29"/>
  <c r="W37" i="44" s="1"/>
  <c r="Y44" i="29"/>
  <c r="W39" i="44" s="1"/>
  <c r="Y46" i="29"/>
  <c r="X46" i="29" s="1"/>
  <c r="Y64" i="29"/>
  <c r="X64" i="29" s="1"/>
  <c r="Y66" i="29"/>
  <c r="X66" i="29" s="1"/>
  <c r="Y68" i="29"/>
  <c r="W63" i="44" s="1"/>
  <c r="Y70" i="29"/>
  <c r="X70" i="29" s="1"/>
  <c r="Y72" i="29"/>
  <c r="X72" i="29" s="1"/>
  <c r="Y74" i="29"/>
  <c r="W69" i="44" s="1"/>
  <c r="Y76" i="29"/>
  <c r="X76" i="29" s="1"/>
  <c r="Y78" i="29"/>
  <c r="X78" i="29" s="1"/>
  <c r="Y45" i="32"/>
  <c r="Q40" i="44" s="1"/>
  <c r="AL56" i="44"/>
  <c r="AL2" i="44"/>
  <c r="AL2" i="45" s="1"/>
  <c r="AN53" i="44"/>
  <c r="AG50" i="44"/>
  <c r="AO9" i="44"/>
  <c r="X43" i="42"/>
  <c r="X53" i="42"/>
  <c r="Y15" i="26"/>
  <c r="X15" i="26" s="1"/>
  <c r="AJ28" i="44"/>
  <c r="X51" i="40"/>
  <c r="X19" i="34"/>
  <c r="X44" i="41"/>
  <c r="AL36" i="44"/>
  <c r="X48" i="34"/>
  <c r="AG41" i="44"/>
  <c r="AJ24" i="44"/>
  <c r="AJ46" i="44"/>
  <c r="AJ52" i="44"/>
  <c r="AK19" i="44"/>
  <c r="X75" i="40"/>
  <c r="X31" i="40"/>
  <c r="AM13" i="44"/>
  <c r="X18" i="43"/>
  <c r="X44" i="39"/>
  <c r="AL20" i="44"/>
  <c r="AK61" i="44"/>
  <c r="AJ30" i="44"/>
  <c r="AM30" i="44"/>
  <c r="AM8" i="44"/>
  <c r="AI66" i="44"/>
  <c r="AM9" i="44"/>
  <c r="AL4" i="44"/>
  <c r="X20" i="34"/>
  <c r="AH37" i="44"/>
  <c r="AL6" i="44"/>
  <c r="AN66" i="44"/>
  <c r="Y34" i="24"/>
  <c r="X34" i="24" s="1"/>
  <c r="Y59" i="31"/>
  <c r="AF54" i="44" s="1"/>
  <c r="Y22" i="32"/>
  <c r="X22" i="32" s="1"/>
  <c r="Y30" i="32"/>
  <c r="X30" i="32" s="1"/>
  <c r="AO74" i="44"/>
  <c r="AK27" i="44"/>
  <c r="AO8" i="44"/>
  <c r="AK32" i="44"/>
  <c r="AK66" i="44"/>
  <c r="AM42" i="44"/>
  <c r="AL50" i="44"/>
  <c r="AK26" i="44"/>
  <c r="Y54" i="31"/>
  <c r="AF49" i="44" s="1"/>
  <c r="AK69" i="44"/>
  <c r="X42" i="39"/>
  <c r="X44" i="42"/>
  <c r="X79" i="37"/>
  <c r="X57" i="40"/>
  <c r="AK2" i="44"/>
  <c r="AK2" i="45" s="1"/>
  <c r="AJ56" i="44"/>
  <c r="Y33" i="31"/>
  <c r="X33" i="31" s="1"/>
  <c r="Y41" i="31"/>
  <c r="X41" i="31" s="1"/>
  <c r="Y25" i="32"/>
  <c r="X25" i="32" s="1"/>
  <c r="X50" i="42"/>
  <c r="X50" i="39"/>
  <c r="AK40" i="44"/>
  <c r="AL48" i="44"/>
  <c r="X35" i="40"/>
  <c r="AM53" i="44"/>
  <c r="X64" i="37"/>
  <c r="X77" i="37"/>
  <c r="Y65" i="25"/>
  <c r="X65" i="25" s="1"/>
  <c r="Y73" i="25"/>
  <c r="X73" i="25" s="1"/>
  <c r="Y20" i="26"/>
  <c r="Z15" i="44" s="1"/>
  <c r="Y36" i="26"/>
  <c r="X36" i="26" s="1"/>
  <c r="Y76" i="27"/>
  <c r="X76" i="27" s="1"/>
  <c r="Y12" i="31"/>
  <c r="AF7" i="44" s="1"/>
  <c r="Y20" i="31"/>
  <c r="AF15" i="44" s="1"/>
  <c r="X58" i="42"/>
  <c r="AN48" i="44"/>
  <c r="AN60" i="44"/>
  <c r="AK51" i="44"/>
  <c r="AL3" i="44"/>
  <c r="AO32" i="44"/>
  <c r="X16" i="33"/>
  <c r="AI38" i="44"/>
  <c r="Y21" i="25"/>
  <c r="X21" i="25" s="1"/>
  <c r="Y24" i="25"/>
  <c r="X24" i="25" s="1"/>
  <c r="AM34" i="44"/>
  <c r="AL64" i="44"/>
  <c r="AI29" i="44"/>
  <c r="AI62" i="44"/>
  <c r="AL62" i="44"/>
  <c r="X19" i="41"/>
  <c r="AK59" i="44"/>
  <c r="AL68" i="44"/>
  <c r="AL32" i="44"/>
  <c r="X35" i="38"/>
  <c r="AH69" i="44"/>
  <c r="AO24" i="44"/>
  <c r="AM10" i="44"/>
  <c r="X8" i="34"/>
  <c r="X41" i="1"/>
  <c r="AH53" i="44"/>
  <c r="X7" i="43"/>
  <c r="Y16" i="31"/>
  <c r="X16" i="31" s="1"/>
  <c r="Y37" i="32"/>
  <c r="X37" i="32" s="1"/>
  <c r="Y40" i="32"/>
  <c r="X40" i="32" s="1"/>
  <c r="AH39" i="44"/>
  <c r="AH29" i="44"/>
  <c r="AH71" i="44"/>
  <c r="AM38" i="44"/>
  <c r="AL14" i="44"/>
  <c r="Y17" i="27"/>
  <c r="AB12" i="44" s="1"/>
  <c r="Y27" i="32"/>
  <c r="X27" i="32" s="1"/>
  <c r="X12" i="41"/>
  <c r="AI2" i="44"/>
  <c r="AI2" i="45" s="1"/>
  <c r="AI3" i="45" s="1"/>
  <c r="AK71" i="44"/>
  <c r="Y46" i="24"/>
  <c r="X46" i="24" s="1"/>
  <c r="Y54" i="24"/>
  <c r="X54" i="24" s="1"/>
  <c r="Y78" i="24"/>
  <c r="X78" i="24" s="1"/>
  <c r="Y38" i="26"/>
  <c r="X38" i="26" s="1"/>
  <c r="Y54" i="26"/>
  <c r="X54" i="26" s="1"/>
  <c r="Y62" i="26"/>
  <c r="X62" i="26" s="1"/>
  <c r="Y70" i="26"/>
  <c r="X70" i="26" s="1"/>
  <c r="Y78" i="26"/>
  <c r="Z73" i="44" s="1"/>
  <c r="Y41" i="27"/>
  <c r="X41" i="27" s="1"/>
  <c r="Y19" i="31"/>
  <c r="X19" i="31" s="1"/>
  <c r="Y45" i="31"/>
  <c r="X45" i="31" s="1"/>
  <c r="Y53" i="31"/>
  <c r="X53" i="31" s="1"/>
  <c r="Y8" i="32"/>
  <c r="Q3" i="44" s="1"/>
  <c r="Y55" i="32"/>
  <c r="X55" i="32" s="1"/>
  <c r="AO16" i="44"/>
  <c r="X21" i="34"/>
  <c r="X79" i="40"/>
  <c r="AH24" i="44"/>
  <c r="AG5" i="44"/>
  <c r="X10" i="43"/>
  <c r="Y25" i="26"/>
  <c r="X25" i="26" s="1"/>
  <c r="Y33" i="26"/>
  <c r="Z28" i="44" s="1"/>
  <c r="Y41" i="26"/>
  <c r="X41" i="26" s="1"/>
  <c r="Y73" i="26"/>
  <c r="X73" i="26" s="1"/>
  <c r="Y15" i="27"/>
  <c r="X15" i="27" s="1"/>
  <c r="Y23" i="27"/>
  <c r="X23" i="27" s="1"/>
  <c r="Y36" i="27"/>
  <c r="X36" i="27" s="1"/>
  <c r="Y65" i="27"/>
  <c r="AB60" i="44" s="1"/>
  <c r="Y73" i="27"/>
  <c r="AB68" i="44" s="1"/>
  <c r="Y14" i="31"/>
  <c r="X14" i="31" s="1"/>
  <c r="Y22" i="31"/>
  <c r="AF17" i="44" s="1"/>
  <c r="Y27" i="31"/>
  <c r="X27" i="31" s="1"/>
  <c r="Y40" i="31"/>
  <c r="AF35" i="44" s="1"/>
  <c r="Y69" i="31"/>
  <c r="X69" i="31" s="1"/>
  <c r="Y74" i="31"/>
  <c r="AF69" i="44" s="1"/>
  <c r="Y77" i="31"/>
  <c r="X77" i="31" s="1"/>
  <c r="AL22" i="44"/>
  <c r="AK56" i="44"/>
  <c r="AI31" i="44"/>
  <c r="X44" i="43"/>
  <c r="AL8" i="44"/>
  <c r="X50" i="41"/>
  <c r="Y29" i="24"/>
  <c r="X29" i="24" s="1"/>
  <c r="Y29" i="26"/>
  <c r="Z24" i="44" s="1"/>
  <c r="Y54" i="32"/>
  <c r="X54" i="32" s="1"/>
  <c r="Y62" i="32"/>
  <c r="X62" i="32" s="1"/>
  <c r="AJ31" i="44"/>
  <c r="AM2" i="44"/>
  <c r="AM2" i="45" s="1"/>
  <c r="AL54" i="44"/>
  <c r="AL10" i="44"/>
  <c r="X15" i="34"/>
  <c r="X53" i="34"/>
  <c r="AG9" i="44"/>
  <c r="AN44" i="44"/>
  <c r="X27" i="34"/>
  <c r="X69" i="37"/>
  <c r="X50" i="43"/>
  <c r="AI5" i="44"/>
  <c r="X53" i="39"/>
  <c r="AH34" i="44"/>
  <c r="AL24" i="44"/>
  <c r="AN12" i="44"/>
  <c r="AK54" i="44"/>
  <c r="AH63" i="44"/>
  <c r="AH49" i="44"/>
  <c r="Y16" i="24"/>
  <c r="P11" i="44" s="1"/>
  <c r="Y24" i="24"/>
  <c r="P19" i="44" s="1"/>
  <c r="Y43" i="25"/>
  <c r="X43" i="25" s="1"/>
  <c r="Y56" i="25"/>
  <c r="X56" i="25" s="1"/>
  <c r="Y61" i="25"/>
  <c r="X61" i="25" s="1"/>
  <c r="Y69" i="25"/>
  <c r="X69" i="25" s="1"/>
  <c r="Y8" i="26"/>
  <c r="Z3" i="44" s="1"/>
  <c r="Y16" i="26"/>
  <c r="X16" i="26" s="1"/>
  <c r="Y57" i="32"/>
  <c r="Q52" i="44" s="1"/>
  <c r="Y78" i="32"/>
  <c r="X78" i="32" s="1"/>
  <c r="AI45" i="44"/>
  <c r="AH19" i="44"/>
  <c r="AK22" i="44"/>
  <c r="AK23" i="44"/>
  <c r="X51" i="37"/>
  <c r="X10" i="41"/>
  <c r="X27" i="38"/>
  <c r="AL58" i="44"/>
  <c r="AN68" i="44"/>
  <c r="AH42" i="44"/>
  <c r="Y9" i="25"/>
  <c r="AC4" i="44" s="1"/>
  <c r="Y17" i="25"/>
  <c r="X17" i="25" s="1"/>
  <c r="Y33" i="25"/>
  <c r="X33" i="25" s="1"/>
  <c r="Y54" i="27"/>
  <c r="X54" i="27" s="1"/>
  <c r="Y8" i="31"/>
  <c r="X8" i="31" s="1"/>
  <c r="Y21" i="31"/>
  <c r="AF16" i="44" s="1"/>
  <c r="Y29" i="31"/>
  <c r="X29" i="31" s="1"/>
  <c r="Y79" i="31"/>
  <c r="X79" i="31" s="1"/>
  <c r="Y13" i="32"/>
  <c r="X13" i="32" s="1"/>
  <c r="X29" i="34"/>
  <c r="AL72" i="44"/>
  <c r="AK18" i="44"/>
  <c r="AH9" i="44"/>
  <c r="Y11" i="24"/>
  <c r="P6" i="44" s="1"/>
  <c r="Y48" i="24"/>
  <c r="X48" i="24" s="1"/>
  <c r="Y45" i="25"/>
  <c r="X45" i="25" s="1"/>
  <c r="Y48" i="25"/>
  <c r="X48" i="25" s="1"/>
  <c r="Y9" i="28"/>
  <c r="Y4" i="44" s="1"/>
  <c r="Y11" i="28"/>
  <c r="Y6" i="44" s="1"/>
  <c r="Y17" i="28"/>
  <c r="Y12" i="44" s="1"/>
  <c r="Y23" i="28"/>
  <c r="X23" i="28" s="1"/>
  <c r="Y25" i="28"/>
  <c r="Y20" i="44" s="1"/>
  <c r="Y27" i="28"/>
  <c r="X27" i="28" s="1"/>
  <c r="Y33" i="28"/>
  <c r="Y28" i="44" s="1"/>
  <c r="Y9" i="31"/>
  <c r="AF4" i="44" s="1"/>
  <c r="Y52" i="32"/>
  <c r="X52" i="32" s="1"/>
  <c r="Y73" i="32"/>
  <c r="X73" i="32" s="1"/>
  <c r="AJ37" i="44"/>
  <c r="X32" i="42"/>
  <c r="AO52" i="44"/>
  <c r="AJ55" i="44"/>
  <c r="AJ25" i="44"/>
  <c r="AG37" i="44"/>
  <c r="X42" i="43"/>
  <c r="AK70" i="44"/>
  <c r="AK38" i="44"/>
  <c r="AK13" i="44"/>
  <c r="X66" i="41"/>
  <c r="X78" i="40"/>
  <c r="AL73" i="44"/>
  <c r="X68" i="39"/>
  <c r="AK63" i="44"/>
  <c r="AN54" i="44"/>
  <c r="X59" i="37"/>
  <c r="AI26" i="44"/>
  <c r="X19" i="38"/>
  <c r="AN70" i="44"/>
  <c r="AI70" i="44"/>
  <c r="X76" i="40"/>
  <c r="AL71" i="44"/>
  <c r="Y15" i="24"/>
  <c r="X15" i="24" s="1"/>
  <c r="Y23" i="24"/>
  <c r="X23" i="24" s="1"/>
  <c r="Y28" i="24"/>
  <c r="X28" i="24" s="1"/>
  <c r="Y28" i="25"/>
  <c r="AC23" i="44" s="1"/>
  <c r="Y77" i="25"/>
  <c r="X77" i="25" s="1"/>
  <c r="Y24" i="26"/>
  <c r="Z19" i="44" s="1"/>
  <c r="Y32" i="26"/>
  <c r="X32" i="26" s="1"/>
  <c r="Y45" i="26"/>
  <c r="X45" i="26" s="1"/>
  <c r="Y53" i="26"/>
  <c r="X53" i="26" s="1"/>
  <c r="Y61" i="26"/>
  <c r="Z56" i="44" s="1"/>
  <c r="Y69" i="26"/>
  <c r="Z64" i="44" s="1"/>
  <c r="Y77" i="26"/>
  <c r="X77" i="26" s="1"/>
  <c r="Y40" i="27"/>
  <c r="AB35" i="44" s="1"/>
  <c r="Y48" i="27"/>
  <c r="X48" i="27" s="1"/>
  <c r="Y73" i="31"/>
  <c r="AF68" i="44" s="1"/>
  <c r="Y7" i="32"/>
  <c r="X7" i="32" s="1"/>
  <c r="Y20" i="32"/>
  <c r="X20" i="32" s="1"/>
  <c r="AI53" i="44"/>
  <c r="X11" i="38"/>
  <c r="AH2" i="44"/>
  <c r="AH2" i="45" s="1"/>
  <c r="X58" i="43"/>
  <c r="AI11" i="44"/>
  <c r="X78" i="33"/>
  <c r="AH73" i="44"/>
  <c r="X67" i="37"/>
  <c r="X59" i="38"/>
  <c r="Y10" i="24"/>
  <c r="P5" i="44" s="1"/>
  <c r="Y31" i="24"/>
  <c r="X31" i="24" s="1"/>
  <c r="Y36" i="24"/>
  <c r="X36" i="24" s="1"/>
  <c r="Y57" i="24"/>
  <c r="P52" i="44" s="1"/>
  <c r="Y76" i="24"/>
  <c r="P71" i="44" s="1"/>
  <c r="Y52" i="25"/>
  <c r="AC47" i="44" s="1"/>
  <c r="Y62" i="25"/>
  <c r="AC57" i="44" s="1"/>
  <c r="Y75" i="25"/>
  <c r="AC70" i="44" s="1"/>
  <c r="Y40" i="26"/>
  <c r="Z35" i="44" s="1"/>
  <c r="Y64" i="26"/>
  <c r="X64" i="26" s="1"/>
  <c r="Y14" i="27"/>
  <c r="X14" i="27" s="1"/>
  <c r="Y30" i="27"/>
  <c r="X30" i="27" s="1"/>
  <c r="Y14" i="28"/>
  <c r="Y9" i="44" s="1"/>
  <c r="Y16" i="28"/>
  <c r="X16" i="28" s="1"/>
  <c r="Y76" i="31"/>
  <c r="AF71" i="44" s="1"/>
  <c r="Y23" i="32"/>
  <c r="X23" i="32" s="1"/>
  <c r="Y38" i="32"/>
  <c r="Q33" i="44" s="1"/>
  <c r="Y43" i="32"/>
  <c r="X43" i="32" s="1"/>
  <c r="Y53" i="32"/>
  <c r="Q48" i="44" s="1"/>
  <c r="X12" i="40"/>
  <c r="X12" i="43"/>
  <c r="X43" i="38"/>
  <c r="Q12" i="44"/>
  <c r="X14" i="24"/>
  <c r="P9" i="44"/>
  <c r="X24" i="36"/>
  <c r="AD19" i="44"/>
  <c r="X47" i="36"/>
  <c r="AD42" i="44"/>
  <c r="X19" i="37"/>
  <c r="AN14" i="44"/>
  <c r="X74" i="41"/>
  <c r="AM69" i="44"/>
  <c r="X67" i="42"/>
  <c r="AJ62" i="44"/>
  <c r="X61" i="43"/>
  <c r="AG56" i="44"/>
  <c r="X27" i="43"/>
  <c r="AG22" i="44"/>
  <c r="X52" i="38"/>
  <c r="AO47" i="44"/>
  <c r="X26" i="40"/>
  <c r="AL21" i="44"/>
  <c r="X25" i="24"/>
  <c r="P20" i="44"/>
  <c r="X52" i="36"/>
  <c r="AD47" i="44"/>
  <c r="X57" i="36"/>
  <c r="AD52" i="44"/>
  <c r="X71" i="36"/>
  <c r="AD66" i="44"/>
  <c r="X42" i="36"/>
  <c r="AD37" i="44"/>
  <c r="X11" i="37"/>
  <c r="AN6" i="44"/>
  <c r="X26" i="38"/>
  <c r="AO21" i="44"/>
  <c r="X40" i="41"/>
  <c r="AM35" i="44"/>
  <c r="X15" i="42"/>
  <c r="AJ10" i="44"/>
  <c r="X63" i="42"/>
  <c r="AJ58" i="44"/>
  <c r="X34" i="39"/>
  <c r="AK29" i="44"/>
  <c r="X30" i="41"/>
  <c r="AM25" i="44"/>
  <c r="X40" i="40"/>
  <c r="AL35" i="44"/>
  <c r="X45" i="34"/>
  <c r="AI40" i="44"/>
  <c r="X20" i="38"/>
  <c r="AO15" i="44"/>
  <c r="X33" i="24"/>
  <c r="P28" i="44"/>
  <c r="X75" i="35"/>
  <c r="AE70" i="44"/>
  <c r="X48" i="36"/>
  <c r="AD43" i="44"/>
  <c r="X16" i="36"/>
  <c r="AD11" i="44"/>
  <c r="X53" i="36"/>
  <c r="AD48" i="44"/>
  <c r="X21" i="36"/>
  <c r="AD16" i="44"/>
  <c r="X74" i="36"/>
  <c r="AD69" i="44"/>
  <c r="X69" i="36"/>
  <c r="AD64" i="44"/>
  <c r="X39" i="36"/>
  <c r="AD34" i="44"/>
  <c r="X22" i="36"/>
  <c r="AD17" i="44"/>
  <c r="X38" i="36"/>
  <c r="AD33" i="44"/>
  <c r="X15" i="37"/>
  <c r="AN10" i="44"/>
  <c r="X41" i="37"/>
  <c r="AN36" i="44"/>
  <c r="X44" i="37"/>
  <c r="AN39" i="44"/>
  <c r="X21" i="37"/>
  <c r="AN16" i="44"/>
  <c r="X23" i="38"/>
  <c r="AO18" i="44"/>
  <c r="X24" i="38"/>
  <c r="AO19" i="44"/>
  <c r="X18" i="38"/>
  <c r="AO13" i="44"/>
  <c r="X68" i="38"/>
  <c r="AO63" i="44"/>
  <c r="Y38" i="23"/>
  <c r="X40" i="1"/>
  <c r="X70" i="40"/>
  <c r="AL65" i="44"/>
  <c r="X32" i="41"/>
  <c r="AM27" i="44"/>
  <c r="X33" i="41"/>
  <c r="AM28" i="44"/>
  <c r="X77" i="41"/>
  <c r="AM72" i="44"/>
  <c r="X7" i="42"/>
  <c r="AJ2" i="44"/>
  <c r="AJ2" i="45" s="1"/>
  <c r="X79" i="42"/>
  <c r="AJ74" i="44"/>
  <c r="X78" i="42"/>
  <c r="AJ73" i="44"/>
  <c r="X70" i="43"/>
  <c r="AG65" i="44"/>
  <c r="X69" i="43"/>
  <c r="AG64" i="44"/>
  <c r="AG3" i="44"/>
  <c r="AG3" i="45" s="1"/>
  <c r="AG4" i="45" s="1"/>
  <c r="X8" i="43"/>
  <c r="AM37" i="44"/>
  <c r="X42" i="41"/>
  <c r="X20" i="39"/>
  <c r="AK15" i="44"/>
  <c r="X52" i="43"/>
  <c r="AG47" i="44"/>
  <c r="X20" i="43"/>
  <c r="AG15" i="44"/>
  <c r="X28" i="41"/>
  <c r="AM23" i="44"/>
  <c r="X48" i="42"/>
  <c r="AJ43" i="44"/>
  <c r="X53" i="41"/>
  <c r="AM48" i="44"/>
  <c r="X75" i="38"/>
  <c r="AO70" i="44"/>
  <c r="X45" i="38"/>
  <c r="AO40" i="44"/>
  <c r="X25" i="42"/>
  <c r="AJ20" i="44"/>
  <c r="X69" i="41"/>
  <c r="AM64" i="44"/>
  <c r="X54" i="40"/>
  <c r="AL49" i="44"/>
  <c r="X38" i="40"/>
  <c r="AL33" i="44"/>
  <c r="X22" i="40"/>
  <c r="AL17" i="44"/>
  <c r="X60" i="38"/>
  <c r="AO55" i="44"/>
  <c r="X74" i="35"/>
  <c r="AE69" i="44"/>
  <c r="X37" i="33"/>
  <c r="AH32" i="44"/>
  <c r="X40" i="34"/>
  <c r="AI35" i="44"/>
  <c r="X78" i="37"/>
  <c r="AN73" i="44"/>
  <c r="X78" i="35"/>
  <c r="AE73" i="44"/>
  <c r="X30" i="33"/>
  <c r="AH25" i="44"/>
  <c r="X28" i="42"/>
  <c r="AJ23" i="44"/>
  <c r="AO51" i="44"/>
  <c r="X56" i="38"/>
  <c r="X38" i="37"/>
  <c r="AN33" i="44"/>
  <c r="X10" i="36"/>
  <c r="AD5" i="44"/>
  <c r="X57" i="10"/>
  <c r="G68" i="44"/>
  <c r="Y8" i="24"/>
  <c r="Y21" i="24"/>
  <c r="Y41" i="24"/>
  <c r="Y49" i="24"/>
  <c r="Y70" i="24"/>
  <c r="Y73" i="24"/>
  <c r="Y7" i="25"/>
  <c r="Y22" i="25"/>
  <c r="Y30" i="25"/>
  <c r="Y50" i="25"/>
  <c r="Y63" i="25"/>
  <c r="Y78" i="25"/>
  <c r="Y9" i="26"/>
  <c r="Y17" i="26"/>
  <c r="Y22" i="26"/>
  <c r="Y56" i="26"/>
  <c r="Y72" i="26"/>
  <c r="Y9" i="27"/>
  <c r="Y22" i="27"/>
  <c r="Y25" i="27"/>
  <c r="Y33" i="27"/>
  <c r="Y43" i="27"/>
  <c r="Y46" i="27"/>
  <c r="Y39" i="28"/>
  <c r="Y41" i="28"/>
  <c r="Y43" i="28"/>
  <c r="Y55" i="28"/>
  <c r="Y57" i="28"/>
  <c r="Y59" i="28"/>
  <c r="Y61" i="28"/>
  <c r="Y48" i="31"/>
  <c r="Y33" i="23"/>
  <c r="X36" i="1"/>
  <c r="X44" i="36"/>
  <c r="AD39" i="44"/>
  <c r="X49" i="36"/>
  <c r="AD44" i="44"/>
  <c r="X17" i="36"/>
  <c r="AD12" i="44"/>
  <c r="X76" i="36"/>
  <c r="AD71" i="44"/>
  <c r="X65" i="36"/>
  <c r="AD60" i="44"/>
  <c r="X35" i="36"/>
  <c r="AD30" i="44"/>
  <c r="X70" i="36"/>
  <c r="AD65" i="44"/>
  <c r="X34" i="36"/>
  <c r="AD29" i="44"/>
  <c r="X7" i="37"/>
  <c r="AN2" i="44"/>
  <c r="AN2" i="45" s="1"/>
  <c r="X33" i="37"/>
  <c r="AN28" i="44"/>
  <c r="X36" i="37"/>
  <c r="AN31" i="44"/>
  <c r="X15" i="38"/>
  <c r="AO10" i="44"/>
  <c r="X16" i="38"/>
  <c r="AO11" i="44"/>
  <c r="X65" i="38"/>
  <c r="AO60" i="44"/>
  <c r="X68" i="40"/>
  <c r="AL63" i="44"/>
  <c r="X24" i="41"/>
  <c r="AM19" i="44"/>
  <c r="X25" i="41"/>
  <c r="AM20" i="44"/>
  <c r="X75" i="41"/>
  <c r="AM70" i="44"/>
  <c r="X20" i="42"/>
  <c r="AJ15" i="44"/>
  <c r="X77" i="42"/>
  <c r="AJ72" i="44"/>
  <c r="X72" i="42"/>
  <c r="AJ67" i="44"/>
  <c r="X43" i="1"/>
  <c r="Y37" i="23"/>
  <c r="X68" i="43"/>
  <c r="AG63" i="44"/>
  <c r="X67" i="43"/>
  <c r="AG62" i="44"/>
  <c r="AJ51" i="44"/>
  <c r="X56" i="42"/>
  <c r="X38" i="41"/>
  <c r="AM33" i="44"/>
  <c r="X15" i="39"/>
  <c r="AK10" i="44"/>
  <c r="AG42" i="44"/>
  <c r="X47" i="43"/>
  <c r="AG10" i="44"/>
  <c r="X15" i="43"/>
  <c r="X11" i="41"/>
  <c r="AM6" i="44"/>
  <c r="X46" i="42"/>
  <c r="AJ41" i="44"/>
  <c r="X51" i="41"/>
  <c r="AM46" i="44"/>
  <c r="X73" i="38"/>
  <c r="AO68" i="44"/>
  <c r="AG43" i="44"/>
  <c r="X48" i="43"/>
  <c r="AJ3" i="44"/>
  <c r="X8" i="42"/>
  <c r="X67" i="41"/>
  <c r="AM62" i="44"/>
  <c r="X52" i="40"/>
  <c r="AL47" i="44"/>
  <c r="X36" i="40"/>
  <c r="AL31" i="44"/>
  <c r="X20" i="40"/>
  <c r="AL15" i="44"/>
  <c r="X26" i="39"/>
  <c r="AK21" i="44"/>
  <c r="AO50" i="44"/>
  <c r="X55" i="38"/>
  <c r="X64" i="34"/>
  <c r="AI59" i="44"/>
  <c r="X23" i="33"/>
  <c r="AH18" i="44"/>
  <c r="X62" i="33"/>
  <c r="AH57" i="44"/>
  <c r="X8" i="33"/>
  <c r="AH3" i="44"/>
  <c r="X76" i="37"/>
  <c r="AN71" i="44"/>
  <c r="X76" i="35"/>
  <c r="AE71" i="44"/>
  <c r="X21" i="43"/>
  <c r="AG16" i="44"/>
  <c r="AO53" i="44"/>
  <c r="X58" i="38"/>
  <c r="X63" i="34"/>
  <c r="AI58" i="44"/>
  <c r="X36" i="33"/>
  <c r="AH31" i="44"/>
  <c r="X78" i="43"/>
  <c r="AG73" i="44"/>
  <c r="X34" i="37"/>
  <c r="AN29" i="44"/>
  <c r="X72" i="34"/>
  <c r="AI67" i="44"/>
  <c r="AE3" i="45"/>
  <c r="AE4" i="45" s="1"/>
  <c r="AE5" i="45" s="1"/>
  <c r="AE6" i="45" s="1"/>
  <c r="AE7" i="45" s="1"/>
  <c r="AE8" i="45" s="1"/>
  <c r="AE9" i="45" s="1"/>
  <c r="AE10" i="45" s="1"/>
  <c r="X77" i="5"/>
  <c r="C72" i="44"/>
  <c r="X62" i="12"/>
  <c r="I57" i="44"/>
  <c r="X61" i="33"/>
  <c r="AH56" i="44"/>
  <c r="X56" i="36"/>
  <c r="AD51" i="44"/>
  <c r="X29" i="36"/>
  <c r="AD24" i="44"/>
  <c r="X46" i="36"/>
  <c r="AD41" i="44"/>
  <c r="X37" i="37"/>
  <c r="AN32" i="44"/>
  <c r="X34" i="38"/>
  <c r="AO29" i="44"/>
  <c r="X74" i="40"/>
  <c r="AL69" i="44"/>
  <c r="X74" i="42"/>
  <c r="AJ69" i="44"/>
  <c r="AG35" i="44"/>
  <c r="X40" i="43"/>
  <c r="X29" i="43"/>
  <c r="AG24" i="44"/>
  <c r="X68" i="41"/>
  <c r="AM63" i="44"/>
  <c r="X42" i="40"/>
  <c r="AL37" i="44"/>
  <c r="X64" i="38"/>
  <c r="AO59" i="44"/>
  <c r="X61" i="37"/>
  <c r="AN56" i="44"/>
  <c r="X38" i="7"/>
  <c r="L33" i="44"/>
  <c r="X77" i="35"/>
  <c r="AE72" i="44"/>
  <c r="X25" i="36"/>
  <c r="AD20" i="44"/>
  <c r="X43" i="36"/>
  <c r="AD38" i="44"/>
  <c r="X8" i="37"/>
  <c r="AN3" i="44"/>
  <c r="X32" i="38"/>
  <c r="AO27" i="44"/>
  <c r="X72" i="41"/>
  <c r="AM67" i="44"/>
  <c r="X72" i="43"/>
  <c r="AG67" i="44"/>
  <c r="X61" i="41"/>
  <c r="AM56" i="44"/>
  <c r="AJ32" i="44"/>
  <c r="X37" i="42"/>
  <c r="X56" i="40"/>
  <c r="AL51" i="44"/>
  <c r="X62" i="38"/>
  <c r="AO57" i="44"/>
  <c r="X54" i="37"/>
  <c r="AN49" i="44"/>
  <c r="X15" i="15"/>
  <c r="X70" i="16"/>
  <c r="N65" i="44"/>
  <c r="X40" i="36"/>
  <c r="AD35" i="44"/>
  <c r="X72" i="36"/>
  <c r="AD67" i="44"/>
  <c r="X62" i="36"/>
  <c r="AD57" i="44"/>
  <c r="X25" i="37"/>
  <c r="AN20" i="44"/>
  <c r="X7" i="38"/>
  <c r="AO2" i="44"/>
  <c r="AO2" i="45" s="1"/>
  <c r="X69" i="38"/>
  <c r="AO64" i="44"/>
  <c r="X16" i="41"/>
  <c r="AM11" i="44"/>
  <c r="X73" i="41"/>
  <c r="AM68" i="44"/>
  <c r="X75" i="42"/>
  <c r="AJ70" i="44"/>
  <c r="X66" i="43"/>
  <c r="AG61" i="44"/>
  <c r="X36" i="41"/>
  <c r="AM31" i="44"/>
  <c r="X45" i="43"/>
  <c r="AG40" i="44"/>
  <c r="AG27" i="44"/>
  <c r="X32" i="43"/>
  <c r="X34" i="40"/>
  <c r="AL29" i="44"/>
  <c r="X59" i="34"/>
  <c r="AI54" i="44"/>
  <c r="X20" i="33"/>
  <c r="AH15" i="44"/>
  <c r="X62" i="43"/>
  <c r="AG57" i="44"/>
  <c r="X30" i="37"/>
  <c r="AN25" i="44"/>
  <c r="X49" i="3"/>
  <c r="B44" i="44"/>
  <c r="X9" i="8"/>
  <c r="H4" i="44"/>
  <c r="X73" i="8"/>
  <c r="H68" i="44"/>
  <c r="X70" i="19"/>
  <c r="V65" i="44"/>
  <c r="Y7" i="31"/>
  <c r="Y15" i="31"/>
  <c r="Y64" i="31"/>
  <c r="Y72" i="31"/>
  <c r="Y11" i="32"/>
  <c r="Y41" i="32"/>
  <c r="X12" i="34"/>
  <c r="X70" i="35"/>
  <c r="AE65" i="44"/>
  <c r="X11" i="36"/>
  <c r="AD6" i="44"/>
  <c r="X36" i="36"/>
  <c r="AD31" i="44"/>
  <c r="X41" i="36"/>
  <c r="AD36" i="44"/>
  <c r="X79" i="36"/>
  <c r="AD74" i="44"/>
  <c r="X68" i="36"/>
  <c r="AD63" i="44"/>
  <c r="X59" i="36"/>
  <c r="AD54" i="44"/>
  <c r="X27" i="36"/>
  <c r="AD22" i="44"/>
  <c r="X58" i="36"/>
  <c r="AD53" i="44"/>
  <c r="Y21" i="23"/>
  <c r="X37" i="1"/>
  <c r="X40" i="37"/>
  <c r="AN35" i="44"/>
  <c r="X43" i="37"/>
  <c r="AN38" i="44"/>
  <c r="X20" i="37"/>
  <c r="AN15" i="44"/>
  <c r="X13" i="37"/>
  <c r="AN8" i="44"/>
  <c r="X33" i="38"/>
  <c r="AO28" i="44"/>
  <c r="X41" i="38"/>
  <c r="AO36" i="44"/>
  <c r="X64" i="40"/>
  <c r="AL59" i="44"/>
  <c r="X8" i="41"/>
  <c r="AM3" i="44"/>
  <c r="X9" i="41"/>
  <c r="AM4" i="44"/>
  <c r="X71" i="41"/>
  <c r="AM66" i="44"/>
  <c r="X21" i="42"/>
  <c r="AJ16" i="44"/>
  <c r="X73" i="42"/>
  <c r="AJ68" i="44"/>
  <c r="X66" i="42"/>
  <c r="AJ61" i="44"/>
  <c r="X64" i="43"/>
  <c r="AG59" i="44"/>
  <c r="X63" i="43"/>
  <c r="AG58" i="44"/>
  <c r="X39" i="42"/>
  <c r="AJ34" i="44"/>
  <c r="X79" i="39"/>
  <c r="AK74" i="44"/>
  <c r="X8" i="39"/>
  <c r="AK3" i="44"/>
  <c r="X38" i="43"/>
  <c r="AG33" i="44"/>
  <c r="X22" i="42"/>
  <c r="AJ17" i="44"/>
  <c r="AJ11" i="44"/>
  <c r="X16" i="42"/>
  <c r="X22" i="41"/>
  <c r="AM17" i="44"/>
  <c r="X63" i="38"/>
  <c r="AO58" i="44"/>
  <c r="AG11" i="44"/>
  <c r="X16" i="43"/>
  <c r="X62" i="41"/>
  <c r="AM57" i="44"/>
  <c r="X48" i="40"/>
  <c r="AL43" i="44"/>
  <c r="X32" i="40"/>
  <c r="AL27" i="44"/>
  <c r="X16" i="40"/>
  <c r="AL11" i="44"/>
  <c r="X38" i="38"/>
  <c r="AO33" i="44"/>
  <c r="X47" i="34"/>
  <c r="AI42" i="44"/>
  <c r="X18" i="33"/>
  <c r="AH13" i="44"/>
  <c r="X21" i="39"/>
  <c r="AK16" i="44"/>
  <c r="X72" i="37"/>
  <c r="AN67" i="44"/>
  <c r="X17" i="43"/>
  <c r="AG12" i="44"/>
  <c r="X11" i="34"/>
  <c r="AI6" i="44"/>
  <c r="X60" i="43"/>
  <c r="AG55" i="44"/>
  <c r="X55" i="39"/>
  <c r="AK50" i="44"/>
  <c r="X57" i="37"/>
  <c r="AN52" i="44"/>
  <c r="X26" i="37"/>
  <c r="AN21" i="44"/>
  <c r="X56" i="34"/>
  <c r="AI51" i="44"/>
  <c r="X22" i="33"/>
  <c r="AH17" i="44"/>
  <c r="X79" i="35"/>
  <c r="AE74" i="44"/>
  <c r="X73" i="36"/>
  <c r="AD68" i="44"/>
  <c r="X31" i="37"/>
  <c r="AN26" i="44"/>
  <c r="X40" i="38"/>
  <c r="AO35" i="44"/>
  <c r="X48" i="41"/>
  <c r="AM43" i="44"/>
  <c r="X76" i="42"/>
  <c r="AJ71" i="44"/>
  <c r="X73" i="43"/>
  <c r="AG68" i="44"/>
  <c r="X67" i="39"/>
  <c r="AK62" i="44"/>
  <c r="AM29" i="44"/>
  <c r="X34" i="41"/>
  <c r="X58" i="40"/>
  <c r="AL53" i="44"/>
  <c r="X17" i="42"/>
  <c r="AJ12" i="44"/>
  <c r="X48" i="39"/>
  <c r="AK43" i="44"/>
  <c r="X22" i="38"/>
  <c r="AO17" i="44"/>
  <c r="X10" i="39"/>
  <c r="AK5" i="44"/>
  <c r="X46" i="37"/>
  <c r="AN41" i="44"/>
  <c r="X14" i="37"/>
  <c r="AN9" i="44"/>
  <c r="X18" i="34"/>
  <c r="AI13" i="44"/>
  <c r="X79" i="34"/>
  <c r="AI74" i="44"/>
  <c r="X78" i="36"/>
  <c r="AD73" i="44"/>
  <c r="X23" i="37"/>
  <c r="AN18" i="44"/>
  <c r="X31" i="38"/>
  <c r="AO26" i="44"/>
  <c r="X63" i="39"/>
  <c r="AK58" i="44"/>
  <c r="X41" i="41"/>
  <c r="AM36" i="44"/>
  <c r="X68" i="42"/>
  <c r="AJ63" i="44"/>
  <c r="X71" i="43"/>
  <c r="AG66" i="44"/>
  <c r="X54" i="43"/>
  <c r="AG49" i="44"/>
  <c r="AG6" i="44"/>
  <c r="X11" i="43"/>
  <c r="X27" i="42"/>
  <c r="AJ22" i="44"/>
  <c r="X53" i="33"/>
  <c r="AH48" i="44"/>
  <c r="X69" i="33"/>
  <c r="AH64" i="44"/>
  <c r="AN47" i="44"/>
  <c r="X52" i="37"/>
  <c r="X42" i="1"/>
  <c r="Y41" i="23"/>
  <c r="X42" i="37"/>
  <c r="AN37" i="44"/>
  <c r="X10" i="37"/>
  <c r="AN5" i="44"/>
  <c r="X71" i="33"/>
  <c r="AH66" i="44"/>
  <c r="X35" i="11"/>
  <c r="M30" i="44"/>
  <c r="N41" i="44"/>
  <c r="U52" i="44"/>
  <c r="X72" i="35"/>
  <c r="AE67" i="44"/>
  <c r="X45" i="36"/>
  <c r="AD40" i="44"/>
  <c r="X63" i="36"/>
  <c r="AD58" i="44"/>
  <c r="X14" i="36"/>
  <c r="AD9" i="44"/>
  <c r="X28" i="37"/>
  <c r="AN23" i="44"/>
  <c r="X10" i="38"/>
  <c r="AO5" i="44"/>
  <c r="X66" i="40"/>
  <c r="AL61" i="44"/>
  <c r="X70" i="42"/>
  <c r="AJ65" i="44"/>
  <c r="X65" i="43"/>
  <c r="AG60" i="44"/>
  <c r="X54" i="42"/>
  <c r="AJ49" i="44"/>
  <c r="X13" i="43"/>
  <c r="AG8" i="44"/>
  <c r="X31" i="42"/>
  <c r="AJ26" i="44"/>
  <c r="X71" i="38"/>
  <c r="AO66" i="44"/>
  <c r="X50" i="40"/>
  <c r="AL45" i="44"/>
  <c r="X18" i="40"/>
  <c r="AL13" i="44"/>
  <c r="X53" i="38"/>
  <c r="AO48" i="44"/>
  <c r="X44" i="1"/>
  <c r="Y35" i="23"/>
  <c r="X68" i="34"/>
  <c r="AI63" i="44"/>
  <c r="AG14" i="44"/>
  <c r="X19" i="43"/>
  <c r="X66" i="37"/>
  <c r="AN61" i="44"/>
  <c r="X66" i="33"/>
  <c r="AH61" i="44"/>
  <c r="X51" i="9"/>
  <c r="F46" i="44"/>
  <c r="Y9" i="24"/>
  <c r="Y19" i="24"/>
  <c r="Y22" i="24"/>
  <c r="Y42" i="24"/>
  <c r="Y50" i="24"/>
  <c r="Y58" i="24"/>
  <c r="Y8" i="25"/>
  <c r="Y23" i="25"/>
  <c r="Y46" i="25"/>
  <c r="Y64" i="25"/>
  <c r="Y79" i="25"/>
  <c r="Y10" i="26"/>
  <c r="Y18" i="26"/>
  <c r="Y23" i="26"/>
  <c r="Y31" i="26"/>
  <c r="Y49" i="26"/>
  <c r="Y52" i="26"/>
  <c r="Y57" i="26"/>
  <c r="Y60" i="26"/>
  <c r="Y65" i="26"/>
  <c r="Y68" i="26"/>
  <c r="Y76" i="26"/>
  <c r="Y10" i="27"/>
  <c r="Y34" i="27"/>
  <c r="Y39" i="27"/>
  <c r="Y47" i="27"/>
  <c r="Y18" i="28"/>
  <c r="Y20" i="28"/>
  <c r="Y30" i="28"/>
  <c r="Y32" i="28"/>
  <c r="Y52" i="31"/>
  <c r="Y9" i="32"/>
  <c r="Y36" i="32"/>
  <c r="Y56" i="32"/>
  <c r="X12" i="33"/>
  <c r="X77" i="34"/>
  <c r="AI72" i="44"/>
  <c r="X71" i="35"/>
  <c r="AE66" i="44"/>
  <c r="X7" i="36"/>
  <c r="AD2" i="44"/>
  <c r="AD2" i="45" s="1"/>
  <c r="X32" i="36"/>
  <c r="AD27" i="44"/>
  <c r="X8" i="36"/>
  <c r="AD3" i="44"/>
  <c r="X37" i="36"/>
  <c r="AD32" i="44"/>
  <c r="X77" i="36"/>
  <c r="AD72" i="44"/>
  <c r="X30" i="36"/>
  <c r="AD25" i="44"/>
  <c r="X55" i="36"/>
  <c r="AD50" i="44"/>
  <c r="X23" i="36"/>
  <c r="AD18" i="44"/>
  <c r="X54" i="36"/>
  <c r="AD49" i="44"/>
  <c r="X47" i="37"/>
  <c r="AN42" i="44"/>
  <c r="X32" i="37"/>
  <c r="AN27" i="44"/>
  <c r="X35" i="37"/>
  <c r="AN30" i="44"/>
  <c r="X38" i="1"/>
  <c r="Y39" i="23"/>
  <c r="X25" i="38"/>
  <c r="AO20" i="44"/>
  <c r="X9" i="38"/>
  <c r="AO4" i="44"/>
  <c r="X39" i="1"/>
  <c r="Y42" i="23"/>
  <c r="X78" i="41"/>
  <c r="AM73" i="44"/>
  <c r="X13" i="42"/>
  <c r="AJ8" i="44"/>
  <c r="X71" i="42"/>
  <c r="AJ66" i="44"/>
  <c r="X64" i="42"/>
  <c r="AJ59" i="44"/>
  <c r="X26" i="42"/>
  <c r="AJ21" i="44"/>
  <c r="X77" i="39"/>
  <c r="AK72" i="44"/>
  <c r="X79" i="43"/>
  <c r="AG74" i="44"/>
  <c r="X36" i="43"/>
  <c r="AG31" i="44"/>
  <c r="X18" i="42"/>
  <c r="AJ13" i="44"/>
  <c r="X59" i="43"/>
  <c r="AG54" i="44"/>
  <c r="X10" i="42"/>
  <c r="AJ5" i="44"/>
  <c r="X20" i="41"/>
  <c r="AM15" i="44"/>
  <c r="X61" i="38"/>
  <c r="AO56" i="44"/>
  <c r="X55" i="42"/>
  <c r="AJ50" i="44"/>
  <c r="X60" i="41"/>
  <c r="AM55" i="44"/>
  <c r="X46" i="40"/>
  <c r="AL41" i="44"/>
  <c r="X30" i="40"/>
  <c r="AL25" i="44"/>
  <c r="X14" i="40"/>
  <c r="AL9" i="44"/>
  <c r="X36" i="38"/>
  <c r="AO31" i="44"/>
  <c r="X26" i="34"/>
  <c r="AI21" i="44"/>
  <c r="X52" i="34"/>
  <c r="AI47" i="44"/>
  <c r="X46" i="33"/>
  <c r="AH41" i="44"/>
  <c r="AO46" i="44"/>
  <c r="X51" i="38"/>
  <c r="X70" i="37"/>
  <c r="AN65" i="44"/>
  <c r="X52" i="33"/>
  <c r="AH47" i="44"/>
  <c r="X30" i="43"/>
  <c r="AG25" i="44"/>
  <c r="X22" i="37"/>
  <c r="AN17" i="44"/>
  <c r="X51" i="34"/>
  <c r="AI46" i="44"/>
  <c r="X25" i="17"/>
  <c r="AA20" i="44"/>
  <c r="X62" i="20"/>
  <c r="O57" i="44"/>
  <c r="X61" i="21"/>
  <c r="U56" i="44"/>
  <c r="X76" i="34"/>
  <c r="AI71" i="44"/>
  <c r="X61" i="36"/>
  <c r="AD56" i="44"/>
  <c r="X15" i="36"/>
  <c r="AD10" i="44"/>
  <c r="X16" i="37"/>
  <c r="AN11" i="44"/>
  <c r="X39" i="38"/>
  <c r="AO34" i="44"/>
  <c r="X67" i="38"/>
  <c r="AO62" i="44"/>
  <c r="X49" i="41"/>
  <c r="AM44" i="44"/>
  <c r="X23" i="42"/>
  <c r="AJ18" i="44"/>
  <c r="X74" i="43"/>
  <c r="AG69" i="44"/>
  <c r="X63" i="41"/>
  <c r="AM58" i="44"/>
  <c r="X38" i="42"/>
  <c r="AJ33" i="44"/>
  <c r="X10" i="40"/>
  <c r="AL5" i="44"/>
  <c r="X28" i="38"/>
  <c r="AO23" i="44"/>
  <c r="X77" i="3"/>
  <c r="B72" i="44"/>
  <c r="X63" i="33"/>
  <c r="AH58" i="44"/>
  <c r="X20" i="36"/>
  <c r="AD15" i="44"/>
  <c r="X26" i="36"/>
  <c r="AD21" i="44"/>
  <c r="X29" i="37"/>
  <c r="AN24" i="44"/>
  <c r="X72" i="40"/>
  <c r="AL67" i="44"/>
  <c r="X79" i="41"/>
  <c r="AM74" i="44"/>
  <c r="X65" i="42"/>
  <c r="AJ60" i="44"/>
  <c r="AG19" i="44"/>
  <c r="X24" i="43"/>
  <c r="X22" i="43"/>
  <c r="AG17" i="44"/>
  <c r="X55" i="41"/>
  <c r="AM50" i="44"/>
  <c r="AO42" i="44"/>
  <c r="X47" i="38"/>
  <c r="X24" i="40"/>
  <c r="AL19" i="44"/>
  <c r="AN51" i="44"/>
  <c r="X56" i="37"/>
  <c r="X79" i="15"/>
  <c r="R74" i="44"/>
  <c r="X66" i="36"/>
  <c r="AD61" i="44"/>
  <c r="X64" i="36"/>
  <c r="AD59" i="44"/>
  <c r="X31" i="36"/>
  <c r="AD26" i="44"/>
  <c r="X48" i="37"/>
  <c r="AN43" i="44"/>
  <c r="X8" i="38"/>
  <c r="AO3" i="44"/>
  <c r="X17" i="41"/>
  <c r="AM12" i="44"/>
  <c r="X11" i="42"/>
  <c r="AJ6" i="44"/>
  <c r="X13" i="39"/>
  <c r="AK8" i="44"/>
  <c r="AJ19" i="44"/>
  <c r="X24" i="42"/>
  <c r="AM21" i="44"/>
  <c r="X26" i="41"/>
  <c r="X64" i="41"/>
  <c r="AM59" i="44"/>
  <c r="X16" i="39"/>
  <c r="AK11" i="44"/>
  <c r="X74" i="37"/>
  <c r="AN69" i="44"/>
  <c r="X60" i="39"/>
  <c r="AK55" i="44"/>
  <c r="X61" i="34"/>
  <c r="AI56" i="44"/>
  <c r="X62" i="4"/>
  <c r="D57" i="44"/>
  <c r="X53" i="18"/>
  <c r="J48" i="44"/>
  <c r="Y17" i="24"/>
  <c r="Y30" i="24"/>
  <c r="Y53" i="24"/>
  <c r="Y61" i="24"/>
  <c r="Y41" i="25"/>
  <c r="Y49" i="25"/>
  <c r="Y54" i="25"/>
  <c r="Y59" i="25"/>
  <c r="Y13" i="26"/>
  <c r="Y26" i="26"/>
  <c r="Y34" i="26"/>
  <c r="Y39" i="26"/>
  <c r="Y47" i="26"/>
  <c r="Y55" i="26"/>
  <c r="Y63" i="26"/>
  <c r="Y71" i="26"/>
  <c r="Y79" i="26"/>
  <c r="Y21" i="27"/>
  <c r="Y37" i="27"/>
  <c r="Y55" i="27"/>
  <c r="Y78" i="27"/>
  <c r="Y34" i="28"/>
  <c r="Y36" i="28"/>
  <c r="Y46" i="28"/>
  <c r="Y48" i="28"/>
  <c r="Y50" i="28"/>
  <c r="Y52" i="28"/>
  <c r="Y56" i="28"/>
  <c r="Y62" i="28"/>
  <c r="Y64" i="28"/>
  <c r="Y66" i="28"/>
  <c r="Y68" i="28"/>
  <c r="Y70" i="28"/>
  <c r="Y72" i="28"/>
  <c r="Y74" i="28"/>
  <c r="Y78" i="28"/>
  <c r="Y9" i="30"/>
  <c r="Y11" i="30"/>
  <c r="Y17" i="30"/>
  <c r="Y19" i="30"/>
  <c r="Y25" i="30"/>
  <c r="Y27" i="30"/>
  <c r="Y33" i="30"/>
  <c r="Y35" i="30"/>
  <c r="Y41" i="30"/>
  <c r="Y43" i="30"/>
  <c r="Y65" i="30"/>
  <c r="Y67" i="30"/>
  <c r="Y69" i="30"/>
  <c r="Y71" i="30"/>
  <c r="Y75" i="30"/>
  <c r="Y77" i="30"/>
  <c r="Y10" i="31"/>
  <c r="Y13" i="31"/>
  <c r="Y47" i="31"/>
  <c r="Y78" i="31"/>
  <c r="X14" i="32"/>
  <c r="Y21" i="32"/>
  <c r="Y24" i="32"/>
  <c r="X34" i="1"/>
  <c r="Y34" i="23"/>
  <c r="X35" i="1"/>
  <c r="Y36" i="23"/>
  <c r="X60" i="36"/>
  <c r="AD55" i="44"/>
  <c r="X28" i="36"/>
  <c r="AD23" i="44"/>
  <c r="X67" i="36"/>
  <c r="AD62" i="44"/>
  <c r="X33" i="36"/>
  <c r="AD28" i="44"/>
  <c r="X75" i="36"/>
  <c r="AD70" i="44"/>
  <c r="X18" i="36"/>
  <c r="AD13" i="44"/>
  <c r="X51" i="36"/>
  <c r="AD46" i="44"/>
  <c r="X19" i="36"/>
  <c r="AD14" i="44"/>
  <c r="X50" i="36"/>
  <c r="AD45" i="44"/>
  <c r="X39" i="37"/>
  <c r="AN34" i="44"/>
  <c r="X24" i="37"/>
  <c r="AN19" i="44"/>
  <c r="X27" i="37"/>
  <c r="AN22" i="44"/>
  <c r="X45" i="37"/>
  <c r="AN40" i="44"/>
  <c r="X17" i="38"/>
  <c r="AO12" i="44"/>
  <c r="X42" i="38"/>
  <c r="AO37" i="44"/>
  <c r="Y5" i="39"/>
  <c r="X56" i="41"/>
  <c r="AM51" i="44"/>
  <c r="X57" i="41"/>
  <c r="AM52" i="44"/>
  <c r="X76" i="41"/>
  <c r="AM71" i="44"/>
  <c r="X14" i="42"/>
  <c r="AJ9" i="44"/>
  <c r="X69" i="42"/>
  <c r="AJ64" i="44"/>
  <c r="X62" i="42"/>
  <c r="AJ57" i="44"/>
  <c r="X76" i="43"/>
  <c r="AG71" i="44"/>
  <c r="X75" i="43"/>
  <c r="AG70" i="44"/>
  <c r="AG51" i="44"/>
  <c r="X56" i="43"/>
  <c r="AM60" i="44"/>
  <c r="X65" i="41"/>
  <c r="X72" i="39"/>
  <c r="AK67" i="44"/>
  <c r="X77" i="43"/>
  <c r="AG72" i="44"/>
  <c r="AG26" i="44"/>
  <c r="X31" i="43"/>
  <c r="X59" i="41"/>
  <c r="AM54" i="44"/>
  <c r="AG38" i="44"/>
  <c r="X43" i="43"/>
  <c r="X70" i="41"/>
  <c r="AM65" i="44"/>
  <c r="X19" i="39"/>
  <c r="AK14" i="44"/>
  <c r="X54" i="38"/>
  <c r="AO49" i="44"/>
  <c r="AJ35" i="44"/>
  <c r="X40" i="42"/>
  <c r="X35" i="39"/>
  <c r="AK30" i="44"/>
  <c r="X44" i="40"/>
  <c r="AL39" i="44"/>
  <c r="X28" i="40"/>
  <c r="AL23" i="44"/>
  <c r="X66" i="38"/>
  <c r="AO61" i="44"/>
  <c r="X30" i="38"/>
  <c r="AO25" i="44"/>
  <c r="X19" i="42"/>
  <c r="AJ14" i="44"/>
  <c r="X58" i="39"/>
  <c r="AK53" i="44"/>
  <c r="X49" i="38"/>
  <c r="AO44" i="44"/>
  <c r="AN58" i="44"/>
  <c r="X63" i="37"/>
  <c r="AN63" i="44"/>
  <c r="X68" i="37"/>
  <c r="X28" i="43"/>
  <c r="AG23" i="44"/>
  <c r="X50" i="37"/>
  <c r="AN45" i="44"/>
  <c r="X18" i="37"/>
  <c r="AN13" i="44"/>
  <c r="X39" i="34"/>
  <c r="AI34" i="44"/>
  <c r="Y5" i="43"/>
  <c r="F8" i="43"/>
  <c r="E9" i="43"/>
  <c r="Y5" i="42"/>
  <c r="X12" i="42"/>
  <c r="F12" i="42"/>
  <c r="E13" i="42"/>
  <c r="Y5" i="41"/>
  <c r="Y5" i="40"/>
  <c r="F9" i="39"/>
  <c r="E10" i="39"/>
  <c r="F8" i="38"/>
  <c r="E9" i="38"/>
  <c r="Y5" i="38"/>
  <c r="Y5" i="37"/>
  <c r="X12" i="37"/>
  <c r="Y5" i="36"/>
  <c r="X12" i="36"/>
  <c r="F8" i="36"/>
  <c r="E9" i="36"/>
  <c r="Y5" i="35"/>
  <c r="F8" i="35"/>
  <c r="E9" i="35"/>
  <c r="Y5" i="34"/>
  <c r="E10" i="34"/>
  <c r="F9" i="34"/>
  <c r="Y5" i="33"/>
  <c r="F9" i="33"/>
  <c r="E10" i="33"/>
  <c r="W5" i="2"/>
  <c r="Y14" i="2"/>
  <c r="X14" i="2" s="1"/>
  <c r="Y22" i="2"/>
  <c r="X22" i="2" s="1"/>
  <c r="Y30" i="2"/>
  <c r="X30" i="2" s="1"/>
  <c r="Y38" i="2"/>
  <c r="X38" i="2" s="1"/>
  <c r="Y46" i="2"/>
  <c r="X46" i="2" s="1"/>
  <c r="Y54" i="2"/>
  <c r="X54" i="2" s="1"/>
  <c r="Y62" i="2"/>
  <c r="X62" i="2" s="1"/>
  <c r="Y70" i="2"/>
  <c r="X70" i="2" s="1"/>
  <c r="Y78" i="2"/>
  <c r="X78" i="2" s="1"/>
  <c r="Y10" i="32"/>
  <c r="Y42" i="32"/>
  <c r="Y19" i="32"/>
  <c r="Y28" i="32"/>
  <c r="Y51" i="32"/>
  <c r="Y60" i="32"/>
  <c r="Y76" i="32"/>
  <c r="E8" i="32"/>
  <c r="Y15" i="32"/>
  <c r="Y34" i="32"/>
  <c r="Y47" i="32"/>
  <c r="Y66" i="32"/>
  <c r="Y26" i="32"/>
  <c r="Y39" i="32"/>
  <c r="Y58" i="32"/>
  <c r="Y69" i="32"/>
  <c r="Y74" i="32"/>
  <c r="Y79" i="32"/>
  <c r="Y12" i="32"/>
  <c r="Q7" i="44" s="1"/>
  <c r="Y35" i="32"/>
  <c r="Y44" i="32"/>
  <c r="Y67" i="32"/>
  <c r="W5" i="32"/>
  <c r="Y18" i="32"/>
  <c r="Y31" i="32"/>
  <c r="Y50" i="32"/>
  <c r="Y63" i="32"/>
  <c r="W5" i="31"/>
  <c r="Y26" i="31"/>
  <c r="Y31" i="31"/>
  <c r="Y36" i="31"/>
  <c r="Y38" i="31"/>
  <c r="Y43" i="31"/>
  <c r="Y57" i="31"/>
  <c r="Y17" i="31"/>
  <c r="Y50" i="31"/>
  <c r="Y55" i="31"/>
  <c r="Y60" i="31"/>
  <c r="Y62" i="31"/>
  <c r="Y67" i="31"/>
  <c r="Y34" i="31"/>
  <c r="Y39" i="31"/>
  <c r="Y44" i="31"/>
  <c r="Y46" i="31"/>
  <c r="Y51" i="31"/>
  <c r="Y11" i="31"/>
  <c r="Y25" i="31"/>
  <c r="Y58" i="31"/>
  <c r="Y63" i="31"/>
  <c r="Y68" i="31"/>
  <c r="Y75" i="31"/>
  <c r="Y18" i="31"/>
  <c r="Y23" i="31"/>
  <c r="Y28" i="31"/>
  <c r="Y30" i="31"/>
  <c r="Y35" i="31"/>
  <c r="Y49" i="31"/>
  <c r="Y73" i="30"/>
  <c r="Y79" i="30"/>
  <c r="Y10" i="30"/>
  <c r="Y14" i="30"/>
  <c r="Y18" i="30"/>
  <c r="Y22" i="30"/>
  <c r="Y26" i="30"/>
  <c r="Y30" i="30"/>
  <c r="Y34" i="30"/>
  <c r="Y38" i="30"/>
  <c r="Y42" i="30"/>
  <c r="Y46" i="30"/>
  <c r="Y58" i="30"/>
  <c r="Y62" i="30"/>
  <c r="Y66" i="30"/>
  <c r="Y7" i="29"/>
  <c r="Y9" i="29"/>
  <c r="Y11" i="29"/>
  <c r="Y13" i="29"/>
  <c r="Y15" i="29"/>
  <c r="Y17" i="29"/>
  <c r="Y19" i="29"/>
  <c r="Y21" i="29"/>
  <c r="Y23" i="29"/>
  <c r="Y25" i="29"/>
  <c r="Y27" i="29"/>
  <c r="Y29" i="29"/>
  <c r="Y31" i="29"/>
  <c r="Y33" i="29"/>
  <c r="Y35" i="29"/>
  <c r="Y37" i="29"/>
  <c r="Y39" i="29"/>
  <c r="Y41" i="29"/>
  <c r="Y43" i="29"/>
  <c r="Y45" i="29"/>
  <c r="Y47" i="29"/>
  <c r="Y49" i="29"/>
  <c r="Y53" i="29"/>
  <c r="Y59" i="29"/>
  <c r="Y61" i="29"/>
  <c r="Y63" i="29"/>
  <c r="Y65" i="29"/>
  <c r="Y67" i="29"/>
  <c r="Y69" i="29"/>
  <c r="Y71" i="29"/>
  <c r="Y73" i="29"/>
  <c r="Y75" i="29"/>
  <c r="Y77" i="29"/>
  <c r="Y79" i="29"/>
  <c r="Y8" i="28"/>
  <c r="Y13" i="28"/>
  <c r="Y29" i="28"/>
  <c r="Y45" i="28"/>
  <c r="Y15" i="28"/>
  <c r="Y22" i="28"/>
  <c r="Y24" i="28"/>
  <c r="Y31" i="28"/>
  <c r="Y38" i="28"/>
  <c r="Y40" i="28"/>
  <c r="Y47" i="28"/>
  <c r="Y49" i="28"/>
  <c r="Y54" i="28"/>
  <c r="Y63" i="28"/>
  <c r="Y10" i="28"/>
  <c r="Y26" i="28"/>
  <c r="Y42" i="28"/>
  <c r="Y65" i="28"/>
  <c r="Z5" i="28"/>
  <c r="Y7" i="28"/>
  <c r="Y12" i="28"/>
  <c r="Y19" i="28"/>
  <c r="Y28" i="28"/>
  <c r="Y35" i="28"/>
  <c r="Y44" i="28"/>
  <c r="Y51" i="28"/>
  <c r="Y58" i="28"/>
  <c r="Y67" i="28"/>
  <c r="Y21" i="28"/>
  <c r="Y37" i="28"/>
  <c r="Y53" i="28"/>
  <c r="Y60" i="28"/>
  <c r="Y69" i="28"/>
  <c r="Y71" i="28"/>
  <c r="Y73" i="28"/>
  <c r="Y75" i="28"/>
  <c r="Y77" i="28"/>
  <c r="Y79" i="28"/>
  <c r="Y20" i="27"/>
  <c r="Y27" i="27"/>
  <c r="Y75" i="27"/>
  <c r="Y18" i="27"/>
  <c r="Y44" i="27"/>
  <c r="Y51" i="27"/>
  <c r="Y56" i="27"/>
  <c r="Y61" i="27"/>
  <c r="Y63" i="27"/>
  <c r="Y70" i="27"/>
  <c r="V5" i="27"/>
  <c r="Y60" i="27"/>
  <c r="Y11" i="27"/>
  <c r="Y42" i="27"/>
  <c r="Y68" i="27"/>
  <c r="Y71" i="27"/>
  <c r="Y67" i="27"/>
  <c r="Y28" i="27"/>
  <c r="Y35" i="27"/>
  <c r="Y7" i="27"/>
  <c r="Y26" i="27"/>
  <c r="Y52" i="27"/>
  <c r="Y59" i="27"/>
  <c r="Y64" i="27"/>
  <c r="Y74" i="27"/>
  <c r="Y12" i="27"/>
  <c r="AB7" i="44" s="1"/>
  <c r="Y19" i="27"/>
  <c r="Y24" i="27"/>
  <c r="Y29" i="27"/>
  <c r="Y31" i="27"/>
  <c r="Y50" i="27"/>
  <c r="Y72" i="27"/>
  <c r="Y77" i="27"/>
  <c r="Y79" i="27"/>
  <c r="W5" i="26"/>
  <c r="Y11" i="26"/>
  <c r="Y27" i="26"/>
  <c r="Y43" i="26"/>
  <c r="Y50" i="26"/>
  <c r="Y59" i="26"/>
  <c r="Y75" i="26"/>
  <c r="Y12" i="26"/>
  <c r="Z7" i="44" s="1"/>
  <c r="Y14" i="26"/>
  <c r="Y28" i="26"/>
  <c r="Y30" i="26"/>
  <c r="Y44" i="26"/>
  <c r="Y46" i="26"/>
  <c r="Y48" i="26"/>
  <c r="Y19" i="26"/>
  <c r="Y35" i="26"/>
  <c r="Y58" i="26"/>
  <c r="Y67" i="26"/>
  <c r="Y74" i="26"/>
  <c r="Y10" i="25"/>
  <c r="Y25" i="25"/>
  <c r="Y11" i="25"/>
  <c r="Y15" i="25"/>
  <c r="Y32" i="25"/>
  <c r="Y39" i="25"/>
  <c r="Y58" i="25"/>
  <c r="Y67" i="25"/>
  <c r="Y66" i="25"/>
  <c r="Y20" i="25"/>
  <c r="Y44" i="25"/>
  <c r="Y19" i="25"/>
  <c r="Y12" i="25"/>
  <c r="AC7" i="44" s="1"/>
  <c r="Y27" i="25"/>
  <c r="Y68" i="25"/>
  <c r="W5" i="25"/>
  <c r="Y18" i="25"/>
  <c r="Y42" i="25"/>
  <c r="Y51" i="25"/>
  <c r="Y55" i="25"/>
  <c r="Y74" i="25"/>
  <c r="F44" i="24"/>
  <c r="F50" i="24"/>
  <c r="Y65" i="24"/>
  <c r="Y75" i="24"/>
  <c r="F8" i="24"/>
  <c r="F24" i="24"/>
  <c r="F40" i="24"/>
  <c r="F56" i="24"/>
  <c r="F62" i="24"/>
  <c r="Y27" i="24"/>
  <c r="Y32" i="24"/>
  <c r="Y37" i="24"/>
  <c r="Y39" i="24"/>
  <c r="Y44" i="24"/>
  <c r="F22" i="24"/>
  <c r="Y43" i="24"/>
  <c r="Y62" i="24"/>
  <c r="F18" i="24"/>
  <c r="F34" i="24"/>
  <c r="F14" i="24"/>
  <c r="F30" i="24"/>
  <c r="F46" i="24"/>
  <c r="Y18" i="24"/>
  <c r="Y51" i="24"/>
  <c r="Y56" i="24"/>
  <c r="Y69" i="24"/>
  <c r="Y71" i="24"/>
  <c r="F7" i="24"/>
  <c r="V5" i="24"/>
  <c r="F20" i="24"/>
  <c r="F36" i="24"/>
  <c r="F52" i="24"/>
  <c r="F10" i="24"/>
  <c r="F26" i="24"/>
  <c r="F42" i="24"/>
  <c r="F58" i="24"/>
  <c r="Y35" i="24"/>
  <c r="Y40" i="24"/>
  <c r="Y45" i="24"/>
  <c r="Y47" i="24"/>
  <c r="Y52" i="24"/>
  <c r="Y74" i="24"/>
  <c r="F38" i="24"/>
  <c r="F54" i="24"/>
  <c r="F66" i="24"/>
  <c r="F12" i="24"/>
  <c r="F28" i="24"/>
  <c r="F16" i="24"/>
  <c r="F32" i="24"/>
  <c r="F48" i="24"/>
  <c r="Y7" i="24"/>
  <c r="Y12" i="24"/>
  <c r="P7" i="44" s="1"/>
  <c r="Y26" i="24"/>
  <c r="Y59" i="24"/>
  <c r="Y72" i="24"/>
  <c r="Y77" i="24"/>
  <c r="Y79" i="24"/>
  <c r="V5" i="22"/>
  <c r="Y14" i="22"/>
  <c r="Y22" i="22"/>
  <c r="Y30" i="22"/>
  <c r="Y38" i="22"/>
  <c r="Y46" i="22"/>
  <c r="Y54" i="22"/>
  <c r="Y62" i="22"/>
  <c r="Y70" i="22"/>
  <c r="Y78" i="22"/>
  <c r="Y9" i="22"/>
  <c r="W5" i="22"/>
  <c r="Y17" i="22"/>
  <c r="Y25" i="22"/>
  <c r="Y33" i="22"/>
  <c r="Y41" i="22"/>
  <c r="Y49" i="22"/>
  <c r="Y57" i="22"/>
  <c r="Y65" i="22"/>
  <c r="Y73" i="22"/>
  <c r="Y16" i="21"/>
  <c r="Y40" i="21"/>
  <c r="Y56" i="21"/>
  <c r="Y64" i="21"/>
  <c r="Y72" i="21"/>
  <c r="P23" i="1"/>
  <c r="H23" i="1"/>
  <c r="Y14" i="21"/>
  <c r="Y22" i="21"/>
  <c r="Y30" i="21"/>
  <c r="Y38" i="21"/>
  <c r="Y46" i="21"/>
  <c r="Y54" i="21"/>
  <c r="Y62" i="21"/>
  <c r="Y70" i="21"/>
  <c r="Y78" i="21"/>
  <c r="K23" i="1"/>
  <c r="Y32" i="21"/>
  <c r="G23" i="1"/>
  <c r="W5" i="21"/>
  <c r="U22" i="23" s="1"/>
  <c r="Y8" i="21"/>
  <c r="Y24" i="21"/>
  <c r="S23" i="1"/>
  <c r="Y48" i="21"/>
  <c r="Y9" i="20"/>
  <c r="Y25" i="20"/>
  <c r="Y33" i="20"/>
  <c r="Y41" i="20"/>
  <c r="Y49" i="20"/>
  <c r="Y57" i="20"/>
  <c r="Y65" i="20"/>
  <c r="Y73" i="20"/>
  <c r="O22" i="1"/>
  <c r="G22" i="1"/>
  <c r="N22" i="1"/>
  <c r="W5" i="20"/>
  <c r="U15" i="23" s="1"/>
  <c r="J22" i="1"/>
  <c r="Y11" i="20"/>
  <c r="Y19" i="20"/>
  <c r="Y27" i="20"/>
  <c r="Y35" i="20"/>
  <c r="Y43" i="20"/>
  <c r="Y51" i="20"/>
  <c r="Y59" i="20"/>
  <c r="Y67" i="20"/>
  <c r="Y75" i="20"/>
  <c r="M21" i="1"/>
  <c r="E21" i="1"/>
  <c r="Y13" i="19"/>
  <c r="Y21" i="19"/>
  <c r="Y29" i="19"/>
  <c r="Y37" i="19"/>
  <c r="Y45" i="19"/>
  <c r="Y53" i="19"/>
  <c r="Y69" i="19"/>
  <c r="Y77" i="19"/>
  <c r="L21" i="1"/>
  <c r="D21" i="1"/>
  <c r="Y8" i="19"/>
  <c r="Y16" i="19"/>
  <c r="Y24" i="19"/>
  <c r="Y32" i="19"/>
  <c r="Y40" i="19"/>
  <c r="Y48" i="19"/>
  <c r="Y56" i="19"/>
  <c r="Y64" i="19"/>
  <c r="Y72" i="19"/>
  <c r="E8" i="19"/>
  <c r="F8" i="19" s="1"/>
  <c r="Y9" i="19"/>
  <c r="W5" i="19"/>
  <c r="U26" i="23" s="1"/>
  <c r="Y17" i="19"/>
  <c r="Y25" i="19"/>
  <c r="Y33" i="19"/>
  <c r="Y41" i="19"/>
  <c r="Y49" i="19"/>
  <c r="Y57" i="19"/>
  <c r="Y65" i="19"/>
  <c r="Y73" i="19"/>
  <c r="Y61" i="19"/>
  <c r="P21" i="1"/>
  <c r="H21" i="1"/>
  <c r="O20" i="1"/>
  <c r="G20" i="1"/>
  <c r="Y13" i="18"/>
  <c r="Y21" i="18"/>
  <c r="Y29" i="18"/>
  <c r="Y32" i="18"/>
  <c r="Y40" i="18"/>
  <c r="Y48" i="18"/>
  <c r="Y56" i="18"/>
  <c r="Y64" i="18"/>
  <c r="Y72" i="18"/>
  <c r="N20" i="1"/>
  <c r="F20" i="1"/>
  <c r="Y14" i="18"/>
  <c r="Y22" i="18"/>
  <c r="Y9" i="18"/>
  <c r="W5" i="18"/>
  <c r="U13" i="23" s="1"/>
  <c r="Y17" i="18"/>
  <c r="Y25" i="18"/>
  <c r="Y30" i="18"/>
  <c r="Y38" i="18"/>
  <c r="Y46" i="18"/>
  <c r="Y54" i="18"/>
  <c r="Y62" i="18"/>
  <c r="Y70" i="18"/>
  <c r="Y78" i="18"/>
  <c r="S19" i="1"/>
  <c r="K19" i="1"/>
  <c r="C19" i="1"/>
  <c r="R19" i="1"/>
  <c r="J19" i="1"/>
  <c r="W5" i="17"/>
  <c r="U28" i="23" s="1"/>
  <c r="E8" i="17"/>
  <c r="E9" i="17" s="1"/>
  <c r="F9" i="17" s="1"/>
  <c r="N19" i="1"/>
  <c r="F19" i="1"/>
  <c r="Y14" i="17"/>
  <c r="Y22" i="17"/>
  <c r="Y30" i="17"/>
  <c r="Y38" i="17"/>
  <c r="Y46" i="17"/>
  <c r="Y54" i="17"/>
  <c r="Y62" i="17"/>
  <c r="Y70" i="17"/>
  <c r="Y78" i="17"/>
  <c r="O18" i="1"/>
  <c r="G18" i="1"/>
  <c r="Y9" i="16"/>
  <c r="Y17" i="16"/>
  <c r="Y25" i="16"/>
  <c r="Y33" i="16"/>
  <c r="Y41" i="16"/>
  <c r="Y49" i="16"/>
  <c r="Y57" i="16"/>
  <c r="Y65" i="16"/>
  <c r="Y73" i="16"/>
  <c r="F8" i="16"/>
  <c r="M18" i="1"/>
  <c r="E18" i="1"/>
  <c r="E10" i="16"/>
  <c r="E11" i="16" s="1"/>
  <c r="E12" i="16" s="1"/>
  <c r="S18" i="1"/>
  <c r="K18" i="1"/>
  <c r="C18" i="1"/>
  <c r="W5" i="16"/>
  <c r="U19" i="23" s="1"/>
  <c r="R17" i="1"/>
  <c r="J17" i="1"/>
  <c r="S17" i="1"/>
  <c r="C17" i="1"/>
  <c r="K17" i="1"/>
  <c r="Y12" i="15"/>
  <c r="Y20" i="15"/>
  <c r="Y28" i="15"/>
  <c r="Y36" i="15"/>
  <c r="Y44" i="15"/>
  <c r="Y52" i="15"/>
  <c r="Y60" i="15"/>
  <c r="Y68" i="15"/>
  <c r="Y76" i="15"/>
  <c r="F7" i="14"/>
  <c r="W5" i="14"/>
  <c r="U25" i="23" s="1"/>
  <c r="L16" i="1"/>
  <c r="D16" i="1"/>
  <c r="Y14" i="14"/>
  <c r="Y22" i="14"/>
  <c r="Y30" i="14"/>
  <c r="Y38" i="14"/>
  <c r="Y46" i="14"/>
  <c r="Y54" i="14"/>
  <c r="Y62" i="14"/>
  <c r="Y70" i="14"/>
  <c r="Y78" i="14"/>
  <c r="Y9" i="14"/>
  <c r="Y17" i="14"/>
  <c r="Y25" i="14"/>
  <c r="Y33" i="14"/>
  <c r="Y41" i="14"/>
  <c r="Y49" i="14"/>
  <c r="Y57" i="14"/>
  <c r="Y65" i="14"/>
  <c r="Y73" i="14"/>
  <c r="Y38" i="13"/>
  <c r="Y70" i="13"/>
  <c r="Y17" i="13"/>
  <c r="Y41" i="13"/>
  <c r="Y49" i="13"/>
  <c r="Y57" i="13"/>
  <c r="Y65" i="13"/>
  <c r="Y73" i="13"/>
  <c r="Y14" i="13"/>
  <c r="Y54" i="13"/>
  <c r="Y78" i="13"/>
  <c r="Y30" i="13"/>
  <c r="Y25" i="13"/>
  <c r="W5" i="13"/>
  <c r="U14" i="23" s="1"/>
  <c r="Y46" i="13"/>
  <c r="Y62" i="13"/>
  <c r="Y9" i="13"/>
  <c r="Y33" i="13"/>
  <c r="S15" i="1"/>
  <c r="K15" i="1"/>
  <c r="C15" i="1"/>
  <c r="Y22" i="13"/>
  <c r="Y21" i="12"/>
  <c r="Y53" i="12"/>
  <c r="Y61" i="12"/>
  <c r="I56" i="44" s="1"/>
  <c r="Y77" i="12"/>
  <c r="N14" i="1"/>
  <c r="F14" i="1"/>
  <c r="Y8" i="12"/>
  <c r="Y16" i="12"/>
  <c r="Y24" i="12"/>
  <c r="Y32" i="12"/>
  <c r="Y40" i="12"/>
  <c r="Y48" i="12"/>
  <c r="Y56" i="12"/>
  <c r="Y64" i="12"/>
  <c r="Y72" i="12"/>
  <c r="P14" i="1"/>
  <c r="Y29" i="12"/>
  <c r="Y69" i="12"/>
  <c r="H14" i="1"/>
  <c r="Y37" i="12"/>
  <c r="Y45" i="12"/>
  <c r="Y9" i="12"/>
  <c r="W5" i="12"/>
  <c r="U12" i="23" s="1"/>
  <c r="Y17" i="12"/>
  <c r="Y25" i="12"/>
  <c r="Y33" i="12"/>
  <c r="Y41" i="12"/>
  <c r="Y49" i="12"/>
  <c r="Y57" i="12"/>
  <c r="Y65" i="12"/>
  <c r="Y73" i="12"/>
  <c r="Y13" i="12"/>
  <c r="E8" i="12"/>
  <c r="R14" i="1"/>
  <c r="J14" i="1"/>
  <c r="Y14" i="11"/>
  <c r="Y17" i="11"/>
  <c r="Y25" i="11"/>
  <c r="Y49" i="11"/>
  <c r="Y57" i="11"/>
  <c r="Y65" i="11"/>
  <c r="Y73" i="11"/>
  <c r="Y38" i="11"/>
  <c r="Y78" i="11"/>
  <c r="W5" i="11"/>
  <c r="U11" i="23" s="1"/>
  <c r="Y41" i="11"/>
  <c r="Y30" i="11"/>
  <c r="Y62" i="11"/>
  <c r="Y9" i="11"/>
  <c r="Y33" i="11"/>
  <c r="I13" i="1"/>
  <c r="Y46" i="11"/>
  <c r="Y70" i="11"/>
  <c r="Q13" i="1"/>
  <c r="P13" i="1"/>
  <c r="H13" i="1"/>
  <c r="Y22" i="11"/>
  <c r="Y54" i="11"/>
  <c r="E8" i="11"/>
  <c r="F8" i="11" s="1"/>
  <c r="Y8" i="11"/>
  <c r="Y16" i="11"/>
  <c r="Y24" i="11"/>
  <c r="Y32" i="11"/>
  <c r="Y40" i="11"/>
  <c r="Y48" i="11"/>
  <c r="Y56" i="11"/>
  <c r="Y64" i="11"/>
  <c r="Y72" i="11"/>
  <c r="U12" i="1"/>
  <c r="Y10" i="10"/>
  <c r="E8" i="10"/>
  <c r="F8" i="10" s="1"/>
  <c r="O12" i="1"/>
  <c r="G12" i="1"/>
  <c r="T12" i="1"/>
  <c r="Y18" i="10"/>
  <c r="N12" i="1"/>
  <c r="F12" i="1"/>
  <c r="Y34" i="10"/>
  <c r="Y26" i="10"/>
  <c r="Y20" i="10"/>
  <c r="Y28" i="10"/>
  <c r="Y36" i="10"/>
  <c r="Y44" i="10"/>
  <c r="Y52" i="10"/>
  <c r="Y60" i="10"/>
  <c r="Q11" i="1"/>
  <c r="Y8" i="9"/>
  <c r="Y16" i="9"/>
  <c r="Y24" i="9"/>
  <c r="Y32" i="9"/>
  <c r="Y40" i="9"/>
  <c r="Y48" i="9"/>
  <c r="Y56" i="9"/>
  <c r="Y64" i="9"/>
  <c r="Y72" i="9"/>
  <c r="Y19" i="9"/>
  <c r="N11" i="1"/>
  <c r="F11" i="1"/>
  <c r="Y11" i="9"/>
  <c r="E8" i="9"/>
  <c r="Y9" i="9"/>
  <c r="W5" i="9"/>
  <c r="U7" i="23" s="1"/>
  <c r="Y17" i="9"/>
  <c r="Y25" i="9"/>
  <c r="Y33" i="9"/>
  <c r="Y41" i="9"/>
  <c r="Y49" i="9"/>
  <c r="Y57" i="9"/>
  <c r="Y65" i="9"/>
  <c r="Y73" i="9"/>
  <c r="Y27" i="9"/>
  <c r="Y14" i="8"/>
  <c r="Y22" i="8"/>
  <c r="Y30" i="8"/>
  <c r="Y38" i="8"/>
  <c r="Y46" i="8"/>
  <c r="Y54" i="8"/>
  <c r="Y62" i="8"/>
  <c r="Y70" i="8"/>
  <c r="Y78" i="8"/>
  <c r="N10" i="1"/>
  <c r="F10" i="1"/>
  <c r="M10" i="1"/>
  <c r="E10" i="1"/>
  <c r="W5" i="8"/>
  <c r="U8" i="23" s="1"/>
  <c r="Y41" i="7"/>
  <c r="Y57" i="7"/>
  <c r="Y12" i="7"/>
  <c r="L7" i="44" s="1"/>
  <c r="Y20" i="7"/>
  <c r="Y28" i="7"/>
  <c r="Y36" i="7"/>
  <c r="Y44" i="7"/>
  <c r="Y52" i="7"/>
  <c r="Y60" i="7"/>
  <c r="Y68" i="7"/>
  <c r="Y76" i="7"/>
  <c r="Y7" i="7"/>
  <c r="V5" i="7"/>
  <c r="T10" i="23" s="1"/>
  <c r="Y15" i="7"/>
  <c r="Y23" i="7"/>
  <c r="Y31" i="7"/>
  <c r="Y39" i="7"/>
  <c r="Y47" i="7"/>
  <c r="Y55" i="7"/>
  <c r="Y63" i="7"/>
  <c r="Y71" i="7"/>
  <c r="Y25" i="7"/>
  <c r="Y65" i="7"/>
  <c r="L9" i="1"/>
  <c r="D9" i="1"/>
  <c r="Y9" i="7"/>
  <c r="Y49" i="7"/>
  <c r="S9" i="1"/>
  <c r="K9" i="1"/>
  <c r="C9" i="1"/>
  <c r="Y17" i="7"/>
  <c r="Y33" i="7"/>
  <c r="Y73" i="7"/>
  <c r="W5" i="7"/>
  <c r="U10" i="23" s="1"/>
  <c r="R8" i="1"/>
  <c r="J8" i="1"/>
  <c r="Y14" i="6"/>
  <c r="Y22" i="6"/>
  <c r="Y30" i="6"/>
  <c r="Y38" i="6"/>
  <c r="Y46" i="6"/>
  <c r="Y54" i="6"/>
  <c r="Y62" i="6"/>
  <c r="Y70" i="6"/>
  <c r="Y78" i="6"/>
  <c r="Q8" i="1"/>
  <c r="I8" i="1"/>
  <c r="Y9" i="6"/>
  <c r="W5" i="6"/>
  <c r="U6" i="23" s="1"/>
  <c r="Y17" i="6"/>
  <c r="Y25" i="6"/>
  <c r="Y33" i="6"/>
  <c r="Y41" i="6"/>
  <c r="Y49" i="6"/>
  <c r="Y57" i="6"/>
  <c r="Y65" i="6"/>
  <c r="Y73" i="6"/>
  <c r="V5" i="6"/>
  <c r="T6" i="23" s="1"/>
  <c r="P7" i="1"/>
  <c r="H7" i="1"/>
  <c r="Y13" i="5"/>
  <c r="Y21" i="5"/>
  <c r="Y29" i="5"/>
  <c r="Y37" i="5"/>
  <c r="Y45" i="5"/>
  <c r="Y53" i="5"/>
  <c r="Y61" i="5"/>
  <c r="Y69" i="5"/>
  <c r="I7" i="1"/>
  <c r="Y16" i="5"/>
  <c r="Y40" i="5"/>
  <c r="Y56" i="5"/>
  <c r="Y8" i="5"/>
  <c r="Y24" i="5"/>
  <c r="Y48" i="5"/>
  <c r="Y14" i="5"/>
  <c r="Y22" i="5"/>
  <c r="Y30" i="5"/>
  <c r="Y38" i="5"/>
  <c r="Y46" i="5"/>
  <c r="Y54" i="5"/>
  <c r="Y62" i="5"/>
  <c r="Y70" i="5"/>
  <c r="Y32" i="5"/>
  <c r="Y64" i="5"/>
  <c r="Y9" i="5"/>
  <c r="W5" i="5"/>
  <c r="U4" i="23" s="1"/>
  <c r="Y17" i="5"/>
  <c r="Y25" i="5"/>
  <c r="Y33" i="5"/>
  <c r="Y41" i="5"/>
  <c r="Y49" i="5"/>
  <c r="Y57" i="5"/>
  <c r="Y65" i="5"/>
  <c r="Y78" i="5"/>
  <c r="O6" i="1"/>
  <c r="G6" i="1"/>
  <c r="Y14" i="4"/>
  <c r="H6" i="1"/>
  <c r="W5" i="4"/>
  <c r="U5" i="23" s="1"/>
  <c r="Y25" i="4"/>
  <c r="Y33" i="4"/>
  <c r="Y41" i="4"/>
  <c r="Y49" i="4"/>
  <c r="Y57" i="4"/>
  <c r="Y65" i="4"/>
  <c r="Y73" i="4"/>
  <c r="V5" i="4"/>
  <c r="T5" i="23" s="1"/>
  <c r="S5" i="1"/>
  <c r="K5" i="1"/>
  <c r="Y76" i="3"/>
  <c r="Y68" i="3"/>
  <c r="Y60" i="3"/>
  <c r="Y52" i="3"/>
  <c r="Y43" i="3"/>
  <c r="Y35" i="3"/>
  <c r="Y27" i="3"/>
  <c r="Y19" i="3"/>
  <c r="Y11" i="3"/>
  <c r="Y75" i="3"/>
  <c r="Y67" i="3"/>
  <c r="Y59" i="3"/>
  <c r="Y51" i="3"/>
  <c r="Y42" i="3"/>
  <c r="Y34" i="3"/>
  <c r="Y26" i="3"/>
  <c r="Y18" i="3"/>
  <c r="Y10" i="3"/>
  <c r="P5" i="1"/>
  <c r="H5" i="1"/>
  <c r="Y74" i="3"/>
  <c r="Y66" i="3"/>
  <c r="Y58" i="3"/>
  <c r="Y50" i="3"/>
  <c r="Y41" i="3"/>
  <c r="Y33" i="3"/>
  <c r="Y25" i="3"/>
  <c r="Y17" i="3"/>
  <c r="Y9" i="3"/>
  <c r="Y45" i="3"/>
  <c r="Y72" i="3"/>
  <c r="Y64" i="3"/>
  <c r="Y56" i="3"/>
  <c r="Y48" i="3"/>
  <c r="Y39" i="3"/>
  <c r="Y31" i="3"/>
  <c r="Y23" i="3"/>
  <c r="Y15" i="3"/>
  <c r="Y7" i="3"/>
  <c r="G5" i="1"/>
  <c r="M5" i="1"/>
  <c r="Y79" i="3"/>
  <c r="Y71" i="3"/>
  <c r="Y63" i="3"/>
  <c r="Y55" i="3"/>
  <c r="Y47" i="3"/>
  <c r="Y38" i="3"/>
  <c r="Y30" i="3"/>
  <c r="Y22" i="3"/>
  <c r="Y14" i="3"/>
  <c r="Y78" i="3"/>
  <c r="Y70" i="3"/>
  <c r="Y62" i="3"/>
  <c r="Y54" i="3"/>
  <c r="Y46" i="3"/>
  <c r="Y37" i="3"/>
  <c r="Y29" i="3"/>
  <c r="Y21" i="3"/>
  <c r="Y13" i="3"/>
  <c r="Y68" i="32"/>
  <c r="Y71" i="32"/>
  <c r="Y75" i="32"/>
  <c r="Z5" i="32"/>
  <c r="V5" i="32"/>
  <c r="Y71" i="31"/>
  <c r="Y70" i="31"/>
  <c r="Y66" i="31"/>
  <c r="Z5" i="31"/>
  <c r="Y65" i="31"/>
  <c r="V5" i="31"/>
  <c r="E8" i="31"/>
  <c r="Y54" i="30"/>
  <c r="Y50" i="30"/>
  <c r="Z5" i="30"/>
  <c r="W5" i="30"/>
  <c r="Y49" i="30"/>
  <c r="Y51" i="30"/>
  <c r="Y57" i="30"/>
  <c r="Y59" i="30"/>
  <c r="Y7" i="30"/>
  <c r="Y15" i="30"/>
  <c r="Y23" i="30"/>
  <c r="Y31" i="30"/>
  <c r="Y39" i="30"/>
  <c r="Y47" i="30"/>
  <c r="Y55" i="30"/>
  <c r="Y63" i="30"/>
  <c r="Y68" i="30"/>
  <c r="Y70" i="30"/>
  <c r="Y72" i="30"/>
  <c r="Y74" i="30"/>
  <c r="Y76" i="30"/>
  <c r="Y78" i="30"/>
  <c r="Y12" i="30"/>
  <c r="X7" i="44" s="1"/>
  <c r="Y20" i="30"/>
  <c r="Y28" i="30"/>
  <c r="Y36" i="30"/>
  <c r="Y44" i="30"/>
  <c r="Y52" i="30"/>
  <c r="Y60" i="30"/>
  <c r="Y8" i="30"/>
  <c r="Y16" i="30"/>
  <c r="Y24" i="30"/>
  <c r="Y32" i="30"/>
  <c r="Y40" i="30"/>
  <c r="Y48" i="30"/>
  <c r="Y56" i="30"/>
  <c r="Y64" i="30"/>
  <c r="V5" i="30"/>
  <c r="E8" i="30"/>
  <c r="Y13" i="30"/>
  <c r="Y21" i="30"/>
  <c r="Y29" i="30"/>
  <c r="Y37" i="30"/>
  <c r="Y45" i="30"/>
  <c r="Y53" i="30"/>
  <c r="Y61" i="30"/>
  <c r="Y55" i="29"/>
  <c r="Z5" i="29"/>
  <c r="Y57" i="29"/>
  <c r="Y51" i="29"/>
  <c r="W5" i="29"/>
  <c r="Y48" i="29"/>
  <c r="Y50" i="29"/>
  <c r="Y52" i="29"/>
  <c r="Y54" i="29"/>
  <c r="Y56" i="29"/>
  <c r="Y58" i="29"/>
  <c r="Y60" i="29"/>
  <c r="Y62" i="29"/>
  <c r="V5" i="29"/>
  <c r="F8" i="29"/>
  <c r="E9" i="29"/>
  <c r="F7" i="29"/>
  <c r="Y76" i="28"/>
  <c r="W5" i="28"/>
  <c r="V5" i="28"/>
  <c r="Y66" i="27"/>
  <c r="Y69" i="27"/>
  <c r="Z5" i="27"/>
  <c r="Y13" i="27"/>
  <c r="W5" i="27"/>
  <c r="E9" i="27"/>
  <c r="F8" i="27"/>
  <c r="F7" i="27"/>
  <c r="Y51" i="26"/>
  <c r="Z5" i="26"/>
  <c r="V5" i="26"/>
  <c r="Y31" i="25"/>
  <c r="Y36" i="25"/>
  <c r="Y35" i="25"/>
  <c r="Y26" i="25"/>
  <c r="Z5" i="25"/>
  <c r="Y34" i="25"/>
  <c r="V5" i="25"/>
  <c r="E8" i="25"/>
  <c r="Y60" i="24"/>
  <c r="Y68" i="24"/>
  <c r="Y67" i="24"/>
  <c r="Y66" i="24"/>
  <c r="Y64" i="24"/>
  <c r="Z5" i="24"/>
  <c r="Y13" i="24"/>
  <c r="F68" i="24"/>
  <c r="F76" i="24"/>
  <c r="F64" i="24"/>
  <c r="F71" i="24"/>
  <c r="F60" i="24"/>
  <c r="F72" i="24"/>
  <c r="F69" i="24"/>
  <c r="F77" i="24"/>
  <c r="F9" i="24"/>
  <c r="F13" i="24"/>
  <c r="F17" i="24"/>
  <c r="F21" i="24"/>
  <c r="F25" i="24"/>
  <c r="F29" i="24"/>
  <c r="F33" i="24"/>
  <c r="F37" i="24"/>
  <c r="F41" i="24"/>
  <c r="F45" i="24"/>
  <c r="F49" i="24"/>
  <c r="F53" i="24"/>
  <c r="F57" i="24"/>
  <c r="F61" i="24"/>
  <c r="F65" i="24"/>
  <c r="F74" i="24"/>
  <c r="F11" i="24"/>
  <c r="F15" i="24"/>
  <c r="F19" i="24"/>
  <c r="F23" i="24"/>
  <c r="F27" i="24"/>
  <c r="F31" i="24"/>
  <c r="F35" i="24"/>
  <c r="F39" i="24"/>
  <c r="F43" i="24"/>
  <c r="F47" i="24"/>
  <c r="F51" i="24"/>
  <c r="F55" i="24"/>
  <c r="F59" i="24"/>
  <c r="F63" i="24"/>
  <c r="F67" i="24"/>
  <c r="F70" i="24"/>
  <c r="F78" i="24"/>
  <c r="F73" i="24"/>
  <c r="F75" i="24"/>
  <c r="D10" i="1"/>
  <c r="Y75" i="6"/>
  <c r="Y27" i="8"/>
  <c r="Y27" i="17"/>
  <c r="Y75" i="17"/>
  <c r="Y26" i="18"/>
  <c r="Y37" i="9"/>
  <c r="Y78" i="10"/>
  <c r="Y13" i="11"/>
  <c r="Y17" i="15"/>
  <c r="Y74" i="21"/>
  <c r="Y18" i="4"/>
  <c r="Y66" i="4"/>
  <c r="Y27" i="7"/>
  <c r="Y42" i="7"/>
  <c r="Y70" i="9"/>
  <c r="Y23" i="12"/>
  <c r="Y26" i="19"/>
  <c r="Y39" i="14"/>
  <c r="Y11" i="14"/>
  <c r="Y19" i="21"/>
  <c r="Y19" i="4"/>
  <c r="Y18" i="6"/>
  <c r="Y55" i="6"/>
  <c r="Y10" i="12"/>
  <c r="Y43" i="5"/>
  <c r="Y37" i="8"/>
  <c r="Y68" i="11"/>
  <c r="Y7" i="13"/>
  <c r="Y12" i="13"/>
  <c r="Y67" i="19"/>
  <c r="Y11" i="4"/>
  <c r="Y50" i="4"/>
  <c r="Y71" i="4"/>
  <c r="Y58" i="7"/>
  <c r="Y59" i="12"/>
  <c r="Y47" i="16"/>
  <c r="Y52" i="16"/>
  <c r="Y8" i="17"/>
  <c r="Y67" i="18"/>
  <c r="Y10" i="2"/>
  <c r="X10" i="2" s="1"/>
  <c r="Y18" i="2"/>
  <c r="X18" i="2" s="1"/>
  <c r="Y55" i="2"/>
  <c r="X55" i="2" s="1"/>
  <c r="Y60" i="2"/>
  <c r="X60" i="2" s="1"/>
  <c r="Y56" i="4"/>
  <c r="Y64" i="4"/>
  <c r="Y69" i="4"/>
  <c r="Y39" i="12"/>
  <c r="Y68" i="12"/>
  <c r="Y51" i="21"/>
  <c r="Y47" i="22"/>
  <c r="Y52" i="22"/>
  <c r="Y43" i="4"/>
  <c r="Y51" i="4"/>
  <c r="Y51" i="8"/>
  <c r="Y43" i="10"/>
  <c r="Y51" i="10"/>
  <c r="Y56" i="10"/>
  <c r="Y66" i="10"/>
  <c r="Y69" i="10"/>
  <c r="Y48" i="16"/>
  <c r="Y53" i="16"/>
  <c r="Y39" i="18"/>
  <c r="Y55" i="18"/>
  <c r="Y47" i="19"/>
  <c r="Y26" i="20"/>
  <c r="Y34" i="20"/>
  <c r="Y48" i="2"/>
  <c r="X48" i="2" s="1"/>
  <c r="Y56" i="2"/>
  <c r="X56" i="2" s="1"/>
  <c r="Y61" i="2"/>
  <c r="X61" i="2" s="1"/>
  <c r="Y74" i="2"/>
  <c r="X74" i="2" s="1"/>
  <c r="Y48" i="6"/>
  <c r="Y56" i="6"/>
  <c r="Y61" i="6"/>
  <c r="Y66" i="6"/>
  <c r="Y71" i="6"/>
  <c r="Y29" i="15"/>
  <c r="Y34" i="15"/>
  <c r="Y12" i="17"/>
  <c r="Y10" i="4"/>
  <c r="Y35" i="6"/>
  <c r="Y76" i="6"/>
  <c r="Y15" i="12"/>
  <c r="Y20" i="12"/>
  <c r="Y66" i="12"/>
  <c r="Y56" i="13"/>
  <c r="Y64" i="13"/>
  <c r="Y31" i="14"/>
  <c r="Y36" i="14"/>
  <c r="Y16" i="15"/>
  <c r="Y27" i="16"/>
  <c r="Y7" i="17"/>
  <c r="Y20" i="17"/>
  <c r="Y42" i="18"/>
  <c r="Y71" i="18"/>
  <c r="Y34" i="19"/>
  <c r="Y16" i="22"/>
  <c r="Y40" i="22"/>
  <c r="Y31" i="4"/>
  <c r="Y13" i="8"/>
  <c r="Y18" i="8"/>
  <c r="Y39" i="8"/>
  <c r="Y44" i="8"/>
  <c r="Y38" i="9"/>
  <c r="Y76" i="11"/>
  <c r="Y44" i="13"/>
  <c r="Y50" i="14"/>
  <c r="Y58" i="14"/>
  <c r="Y66" i="14"/>
  <c r="Y74" i="14"/>
  <c r="Y69" i="15"/>
  <c r="Y15" i="17"/>
  <c r="Y11" i="18"/>
  <c r="Y26" i="22"/>
  <c r="Y34" i="22"/>
  <c r="Y29" i="2"/>
  <c r="X29" i="2" s="1"/>
  <c r="Y50" i="2"/>
  <c r="X50" i="2" s="1"/>
  <c r="Y68" i="2"/>
  <c r="X68" i="2" s="1"/>
  <c r="Y44" i="4"/>
  <c r="Y52" i="4"/>
  <c r="Y67" i="4"/>
  <c r="Y74" i="4"/>
  <c r="Y19" i="5"/>
  <c r="Y31" i="5"/>
  <c r="Y31" i="6"/>
  <c r="Y44" i="6"/>
  <c r="Y46" i="9"/>
  <c r="Y53" i="9"/>
  <c r="Y48" i="10"/>
  <c r="Y53" i="10"/>
  <c r="Y58" i="10"/>
  <c r="Y16" i="14"/>
  <c r="Y24" i="14"/>
  <c r="Y32" i="14"/>
  <c r="Y37" i="14"/>
  <c r="Y71" i="17"/>
  <c r="Y7" i="21"/>
  <c r="Y12" i="21"/>
  <c r="Y44" i="21"/>
  <c r="Y21" i="22"/>
  <c r="Y45" i="22"/>
  <c r="Y71" i="22"/>
  <c r="Y21" i="6"/>
  <c r="Y69" i="7"/>
  <c r="Y20" i="11"/>
  <c r="Y66" i="13"/>
  <c r="Y74" i="13"/>
  <c r="Y54" i="15"/>
  <c r="Y70" i="15"/>
  <c r="Y78" i="15"/>
  <c r="Y21" i="16"/>
  <c r="Y53" i="4"/>
  <c r="Y63" i="4"/>
  <c r="Y29" i="6"/>
  <c r="Y48" i="4"/>
  <c r="Y58" i="4"/>
  <c r="Y61" i="4"/>
  <c r="Y68" i="4"/>
  <c r="Y75" i="4"/>
  <c r="Y52" i="5"/>
  <c r="Y24" i="6"/>
  <c r="Y22" i="10"/>
  <c r="Y30" i="10"/>
  <c r="Y61" i="13"/>
  <c r="Y69" i="13"/>
  <c r="Y43" i="14"/>
  <c r="Y10" i="15"/>
  <c r="Y64" i="17"/>
  <c r="Y23" i="18"/>
  <c r="Y44" i="18"/>
  <c r="Y52" i="18"/>
  <c r="Y36" i="19"/>
  <c r="Y36" i="20"/>
  <c r="Y64" i="22"/>
  <c r="Y72" i="22"/>
  <c r="Y77" i="22"/>
  <c r="Y36" i="4"/>
  <c r="Y59" i="4"/>
  <c r="Y76" i="4"/>
  <c r="Y10" i="5"/>
  <c r="Y15" i="5"/>
  <c r="Y20" i="5"/>
  <c r="Y11" i="6"/>
  <c r="Y40" i="6"/>
  <c r="Y53" i="6"/>
  <c r="Y10" i="7"/>
  <c r="Y43" i="7"/>
  <c r="Y48" i="7"/>
  <c r="Y66" i="7"/>
  <c r="Y8" i="8"/>
  <c r="Y22" i="9"/>
  <c r="Y54" i="9"/>
  <c r="Y28" i="11"/>
  <c r="Y45" i="11"/>
  <c r="Y53" i="11"/>
  <c r="Y59" i="13"/>
  <c r="Y59" i="15"/>
  <c r="Y10" i="16"/>
  <c r="Y23" i="16"/>
  <c r="Y28" i="16"/>
  <c r="Y13" i="17"/>
  <c r="Y76" i="17"/>
  <c r="Y76" i="18"/>
  <c r="Y31" i="19"/>
  <c r="Y39" i="19"/>
  <c r="Y52" i="19"/>
  <c r="Y31" i="20"/>
  <c r="Y44" i="20"/>
  <c r="Y23" i="21"/>
  <c r="Y39" i="21"/>
  <c r="Y7" i="22"/>
  <c r="Y12" i="22"/>
  <c r="Y53" i="2"/>
  <c r="X53" i="2" s="1"/>
  <c r="Y63" i="2"/>
  <c r="X63" i="2" s="1"/>
  <c r="Y32" i="4"/>
  <c r="Y37" i="4"/>
  <c r="Y39" i="4"/>
  <c r="Y11" i="5"/>
  <c r="Y69" i="6"/>
  <c r="Y26" i="7"/>
  <c r="Y34" i="7"/>
  <c r="Y64" i="7"/>
  <c r="Y71" i="8"/>
  <c r="Y76" i="8"/>
  <c r="Y30" i="9"/>
  <c r="Y63" i="10"/>
  <c r="Y36" i="11"/>
  <c r="Y39" i="13"/>
  <c r="Y16" i="16"/>
  <c r="Y60" i="16"/>
  <c r="Y34" i="17"/>
  <c r="Y50" i="17"/>
  <c r="Y58" i="17"/>
  <c r="Y79" i="17"/>
  <c r="Y35" i="18"/>
  <c r="Y71" i="19"/>
  <c r="Y21" i="20"/>
  <c r="Y29" i="20"/>
  <c r="Y55" i="21"/>
  <c r="Y15" i="22"/>
  <c r="Y20" i="22"/>
  <c r="Y59" i="22"/>
  <c r="Y43" i="2"/>
  <c r="X43" i="2" s="1"/>
  <c r="Y69" i="2"/>
  <c r="X69" i="2" s="1"/>
  <c r="Y7" i="4"/>
  <c r="Y12" i="4"/>
  <c r="Y55" i="4"/>
  <c r="Y60" i="4"/>
  <c r="Y18" i="5"/>
  <c r="Y47" i="5"/>
  <c r="Y59" i="5"/>
  <c r="Y66" i="5"/>
  <c r="Y23" i="6"/>
  <c r="Y51" i="6"/>
  <c r="Y16" i="7"/>
  <c r="Y29" i="7"/>
  <c r="Y62" i="9"/>
  <c r="Y21" i="10"/>
  <c r="Y37" i="10"/>
  <c r="Y45" i="10"/>
  <c r="Y21" i="11"/>
  <c r="Y71" i="12"/>
  <c r="Y34" i="13"/>
  <c r="Y63" i="13"/>
  <c r="Y68" i="13"/>
  <c r="Y29" i="14"/>
  <c r="Y44" i="14"/>
  <c r="Y65" i="15"/>
  <c r="Y50" i="16"/>
  <c r="Y55" i="16"/>
  <c r="Y69" i="17"/>
  <c r="Y77" i="17"/>
  <c r="Y74" i="18"/>
  <c r="Y58" i="19"/>
  <c r="Y16" i="20"/>
  <c r="Y24" i="20"/>
  <c r="Y66" i="20"/>
  <c r="Y31" i="2"/>
  <c r="X31" i="2" s="1"/>
  <c r="Y36" i="2"/>
  <c r="X36" i="2" s="1"/>
  <c r="Y64" i="2"/>
  <c r="X64" i="2" s="1"/>
  <c r="Y50" i="6"/>
  <c r="Y50" i="7"/>
  <c r="Y10" i="8"/>
  <c r="Y15" i="8"/>
  <c r="Y20" i="8"/>
  <c r="Y56" i="8"/>
  <c r="Y61" i="8"/>
  <c r="Y66" i="8"/>
  <c r="Y75" i="10"/>
  <c r="Z5" i="11"/>
  <c r="Y11" i="23" s="1"/>
  <c r="Y36" i="12"/>
  <c r="Y58" i="13"/>
  <c r="Y21" i="14"/>
  <c r="Y40" i="15"/>
  <c r="Y48" i="15"/>
  <c r="Y64" i="15"/>
  <c r="Y32" i="17"/>
  <c r="Y37" i="17"/>
  <c r="Y26" i="5"/>
  <c r="Y68" i="6"/>
  <c r="Y70" i="10"/>
  <c r="Y19" i="17"/>
  <c r="Y19" i="2"/>
  <c r="X19" i="2" s="1"/>
  <c r="Y27" i="5"/>
  <c r="Y50" i="5"/>
  <c r="Y60" i="5"/>
  <c r="Y67" i="5"/>
  <c r="Y71" i="5"/>
  <c r="Y28" i="6"/>
  <c r="Y43" i="6"/>
  <c r="Y14" i="10"/>
  <c r="Y27" i="12"/>
  <c r="Y35" i="13"/>
  <c r="Y18" i="21"/>
  <c r="Y67" i="22"/>
  <c r="Y36" i="6"/>
  <c r="Y37" i="7"/>
  <c r="Y24" i="8"/>
  <c r="Y32" i="8"/>
  <c r="Y14" i="9"/>
  <c r="Y78" i="9"/>
  <c r="Y60" i="11"/>
  <c r="Y8" i="13"/>
  <c r="Y13" i="13"/>
  <c r="Y18" i="13"/>
  <c r="Y35" i="14"/>
  <c r="Y42" i="16"/>
  <c r="Y31" i="17"/>
  <c r="Y36" i="17"/>
  <c r="Y28" i="20"/>
  <c r="Y40" i="20"/>
  <c r="Y48" i="20"/>
  <c r="Y61" i="20"/>
  <c r="Y67" i="21"/>
  <c r="Y24" i="4"/>
  <c r="Y26" i="4"/>
  <c r="Y29" i="4"/>
  <c r="Y23" i="5"/>
  <c r="Y42" i="5"/>
  <c r="Y58" i="5"/>
  <c r="Y63" i="5"/>
  <c r="Y68" i="5"/>
  <c r="Y79" i="5"/>
  <c r="Y24" i="7"/>
  <c r="Y19" i="8"/>
  <c r="Y21" i="9"/>
  <c r="Y37" i="11"/>
  <c r="Y58" i="12"/>
  <c r="Y26" i="17"/>
  <c r="Y39" i="17"/>
  <c r="Y44" i="17"/>
  <c r="Y18" i="18"/>
  <c r="Y63" i="19"/>
  <c r="Y68" i="19"/>
  <c r="Y23" i="20"/>
  <c r="Y19" i="7"/>
  <c r="Y51" i="7"/>
  <c r="Y35" i="8"/>
  <c r="Y38" i="10"/>
  <c r="Y61" i="11"/>
  <c r="Y11" i="12"/>
  <c r="Y42" i="12"/>
  <c r="Y51" i="13"/>
  <c r="Y49" i="15"/>
  <c r="Y35" i="16"/>
  <c r="Y26" i="21"/>
  <c r="Y51" i="2"/>
  <c r="X51" i="2" s="1"/>
  <c r="Y7" i="6"/>
  <c r="Y12" i="6"/>
  <c r="Y19" i="6"/>
  <c r="Y42" i="6"/>
  <c r="Y47" i="6"/>
  <c r="Y64" i="6"/>
  <c r="Y74" i="6"/>
  <c r="Y8" i="7"/>
  <c r="Y35" i="7"/>
  <c r="Y40" i="7"/>
  <c r="Y45" i="7"/>
  <c r="Y59" i="7"/>
  <c r="Y74" i="7"/>
  <c r="Y26" i="8"/>
  <c r="Y31" i="8"/>
  <c r="Y36" i="8"/>
  <c r="Y50" i="8"/>
  <c r="Y39" i="10"/>
  <c r="Y77" i="10"/>
  <c r="Y29" i="11"/>
  <c r="Y69" i="11"/>
  <c r="Y26" i="12"/>
  <c r="Y47" i="12"/>
  <c r="Y74" i="12"/>
  <c r="Y37" i="13"/>
  <c r="Y52" i="13"/>
  <c r="Y42" i="14"/>
  <c r="Y75" i="14"/>
  <c r="Y9" i="15"/>
  <c r="Y14" i="15"/>
  <c r="Y19" i="15"/>
  <c r="Y24" i="15"/>
  <c r="Y24" i="16"/>
  <c r="Y29" i="16"/>
  <c r="Y31" i="16"/>
  <c r="Y36" i="16"/>
  <c r="Y66" i="16"/>
  <c r="Y74" i="16"/>
  <c r="Y72" i="17"/>
  <c r="Y7" i="19"/>
  <c r="Y47" i="20"/>
  <c r="Y68" i="20"/>
  <c r="Y10" i="21"/>
  <c r="Y71" i="21"/>
  <c r="Y76" i="21"/>
  <c r="Y8" i="22"/>
  <c r="Y28" i="22"/>
  <c r="Y35" i="22"/>
  <c r="Y66" i="22"/>
  <c r="Y24" i="2"/>
  <c r="X24" i="2" s="1"/>
  <c r="Y59" i="2"/>
  <c r="X59" i="2" s="1"/>
  <c r="Y36" i="5"/>
  <c r="Y45" i="6"/>
  <c r="Y52" i="6"/>
  <c r="Y59" i="6"/>
  <c r="Y72" i="7"/>
  <c r="Y77" i="7"/>
  <c r="Y79" i="7"/>
  <c r="Y29" i="8"/>
  <c r="Y43" i="8"/>
  <c r="Y58" i="8"/>
  <c r="Y63" i="8"/>
  <c r="Y68" i="8"/>
  <c r="Y7" i="9"/>
  <c r="Y18" i="9"/>
  <c r="Y23" i="9"/>
  <c r="Y34" i="9"/>
  <c r="Y39" i="9"/>
  <c r="Y50" i="9"/>
  <c r="Y55" i="9"/>
  <c r="Y66" i="9"/>
  <c r="Y71" i="9"/>
  <c r="Y7" i="10"/>
  <c r="Y12" i="11"/>
  <c r="Y52" i="11"/>
  <c r="Y77" i="11"/>
  <c r="Y7" i="12"/>
  <c r="Y43" i="12"/>
  <c r="Y52" i="12"/>
  <c r="Y32" i="13"/>
  <c r="Y40" i="13"/>
  <c r="Y45" i="13"/>
  <c r="Y47" i="13"/>
  <c r="Y10" i="14"/>
  <c r="Y23" i="14"/>
  <c r="Y28" i="14"/>
  <c r="Y55" i="14"/>
  <c r="Y60" i="14"/>
  <c r="Y22" i="15"/>
  <c r="Y27" i="15"/>
  <c r="Y11" i="16"/>
  <c r="Y19" i="16"/>
  <c r="Y43" i="16"/>
  <c r="Y11" i="17"/>
  <c r="Y15" i="18"/>
  <c r="Y51" i="18"/>
  <c r="Y58" i="18"/>
  <c r="Y20" i="19"/>
  <c r="Y35" i="19"/>
  <c r="Y55" i="20"/>
  <c r="Y35" i="21"/>
  <c r="Y42" i="21"/>
  <c r="Y52" i="21"/>
  <c r="Y23" i="22"/>
  <c r="Y69" i="22"/>
  <c r="Y79" i="22"/>
  <c r="X13" i="1"/>
  <c r="Z5" i="8"/>
  <c r="Y8" i="23" s="1"/>
  <c r="Z5" i="9"/>
  <c r="Y7" i="23" s="1"/>
  <c r="Y16" i="4"/>
  <c r="Y21" i="4"/>
  <c r="Y23" i="4"/>
  <c r="Y28" i="4"/>
  <c r="Y7" i="5"/>
  <c r="Y35" i="5"/>
  <c r="Y39" i="5"/>
  <c r="Y76" i="5"/>
  <c r="Y18" i="7"/>
  <c r="Y32" i="7"/>
  <c r="Y56" i="7"/>
  <c r="Y61" i="7"/>
  <c r="Y48" i="8"/>
  <c r="Y53" i="8"/>
  <c r="Y55" i="8"/>
  <c r="Y60" i="8"/>
  <c r="Y23" i="10"/>
  <c r="Y74" i="10"/>
  <c r="Y44" i="11"/>
  <c r="Y67" i="13"/>
  <c r="Y27" i="14"/>
  <c r="Z5" i="16"/>
  <c r="Y19" i="23" s="1"/>
  <c r="Y67" i="17"/>
  <c r="Y35" i="4"/>
  <c r="Y40" i="4"/>
  <c r="Y42" i="4"/>
  <c r="Y45" i="4"/>
  <c r="Y47" i="4"/>
  <c r="Y12" i="5"/>
  <c r="Y44" i="5"/>
  <c r="Y10" i="6"/>
  <c r="Z5" i="6"/>
  <c r="Y6" i="23" s="1"/>
  <c r="Y27" i="6"/>
  <c r="Y32" i="6"/>
  <c r="Y37" i="6"/>
  <c r="Y39" i="6"/>
  <c r="Y58" i="6"/>
  <c r="Y63" i="6"/>
  <c r="Y11" i="7"/>
  <c r="Y21" i="7"/>
  <c r="Y75" i="7"/>
  <c r="Y7" i="8"/>
  <c r="Y12" i="8"/>
  <c r="Y55" i="10"/>
  <c r="Z5" i="12"/>
  <c r="Y12" i="23" s="1"/>
  <c r="Y75" i="12"/>
  <c r="Z5" i="14"/>
  <c r="Y25" i="23" s="1"/>
  <c r="Z5" i="19"/>
  <c r="Y26" i="23" s="1"/>
  <c r="Z5" i="5"/>
  <c r="Y4" i="23" s="1"/>
  <c r="Z5" i="3"/>
  <c r="Y3" i="23" s="1"/>
  <c r="Y8" i="4"/>
  <c r="Y15" i="4"/>
  <c r="Y20" i="4"/>
  <c r="Y72" i="4"/>
  <c r="Y77" i="4"/>
  <c r="Y79" i="4"/>
  <c r="Y28" i="5"/>
  <c r="Y75" i="5"/>
  <c r="Y16" i="6"/>
  <c r="Y26" i="6"/>
  <c r="Y53" i="7"/>
  <c r="Y40" i="8"/>
  <c r="Y45" i="8"/>
  <c r="Y47" i="8"/>
  <c r="Y52" i="8"/>
  <c r="Y64" i="8"/>
  <c r="Y69" i="8"/>
  <c r="Y29" i="10"/>
  <c r="Y55" i="12"/>
  <c r="Y26" i="13"/>
  <c r="Y79" i="13"/>
  <c r="Y56" i="20"/>
  <c r="Z5" i="4"/>
  <c r="Y5" i="23" s="1"/>
  <c r="Y27" i="4"/>
  <c r="Y34" i="4"/>
  <c r="Y34" i="5"/>
  <c r="Y67" i="7"/>
  <c r="Y59" i="8"/>
  <c r="Z5" i="10"/>
  <c r="Y9" i="23" s="1"/>
  <c r="Y12" i="10"/>
  <c r="Y46" i="10"/>
  <c r="Y34" i="12"/>
  <c r="Y51" i="5"/>
  <c r="Y55" i="5"/>
  <c r="Y74" i="5"/>
  <c r="Y8" i="6"/>
  <c r="Y15" i="6"/>
  <c r="Y20" i="6"/>
  <c r="Y34" i="6"/>
  <c r="Y60" i="6"/>
  <c r="Y67" i="6"/>
  <c r="Y72" i="6"/>
  <c r="Y77" i="6"/>
  <c r="Y79" i="6"/>
  <c r="Y11" i="8"/>
  <c r="Y16" i="8"/>
  <c r="Y21" i="8"/>
  <c r="Y23" i="8"/>
  <c r="Y28" i="8"/>
  <c r="Y42" i="8"/>
  <c r="Y75" i="8"/>
  <c r="Y13" i="9"/>
  <c r="Y20" i="9"/>
  <c r="Y29" i="9"/>
  <c r="Y36" i="9"/>
  <c r="Y45" i="9"/>
  <c r="Y52" i="9"/>
  <c r="Y61" i="9"/>
  <c r="Y68" i="9"/>
  <c r="Y77" i="9"/>
  <c r="Y11" i="10"/>
  <c r="Y16" i="10"/>
  <c r="Y27" i="10"/>
  <c r="Y32" i="10"/>
  <c r="Y50" i="10"/>
  <c r="Y62" i="10"/>
  <c r="Y67" i="10"/>
  <c r="Y72" i="10"/>
  <c r="Y79" i="10"/>
  <c r="Y10" i="11"/>
  <c r="Y15" i="11"/>
  <c r="Y26" i="11"/>
  <c r="Y31" i="11"/>
  <c r="Y42" i="11"/>
  <c r="Y47" i="11"/>
  <c r="Y58" i="11"/>
  <c r="Y63" i="11"/>
  <c r="Y74" i="11"/>
  <c r="Y79" i="11"/>
  <c r="Y19" i="12"/>
  <c r="Y28" i="12"/>
  <c r="Y51" i="12"/>
  <c r="Y60" i="12"/>
  <c r="Y79" i="12"/>
  <c r="Y43" i="13"/>
  <c r="Y48" i="13"/>
  <c r="Y53" i="13"/>
  <c r="Y55" i="13"/>
  <c r="Y60" i="13"/>
  <c r="Y72" i="13"/>
  <c r="Y77" i="13"/>
  <c r="Y19" i="14"/>
  <c r="Y48" i="14"/>
  <c r="Y53" i="14"/>
  <c r="Y57" i="15"/>
  <c r="Y40" i="16"/>
  <c r="Y45" i="16"/>
  <c r="Y75" i="16"/>
  <c r="Y24" i="17"/>
  <c r="Y29" i="17"/>
  <c r="Y59" i="17"/>
  <c r="Y58" i="21"/>
  <c r="Y74" i="8"/>
  <c r="Y12" i="9"/>
  <c r="Y28" i="9"/>
  <c r="Y44" i="9"/>
  <c r="Y60" i="9"/>
  <c r="Y69" i="9"/>
  <c r="Y76" i="9"/>
  <c r="Y8" i="10"/>
  <c r="Y19" i="10"/>
  <c r="Y24" i="10"/>
  <c r="Y35" i="10"/>
  <c r="Y40" i="10"/>
  <c r="Y47" i="10"/>
  <c r="Y61" i="10"/>
  <c r="Y7" i="11"/>
  <c r="Y18" i="11"/>
  <c r="Y23" i="11"/>
  <c r="Y34" i="11"/>
  <c r="Y39" i="11"/>
  <c r="Y50" i="11"/>
  <c r="Y55" i="11"/>
  <c r="Y66" i="11"/>
  <c r="Y71" i="11"/>
  <c r="Y12" i="12"/>
  <c r="Y35" i="12"/>
  <c r="Y44" i="12"/>
  <c r="Y67" i="12"/>
  <c r="Y76" i="12"/>
  <c r="Y18" i="14"/>
  <c r="Y11" i="15"/>
  <c r="Y13" i="15"/>
  <c r="Y77" i="15"/>
  <c r="Z5" i="2"/>
  <c r="Y34" i="8"/>
  <c r="Y67" i="8"/>
  <c r="Y72" i="8"/>
  <c r="Y77" i="8"/>
  <c r="Y79" i="8"/>
  <c r="Y10" i="9"/>
  <c r="Y15" i="9"/>
  <c r="Y26" i="9"/>
  <c r="Y31" i="9"/>
  <c r="Y42" i="9"/>
  <c r="Y47" i="9"/>
  <c r="Y58" i="9"/>
  <c r="Y63" i="9"/>
  <c r="Y74" i="9"/>
  <c r="Y79" i="9"/>
  <c r="Y15" i="10"/>
  <c r="Y31" i="10"/>
  <c r="Y42" i="10"/>
  <c r="Y54" i="10"/>
  <c r="Y59" i="10"/>
  <c r="Y64" i="10"/>
  <c r="Y71" i="10"/>
  <c r="Y18" i="12"/>
  <c r="Y31" i="12"/>
  <c r="Y50" i="12"/>
  <c r="Y63" i="12"/>
  <c r="Y10" i="13"/>
  <c r="Z5" i="13"/>
  <c r="Y14" i="23" s="1"/>
  <c r="Y15" i="13"/>
  <c r="Y20" i="13"/>
  <c r="Y27" i="13"/>
  <c r="Y71" i="13"/>
  <c r="Y76" i="13"/>
  <c r="Y40" i="14"/>
  <c r="Y45" i="14"/>
  <c r="Y47" i="14"/>
  <c r="Y52" i="14"/>
  <c r="Y21" i="15"/>
  <c r="Y26" i="15"/>
  <c r="Y67" i="15"/>
  <c r="Y72" i="15"/>
  <c r="Z5" i="18"/>
  <c r="Y13" i="23" s="1"/>
  <c r="Y11" i="13"/>
  <c r="Y16" i="13"/>
  <c r="Y21" i="13"/>
  <c r="Y23" i="13"/>
  <c r="Y28" i="13"/>
  <c r="Y42" i="13"/>
  <c r="Y75" i="13"/>
  <c r="Y7" i="14"/>
  <c r="Y12" i="14"/>
  <c r="Y26" i="14"/>
  <c r="Y59" i="14"/>
  <c r="Y64" i="14"/>
  <c r="Y69" i="14"/>
  <c r="Y71" i="14"/>
  <c r="Y76" i="14"/>
  <c r="Y33" i="15"/>
  <c r="Y38" i="15"/>
  <c r="Y43" i="15"/>
  <c r="Y45" i="15"/>
  <c r="Y50" i="15"/>
  <c r="Y62" i="15"/>
  <c r="Y75" i="15"/>
  <c r="Y7" i="16"/>
  <c r="Y12" i="16"/>
  <c r="Y26" i="16"/>
  <c r="Y59" i="16"/>
  <c r="Y64" i="16"/>
  <c r="Y69" i="16"/>
  <c r="Y71" i="16"/>
  <c r="Y76" i="16"/>
  <c r="Y10" i="17"/>
  <c r="Z5" i="17"/>
  <c r="Y28" i="23" s="1"/>
  <c r="Y43" i="17"/>
  <c r="Y48" i="17"/>
  <c r="Y53" i="17"/>
  <c r="Y55" i="17"/>
  <c r="Y60" i="17"/>
  <c r="Y74" i="17"/>
  <c r="Y10" i="18"/>
  <c r="Y19" i="18"/>
  <c r="Y43" i="19"/>
  <c r="Y66" i="19"/>
  <c r="Y37" i="20"/>
  <c r="Y42" i="20"/>
  <c r="Y11" i="22"/>
  <c r="Y26" i="2"/>
  <c r="X26" i="2" s="1"/>
  <c r="Y71" i="2"/>
  <c r="X71" i="2" s="1"/>
  <c r="Y76" i="2"/>
  <c r="X76" i="2" s="1"/>
  <c r="Y19" i="13"/>
  <c r="Y24" i="13"/>
  <c r="Y29" i="13"/>
  <c r="Y31" i="13"/>
  <c r="Y36" i="13"/>
  <c r="Y50" i="13"/>
  <c r="Y8" i="14"/>
  <c r="Y13" i="14"/>
  <c r="Y15" i="14"/>
  <c r="Y20" i="14"/>
  <c r="Y34" i="14"/>
  <c r="Y67" i="14"/>
  <c r="Y72" i="14"/>
  <c r="Y77" i="14"/>
  <c r="Y79" i="14"/>
  <c r="Y8" i="15"/>
  <c r="Z5" i="15"/>
  <c r="Y16" i="23" s="1"/>
  <c r="Y41" i="15"/>
  <c r="Y46" i="15"/>
  <c r="Y51" i="15"/>
  <c r="Y53" i="15"/>
  <c r="Y58" i="15"/>
  <c r="Y73" i="15"/>
  <c r="Y8" i="16"/>
  <c r="Y13" i="16"/>
  <c r="Y15" i="16"/>
  <c r="Y20" i="16"/>
  <c r="Y34" i="16"/>
  <c r="Y67" i="16"/>
  <c r="Y72" i="16"/>
  <c r="Y77" i="16"/>
  <c r="Y79" i="16"/>
  <c r="Y18" i="17"/>
  <c r="Y51" i="17"/>
  <c r="Y56" i="17"/>
  <c r="Y61" i="17"/>
  <c r="Y63" i="17"/>
  <c r="Y68" i="17"/>
  <c r="Y20" i="18"/>
  <c r="Y43" i="18"/>
  <c r="Y15" i="19"/>
  <c r="Y42" i="22"/>
  <c r="Y18" i="15"/>
  <c r="Y32" i="15"/>
  <c r="Y66" i="15"/>
  <c r="Y32" i="16"/>
  <c r="Y37" i="16"/>
  <c r="Y39" i="16"/>
  <c r="Y44" i="16"/>
  <c r="Y58" i="16"/>
  <c r="Y16" i="17"/>
  <c r="Y21" i="17"/>
  <c r="Y23" i="17"/>
  <c r="Y28" i="17"/>
  <c r="Y42" i="17"/>
  <c r="Y7" i="18"/>
  <c r="Y11" i="19"/>
  <c r="Y79" i="19"/>
  <c r="Y63" i="20"/>
  <c r="Y7" i="2"/>
  <c r="X7" i="2" s="1"/>
  <c r="Y12" i="2"/>
  <c r="X12" i="2" s="1"/>
  <c r="Y51" i="14"/>
  <c r="Y56" i="14"/>
  <c r="Y61" i="14"/>
  <c r="Y63" i="14"/>
  <c r="Y68" i="14"/>
  <c r="Y25" i="15"/>
  <c r="Y30" i="15"/>
  <c r="Y35" i="15"/>
  <c r="Y37" i="15"/>
  <c r="Y42" i="15"/>
  <c r="Y56" i="15"/>
  <c r="Y61" i="15"/>
  <c r="Y74" i="15"/>
  <c r="Y18" i="16"/>
  <c r="Y51" i="16"/>
  <c r="Y56" i="16"/>
  <c r="Y61" i="16"/>
  <c r="Y63" i="16"/>
  <c r="Y68" i="16"/>
  <c r="Y35" i="17"/>
  <c r="Y40" i="17"/>
  <c r="Y45" i="17"/>
  <c r="Y47" i="17"/>
  <c r="Y52" i="17"/>
  <c r="Y66" i="17"/>
  <c r="Y12" i="18"/>
  <c r="J7" i="44" s="1"/>
  <c r="Y34" i="18"/>
  <c r="Y75" i="19"/>
  <c r="Y20" i="21"/>
  <c r="Y75" i="22"/>
  <c r="Y28" i="18"/>
  <c r="Y60" i="18"/>
  <c r="Y10" i="19"/>
  <c r="Y19" i="19"/>
  <c r="Y23" i="19"/>
  <c r="Y42" i="19"/>
  <c r="Y51" i="19"/>
  <c r="Y55" i="19"/>
  <c r="Y74" i="19"/>
  <c r="Y8" i="20"/>
  <c r="Y15" i="20"/>
  <c r="Z5" i="20"/>
  <c r="Y15" i="23" s="1"/>
  <c r="Y53" i="20"/>
  <c r="Y58" i="20"/>
  <c r="Y60" i="20"/>
  <c r="Y72" i="20"/>
  <c r="Y79" i="20"/>
  <c r="Y28" i="21"/>
  <c r="Y60" i="21"/>
  <c r="Y27" i="22"/>
  <c r="Y32" i="22"/>
  <c r="Y37" i="22"/>
  <c r="Y39" i="22"/>
  <c r="Y44" i="22"/>
  <c r="Y58" i="22"/>
  <c r="Y11" i="2"/>
  <c r="X11" i="2" s="1"/>
  <c r="Y16" i="2"/>
  <c r="X16" i="2" s="1"/>
  <c r="Y21" i="2"/>
  <c r="X21" i="2" s="1"/>
  <c r="Y23" i="2"/>
  <c r="X23" i="2" s="1"/>
  <c r="Y28" i="2"/>
  <c r="X28" i="2" s="1"/>
  <c r="Y42" i="2"/>
  <c r="X42" i="2" s="1"/>
  <c r="Y75" i="2"/>
  <c r="X75" i="2" s="1"/>
  <c r="Y47" i="18"/>
  <c r="Y66" i="18"/>
  <c r="Y75" i="18"/>
  <c r="Y79" i="18"/>
  <c r="Y28" i="19"/>
  <c r="Y60" i="19"/>
  <c r="Y13" i="20"/>
  <c r="Y18" i="20"/>
  <c r="Y20" i="20"/>
  <c r="Y32" i="20"/>
  <c r="Y39" i="20"/>
  <c r="Y77" i="20"/>
  <c r="Y11" i="21"/>
  <c r="Y15" i="21"/>
  <c r="Y34" i="21"/>
  <c r="Y43" i="21"/>
  <c r="Y47" i="21"/>
  <c r="Y66" i="21"/>
  <c r="Y75" i="21"/>
  <c r="Y79" i="21"/>
  <c r="Y18" i="22"/>
  <c r="Y51" i="22"/>
  <c r="Y56" i="22"/>
  <c r="Y61" i="22"/>
  <c r="Y63" i="22"/>
  <c r="Y68" i="22"/>
  <c r="Y35" i="2"/>
  <c r="X35" i="2" s="1"/>
  <c r="Y40" i="2"/>
  <c r="X40" i="2" s="1"/>
  <c r="Y45" i="2"/>
  <c r="X45" i="2" s="1"/>
  <c r="Y47" i="2"/>
  <c r="X47" i="2" s="1"/>
  <c r="Y52" i="2"/>
  <c r="X52" i="2" s="1"/>
  <c r="Y66" i="2"/>
  <c r="X66" i="2" s="1"/>
  <c r="Y27" i="18"/>
  <c r="Y31" i="18"/>
  <c r="Y50" i="18"/>
  <c r="Y59" i="18"/>
  <c r="Y63" i="18"/>
  <c r="Y12" i="19"/>
  <c r="Y44" i="19"/>
  <c r="Y76" i="19"/>
  <c r="Y7" i="20"/>
  <c r="Y45" i="20"/>
  <c r="Y50" i="20"/>
  <c r="Y52" i="20"/>
  <c r="Y64" i="20"/>
  <c r="Y71" i="20"/>
  <c r="Y27" i="21"/>
  <c r="Y31" i="21"/>
  <c r="Y50" i="21"/>
  <c r="Y59" i="21"/>
  <c r="Y63" i="21"/>
  <c r="Y19" i="22"/>
  <c r="Y24" i="22"/>
  <c r="Y29" i="22"/>
  <c r="Y31" i="22"/>
  <c r="Y36" i="22"/>
  <c r="Y50" i="22"/>
  <c r="Y76" i="22"/>
  <c r="Y8" i="2"/>
  <c r="X8" i="2" s="1"/>
  <c r="Y13" i="2"/>
  <c r="X13" i="2" s="1"/>
  <c r="Y15" i="2"/>
  <c r="X15" i="2" s="1"/>
  <c r="Y20" i="2"/>
  <c r="X20" i="2" s="1"/>
  <c r="Y34" i="2"/>
  <c r="X34" i="2" s="1"/>
  <c r="Y67" i="2"/>
  <c r="X67" i="2" s="1"/>
  <c r="Y72" i="2"/>
  <c r="X72" i="2" s="1"/>
  <c r="Y77" i="2"/>
  <c r="X77" i="2" s="1"/>
  <c r="Y79" i="2"/>
  <c r="X79" i="2" s="1"/>
  <c r="Y36" i="18"/>
  <c r="Y68" i="18"/>
  <c r="Y18" i="19"/>
  <c r="Y27" i="19"/>
  <c r="Y50" i="19"/>
  <c r="Y59" i="19"/>
  <c r="Y10" i="20"/>
  <c r="Y12" i="20"/>
  <c r="Y69" i="20"/>
  <c r="Y74" i="20"/>
  <c r="Y76" i="20"/>
  <c r="Z5" i="21"/>
  <c r="Y22" i="23" s="1"/>
  <c r="Y36" i="21"/>
  <c r="Y68" i="21"/>
  <c r="Y10" i="22"/>
  <c r="Z5" i="22"/>
  <c r="Y43" i="22"/>
  <c r="Y48" i="22"/>
  <c r="Y53" i="22"/>
  <c r="Y55" i="22"/>
  <c r="Y60" i="22"/>
  <c r="Y74" i="22"/>
  <c r="Y27" i="2"/>
  <c r="X27" i="2" s="1"/>
  <c r="Y32" i="2"/>
  <c r="X32" i="2" s="1"/>
  <c r="Y37" i="2"/>
  <c r="X37" i="2" s="1"/>
  <c r="Y39" i="2"/>
  <c r="X39" i="2" s="1"/>
  <c r="Y44" i="2"/>
  <c r="X44" i="2" s="1"/>
  <c r="Y58" i="2"/>
  <c r="X58" i="2" s="1"/>
  <c r="V5" i="2"/>
  <c r="Y13" i="22"/>
  <c r="V5" i="21"/>
  <c r="T22" i="23" s="1"/>
  <c r="Y17" i="20"/>
  <c r="V5" i="20"/>
  <c r="T15" i="23" s="1"/>
  <c r="V5" i="19"/>
  <c r="T26" i="23" s="1"/>
  <c r="V5" i="18"/>
  <c r="T13" i="23" s="1"/>
  <c r="V5" i="17"/>
  <c r="T28" i="23" s="1"/>
  <c r="V5" i="16"/>
  <c r="T19" i="23" s="1"/>
  <c r="W5" i="15"/>
  <c r="U16" i="23" s="1"/>
  <c r="V5" i="14"/>
  <c r="T25" i="23" s="1"/>
  <c r="V5" i="13"/>
  <c r="T14" i="23" s="1"/>
  <c r="V5" i="12"/>
  <c r="T12" i="23" s="1"/>
  <c r="V5" i="11"/>
  <c r="T11" i="23" s="1"/>
  <c r="Y13" i="10"/>
  <c r="V5" i="9"/>
  <c r="T7" i="23" s="1"/>
  <c r="V5" i="8"/>
  <c r="T8" i="23" s="1"/>
  <c r="Y13" i="7"/>
  <c r="Z5" i="7"/>
  <c r="Y10" i="23" s="1"/>
  <c r="Y13" i="6"/>
  <c r="V5" i="5"/>
  <c r="T4" i="23" s="1"/>
  <c r="Y13" i="4"/>
  <c r="E8" i="22"/>
  <c r="F8" i="18"/>
  <c r="E10" i="15"/>
  <c r="F9" i="15"/>
  <c r="F8" i="15"/>
  <c r="E9" i="14"/>
  <c r="F9" i="13"/>
  <c r="E8" i="7"/>
  <c r="F8" i="6"/>
  <c r="E9" i="6"/>
  <c r="F7" i="6"/>
  <c r="E9" i="5"/>
  <c r="E9" i="4"/>
  <c r="F8" i="4"/>
  <c r="F7" i="4"/>
  <c r="E8" i="3"/>
  <c r="E8" i="2"/>
  <c r="E9" i="26" l="1"/>
  <c r="V5" i="23"/>
  <c r="E9" i="11"/>
  <c r="T5" i="1"/>
  <c r="F8" i="8"/>
  <c r="E10" i="8"/>
  <c r="E9" i="21"/>
  <c r="E9" i="28"/>
  <c r="F9" i="28" s="1"/>
  <c r="AE11" i="45"/>
  <c r="AE12" i="45" s="1"/>
  <c r="AE13" i="45" s="1"/>
  <c r="AE14" i="45" s="1"/>
  <c r="AE15" i="45" s="1"/>
  <c r="AE16" i="45" s="1"/>
  <c r="AE17" i="45" s="1"/>
  <c r="AE18" i="45" s="1"/>
  <c r="AE19" i="45" s="1"/>
  <c r="AE20" i="45" s="1"/>
  <c r="AE21" i="45" s="1"/>
  <c r="AE22" i="45" s="1"/>
  <c r="AE23" i="45" s="1"/>
  <c r="AE24" i="45" s="1"/>
  <c r="AE25" i="45" s="1"/>
  <c r="AE26" i="45" s="1"/>
  <c r="AE27" i="45" s="1"/>
  <c r="AE28" i="45" s="1"/>
  <c r="AE29" i="45" s="1"/>
  <c r="AE30" i="45" s="1"/>
  <c r="AE31" i="45" s="1"/>
  <c r="AE32" i="45" s="1"/>
  <c r="AE33" i="45" s="1"/>
  <c r="AE34" i="45" s="1"/>
  <c r="AE35" i="45" s="1"/>
  <c r="AE36" i="45" s="1"/>
  <c r="AE37" i="45" s="1"/>
  <c r="AE38" i="45" s="1"/>
  <c r="AE39" i="45" s="1"/>
  <c r="AE40" i="45" s="1"/>
  <c r="AE41" i="45" s="1"/>
  <c r="AE42" i="45" s="1"/>
  <c r="AE43" i="45" s="1"/>
  <c r="AE44" i="45" s="1"/>
  <c r="AE45" i="45" s="1"/>
  <c r="AE46" i="45" s="1"/>
  <c r="AE47" i="45" s="1"/>
  <c r="AE48" i="45" s="1"/>
  <c r="AE49" i="45" s="1"/>
  <c r="AE50" i="45" s="1"/>
  <c r="AE51" i="45" s="1"/>
  <c r="AE52" i="45" s="1"/>
  <c r="AE53" i="45" s="1"/>
  <c r="AE54" i="45" s="1"/>
  <c r="AE55" i="45" s="1"/>
  <c r="AE56" i="45" s="1"/>
  <c r="AE57" i="45" s="1"/>
  <c r="AE58" i="45" s="1"/>
  <c r="AE59" i="45" s="1"/>
  <c r="AE60" i="45" s="1"/>
  <c r="AE61" i="45" s="1"/>
  <c r="AE62" i="45" s="1"/>
  <c r="AE63" i="45" s="1"/>
  <c r="AE64" i="45" s="1"/>
  <c r="AE65" i="45" s="1"/>
  <c r="AE66" i="45" s="1"/>
  <c r="AE67" i="45" s="1"/>
  <c r="AE68" i="45" s="1"/>
  <c r="AE69" i="45" s="1"/>
  <c r="AE70" i="45" s="1"/>
  <c r="AE71" i="45" s="1"/>
  <c r="AE72" i="45" s="1"/>
  <c r="AE73" i="45" s="1"/>
  <c r="AE74" i="45" s="1"/>
  <c r="E9" i="10"/>
  <c r="U5" i="1"/>
  <c r="E10" i="40"/>
  <c r="F9" i="40"/>
  <c r="E10" i="20"/>
  <c r="F10" i="20" s="1"/>
  <c r="F8" i="20"/>
  <c r="X54" i="19"/>
  <c r="E10" i="17"/>
  <c r="E11" i="17" s="1"/>
  <c r="V22" i="23"/>
  <c r="V19" i="23"/>
  <c r="V7" i="23"/>
  <c r="X37" i="18"/>
  <c r="F30" i="44"/>
  <c r="U40" i="44"/>
  <c r="X7" i="15"/>
  <c r="Z16" i="44"/>
  <c r="X63" i="15"/>
  <c r="X64" i="32"/>
  <c r="X73" i="17"/>
  <c r="M14" i="44"/>
  <c r="B60" i="44"/>
  <c r="O41" i="44"/>
  <c r="L17" i="44"/>
  <c r="AA4" i="44"/>
  <c r="D41" i="44"/>
  <c r="U36" i="44"/>
  <c r="H52" i="44"/>
  <c r="I41" i="44"/>
  <c r="B23" i="44"/>
  <c r="X70" i="25"/>
  <c r="X38" i="4"/>
  <c r="X55" i="15"/>
  <c r="X37" i="21"/>
  <c r="X24" i="18"/>
  <c r="X12" i="3"/>
  <c r="I33" i="44"/>
  <c r="V13" i="23"/>
  <c r="V8" i="23"/>
  <c r="X78" i="7"/>
  <c r="N33" i="44"/>
  <c r="X57" i="18"/>
  <c r="X32" i="31"/>
  <c r="H36" i="44"/>
  <c r="M62" i="44"/>
  <c r="O25" i="44"/>
  <c r="D25" i="44"/>
  <c r="G71" i="44"/>
  <c r="I25" i="44"/>
  <c r="AA52" i="44"/>
  <c r="G36" i="44"/>
  <c r="Q56" i="44"/>
  <c r="X29" i="25"/>
  <c r="X25" i="21"/>
  <c r="J11" i="44"/>
  <c r="X36" i="3"/>
  <c r="V25" i="44"/>
  <c r="X65" i="32"/>
  <c r="X17" i="21"/>
  <c r="X62" i="7"/>
  <c r="X29" i="32"/>
  <c r="AC11" i="44"/>
  <c r="D65" i="44"/>
  <c r="X65" i="21"/>
  <c r="R18" i="44"/>
  <c r="G12" i="44"/>
  <c r="X46" i="32"/>
  <c r="J56" i="44"/>
  <c r="H12" i="44"/>
  <c r="V28" i="23"/>
  <c r="X14" i="19"/>
  <c r="X33" i="18"/>
  <c r="AI4" i="45"/>
  <c r="AI5" i="45" s="1"/>
  <c r="AI6" i="45" s="1"/>
  <c r="AI7" i="45" s="1"/>
  <c r="AI8" i="45" s="1"/>
  <c r="AI9" i="45" s="1"/>
  <c r="AI10" i="45" s="1"/>
  <c r="AI11" i="45" s="1"/>
  <c r="AI12" i="45" s="1"/>
  <c r="AI13" i="45" s="1"/>
  <c r="AI14" i="45" s="1"/>
  <c r="AI15" i="45" s="1"/>
  <c r="AI16" i="45" s="1"/>
  <c r="AI17" i="45" s="1"/>
  <c r="AI18" i="45" s="1"/>
  <c r="AI19" i="45" s="1"/>
  <c r="AI20" i="45" s="1"/>
  <c r="AI21" i="45" s="1"/>
  <c r="AI22" i="45" s="1"/>
  <c r="AI23" i="45" s="1"/>
  <c r="AI24" i="45" s="1"/>
  <c r="AI25" i="45" s="1"/>
  <c r="AI26" i="45" s="1"/>
  <c r="AI27" i="45" s="1"/>
  <c r="AI28" i="45" s="1"/>
  <c r="AI29" i="45" s="1"/>
  <c r="AI30" i="45" s="1"/>
  <c r="AI31" i="45" s="1"/>
  <c r="AI32" i="45" s="1"/>
  <c r="AI33" i="45" s="1"/>
  <c r="AI34" i="45" s="1"/>
  <c r="AI35" i="45" s="1"/>
  <c r="AI36" i="45" s="1"/>
  <c r="AI37" i="45" s="1"/>
  <c r="AI38" i="45" s="1"/>
  <c r="AI39" i="45" s="1"/>
  <c r="AI40" i="45" s="1"/>
  <c r="AI41" i="45" s="1"/>
  <c r="AI42" i="45" s="1"/>
  <c r="AI43" i="45" s="1"/>
  <c r="AI44" i="45" s="1"/>
  <c r="AI45" i="45" s="1"/>
  <c r="AI46" i="45" s="1"/>
  <c r="AI47" i="45" s="1"/>
  <c r="AI48" i="45" s="1"/>
  <c r="AI49" i="45" s="1"/>
  <c r="AI50" i="45" s="1"/>
  <c r="AI51" i="45" s="1"/>
  <c r="AI52" i="45" s="1"/>
  <c r="AI53" i="45" s="1"/>
  <c r="AI54" i="45" s="1"/>
  <c r="AI55" i="45" s="1"/>
  <c r="AI56" i="45" s="1"/>
  <c r="AI57" i="45" s="1"/>
  <c r="AI58" i="45" s="1"/>
  <c r="AI59" i="45" s="1"/>
  <c r="AI60" i="45" s="1"/>
  <c r="AI61" i="45" s="1"/>
  <c r="AI62" i="45" s="1"/>
  <c r="AI63" i="45" s="1"/>
  <c r="AI64" i="45" s="1"/>
  <c r="AI65" i="45" s="1"/>
  <c r="AI66" i="45" s="1"/>
  <c r="AI67" i="45" s="1"/>
  <c r="AI68" i="45" s="1"/>
  <c r="AI69" i="45" s="1"/>
  <c r="AI70" i="45" s="1"/>
  <c r="AI71" i="45" s="1"/>
  <c r="AI72" i="45" s="1"/>
  <c r="AI73" i="45" s="1"/>
  <c r="AI74" i="45" s="1"/>
  <c r="I65" i="44"/>
  <c r="V25" i="23"/>
  <c r="X78" i="19"/>
  <c r="X40" i="3"/>
  <c r="AA12" i="44"/>
  <c r="X54" i="20"/>
  <c r="F38" i="44"/>
  <c r="V26" i="23"/>
  <c r="U48" i="44"/>
  <c r="V4" i="23"/>
  <c r="L25" i="44"/>
  <c r="H60" i="44"/>
  <c r="X49" i="21"/>
  <c r="J40" i="44"/>
  <c r="D49" i="44"/>
  <c r="I49" i="44"/>
  <c r="X62" i="27"/>
  <c r="N25" i="44"/>
  <c r="F70" i="44"/>
  <c r="M54" i="44"/>
  <c r="O17" i="44"/>
  <c r="J3" i="44"/>
  <c r="X33" i="8"/>
  <c r="AF19" i="44"/>
  <c r="D17" i="44"/>
  <c r="G63" i="44"/>
  <c r="L65" i="44"/>
  <c r="U72" i="44"/>
  <c r="J44" i="44"/>
  <c r="G28" i="44"/>
  <c r="Q11" i="44"/>
  <c r="U16" i="44"/>
  <c r="AC67" i="44"/>
  <c r="D4" i="44"/>
  <c r="AA44" i="44"/>
  <c r="I9" i="44"/>
  <c r="J72" i="44"/>
  <c r="X39" i="15"/>
  <c r="B19" i="44"/>
  <c r="D73" i="44"/>
  <c r="I73" i="44"/>
  <c r="Q27" i="44"/>
  <c r="AC52" i="44"/>
  <c r="D12" i="44"/>
  <c r="U24" i="44"/>
  <c r="R42" i="44"/>
  <c r="AF32" i="44"/>
  <c r="X14" i="25"/>
  <c r="AB44" i="44"/>
  <c r="F54" i="44"/>
  <c r="AA28" i="44"/>
  <c r="X38" i="24"/>
  <c r="U64" i="44"/>
  <c r="M38" i="44"/>
  <c r="AC48" i="44"/>
  <c r="L41" i="44"/>
  <c r="Q28" i="44"/>
  <c r="C67" i="44"/>
  <c r="B27" i="44"/>
  <c r="H20" i="44"/>
  <c r="C68" i="44"/>
  <c r="X22" i="16"/>
  <c r="X69" i="18"/>
  <c r="B48" i="44"/>
  <c r="O73" i="44"/>
  <c r="I17" i="44"/>
  <c r="U4" i="44"/>
  <c r="R26" i="44"/>
  <c r="AA36" i="44"/>
  <c r="AC35" i="44"/>
  <c r="AB33" i="44"/>
  <c r="Q65" i="44"/>
  <c r="X22" i="19"/>
  <c r="M46" i="44"/>
  <c r="Q44" i="44"/>
  <c r="O9" i="44"/>
  <c r="L49" i="44"/>
  <c r="U68" i="44"/>
  <c r="U8" i="44"/>
  <c r="X67" i="9"/>
  <c r="L9" i="44"/>
  <c r="O33" i="44"/>
  <c r="H44" i="44"/>
  <c r="G44" i="44"/>
  <c r="X61" i="31"/>
  <c r="Q43" i="44"/>
  <c r="AF51" i="44"/>
  <c r="M6" i="44"/>
  <c r="Q72" i="44"/>
  <c r="U28" i="44"/>
  <c r="V41" i="44"/>
  <c r="M70" i="44"/>
  <c r="J60" i="44"/>
  <c r="Q67" i="44"/>
  <c r="Z32" i="44"/>
  <c r="X38" i="25"/>
  <c r="O65" i="44"/>
  <c r="E9" i="19"/>
  <c r="F9" i="18"/>
  <c r="J36" i="44"/>
  <c r="AA60" i="44"/>
  <c r="F8" i="17"/>
  <c r="N49" i="44"/>
  <c r="T17" i="1"/>
  <c r="F8" i="13"/>
  <c r="V14" i="23"/>
  <c r="X73" i="3"/>
  <c r="B39" i="44"/>
  <c r="B3" i="44"/>
  <c r="V34" i="23"/>
  <c r="V3" i="23"/>
  <c r="V21" i="23"/>
  <c r="V33" i="23"/>
  <c r="AB52" i="44"/>
  <c r="V33" i="44"/>
  <c r="J68" i="44"/>
  <c r="N73" i="44"/>
  <c r="N9" i="44"/>
  <c r="F10" i="16"/>
  <c r="F11" i="16"/>
  <c r="V12" i="23"/>
  <c r="G20" i="44"/>
  <c r="X16" i="3"/>
  <c r="B15" i="44"/>
  <c r="B64" i="44"/>
  <c r="B56" i="44"/>
  <c r="V6" i="23"/>
  <c r="V35" i="23"/>
  <c r="V15" i="23"/>
  <c r="V10" i="23"/>
  <c r="U17" i="23"/>
  <c r="U29" i="1"/>
  <c r="V16" i="23"/>
  <c r="V11" i="23"/>
  <c r="U24" i="23"/>
  <c r="U28" i="1"/>
  <c r="U23" i="23"/>
  <c r="U24" i="1"/>
  <c r="T25" i="1"/>
  <c r="T18" i="23"/>
  <c r="V57" i="44"/>
  <c r="R66" i="44"/>
  <c r="G4" i="44"/>
  <c r="V37" i="23"/>
  <c r="V42" i="23"/>
  <c r="T20" i="23"/>
  <c r="T33" i="1"/>
  <c r="T30" i="23"/>
  <c r="T32" i="1"/>
  <c r="U18" i="23"/>
  <c r="U25" i="1"/>
  <c r="T27" i="1"/>
  <c r="T32" i="23"/>
  <c r="T31" i="23"/>
  <c r="T31" i="1"/>
  <c r="U29" i="23"/>
  <c r="U26" i="1"/>
  <c r="U20" i="23"/>
  <c r="U33" i="1"/>
  <c r="M22" i="44"/>
  <c r="G60" i="44"/>
  <c r="T29" i="23"/>
  <c r="T26" i="1"/>
  <c r="T23" i="23"/>
  <c r="T24" i="1"/>
  <c r="N57" i="44"/>
  <c r="T27" i="23"/>
  <c r="T30" i="1"/>
  <c r="U31" i="23"/>
  <c r="U31" i="1"/>
  <c r="U32" i="23"/>
  <c r="U27" i="1"/>
  <c r="B52" i="44"/>
  <c r="U27" i="23"/>
  <c r="U30" i="1"/>
  <c r="T24" i="23"/>
  <c r="T28" i="1"/>
  <c r="U30" i="23"/>
  <c r="U32" i="1"/>
  <c r="T17" i="23"/>
  <c r="T29" i="1"/>
  <c r="F10" i="41"/>
  <c r="E11" i="41"/>
  <c r="F10" i="37"/>
  <c r="E11" i="37"/>
  <c r="W29" i="44"/>
  <c r="X7" i="26"/>
  <c r="X16" i="29"/>
  <c r="X45" i="32"/>
  <c r="X13" i="25"/>
  <c r="AB48" i="44"/>
  <c r="X54" i="31"/>
  <c r="W61" i="44"/>
  <c r="W13" i="44"/>
  <c r="P58" i="44"/>
  <c r="Z61" i="44"/>
  <c r="X60" i="25"/>
  <c r="W31" i="44"/>
  <c r="X73" i="27"/>
  <c r="AC66" i="44"/>
  <c r="W25" i="44"/>
  <c r="W73" i="44"/>
  <c r="X8" i="27"/>
  <c r="AK3" i="45"/>
  <c r="AK4" i="45" s="1"/>
  <c r="AK5" i="45" s="1"/>
  <c r="AK6" i="45" s="1"/>
  <c r="AK7" i="45" s="1"/>
  <c r="AK8" i="45" s="1"/>
  <c r="AK9" i="45" s="1"/>
  <c r="AK10" i="45" s="1"/>
  <c r="AK11" i="45" s="1"/>
  <c r="AK12" i="45" s="1"/>
  <c r="AK13" i="45" s="1"/>
  <c r="AK14" i="45" s="1"/>
  <c r="AK15" i="45" s="1"/>
  <c r="AK16" i="45" s="1"/>
  <c r="AK17" i="45" s="1"/>
  <c r="AK18" i="45" s="1"/>
  <c r="AK19" i="45" s="1"/>
  <c r="AK20" i="45" s="1"/>
  <c r="AK21" i="45" s="1"/>
  <c r="AK22" i="45" s="1"/>
  <c r="AK23" i="45" s="1"/>
  <c r="AK24" i="45" s="1"/>
  <c r="AK25" i="45" s="1"/>
  <c r="AK26" i="45" s="1"/>
  <c r="AK27" i="45" s="1"/>
  <c r="AK28" i="45" s="1"/>
  <c r="AK29" i="45" s="1"/>
  <c r="AK30" i="45" s="1"/>
  <c r="AK31" i="45" s="1"/>
  <c r="AK32" i="45" s="1"/>
  <c r="AK33" i="45" s="1"/>
  <c r="AK34" i="45" s="1"/>
  <c r="AK35" i="45" s="1"/>
  <c r="AK36" i="45" s="1"/>
  <c r="AK37" i="45" s="1"/>
  <c r="AK38" i="45" s="1"/>
  <c r="AK39" i="45" s="1"/>
  <c r="AK40" i="45" s="1"/>
  <c r="AK41" i="45" s="1"/>
  <c r="AK42" i="45" s="1"/>
  <c r="AK43" i="45" s="1"/>
  <c r="AK44" i="45" s="1"/>
  <c r="AK45" i="45" s="1"/>
  <c r="AK46" i="45" s="1"/>
  <c r="AK47" i="45" s="1"/>
  <c r="AK48" i="45" s="1"/>
  <c r="AK49" i="45" s="1"/>
  <c r="AK50" i="45" s="1"/>
  <c r="AK51" i="45" s="1"/>
  <c r="AK52" i="45" s="1"/>
  <c r="AK53" i="45" s="1"/>
  <c r="AK54" i="45" s="1"/>
  <c r="AK55" i="45" s="1"/>
  <c r="AK56" i="45" s="1"/>
  <c r="AK57" i="45" s="1"/>
  <c r="AK58" i="45" s="1"/>
  <c r="AK59" i="45" s="1"/>
  <c r="AK60" i="45" s="1"/>
  <c r="AK61" i="45" s="1"/>
  <c r="AK62" i="45" s="1"/>
  <c r="AK63" i="45" s="1"/>
  <c r="AK64" i="45" s="1"/>
  <c r="AK65" i="45" s="1"/>
  <c r="AK66" i="45" s="1"/>
  <c r="AK67" i="45" s="1"/>
  <c r="AK68" i="45" s="1"/>
  <c r="AK69" i="45" s="1"/>
  <c r="AK70" i="45" s="1"/>
  <c r="AK71" i="45" s="1"/>
  <c r="AK72" i="45" s="1"/>
  <c r="AK73" i="45" s="1"/>
  <c r="AK74" i="45" s="1"/>
  <c r="Q17" i="44"/>
  <c r="W41" i="44"/>
  <c r="W9" i="44"/>
  <c r="AB25" i="44"/>
  <c r="X57" i="24"/>
  <c r="P50" i="44"/>
  <c r="X59" i="31"/>
  <c r="X44" i="29"/>
  <c r="X17" i="27"/>
  <c r="P15" i="44"/>
  <c r="W23" i="44"/>
  <c r="X40" i="27"/>
  <c r="X24" i="24"/>
  <c r="AC38" i="44"/>
  <c r="AC68" i="44"/>
  <c r="AB40" i="44"/>
  <c r="AB9" i="44"/>
  <c r="X12" i="29"/>
  <c r="W71" i="44"/>
  <c r="W33" i="44"/>
  <c r="X76" i="25"/>
  <c r="Z37" i="44"/>
  <c r="X68" i="29"/>
  <c r="Q25" i="44"/>
  <c r="X40" i="26"/>
  <c r="X12" i="27"/>
  <c r="X61" i="26"/>
  <c r="W59" i="44"/>
  <c r="AC42" i="44"/>
  <c r="X40" i="31"/>
  <c r="AB49" i="44"/>
  <c r="AB11" i="44"/>
  <c r="AC32" i="44"/>
  <c r="X38" i="32"/>
  <c r="X42" i="31"/>
  <c r="Q54" i="44"/>
  <c r="AC16" i="44"/>
  <c r="W17" i="44"/>
  <c r="AB53" i="44"/>
  <c r="X69" i="26"/>
  <c r="X57" i="32"/>
  <c r="Z11" i="44"/>
  <c r="AB10" i="44"/>
  <c r="X16" i="24"/>
  <c r="W65" i="44"/>
  <c r="W27" i="44"/>
  <c r="W15" i="44"/>
  <c r="AB27" i="44"/>
  <c r="AF36" i="44"/>
  <c r="Z10" i="44"/>
  <c r="P18" i="44"/>
  <c r="AB36" i="44"/>
  <c r="AF3" i="44"/>
  <c r="X74" i="31"/>
  <c r="W5" i="44"/>
  <c r="P29" i="44"/>
  <c r="Q73" i="44"/>
  <c r="AC60" i="44"/>
  <c r="Q18" i="44"/>
  <c r="Q38" i="44"/>
  <c r="P24" i="44"/>
  <c r="X74" i="29"/>
  <c r="X42" i="29"/>
  <c r="X26" i="29"/>
  <c r="X8" i="29"/>
  <c r="X11" i="24"/>
  <c r="Q20" i="44"/>
  <c r="Y18" i="44"/>
  <c r="P49" i="44"/>
  <c r="AC19" i="44"/>
  <c r="X75" i="25"/>
  <c r="X10" i="24"/>
  <c r="W67" i="44"/>
  <c r="W35" i="44"/>
  <c r="W19" i="44"/>
  <c r="AB31" i="44"/>
  <c r="P41" i="44"/>
  <c r="AF14" i="44"/>
  <c r="AL3" i="45"/>
  <c r="AL4" i="45" s="1"/>
  <c r="AL5" i="45" s="1"/>
  <c r="AL6" i="45" s="1"/>
  <c r="AL7" i="45" s="1"/>
  <c r="AL8" i="45" s="1"/>
  <c r="AL9" i="45" s="1"/>
  <c r="AL10" i="45" s="1"/>
  <c r="AL11" i="45" s="1"/>
  <c r="AL12" i="45" s="1"/>
  <c r="AL13" i="45" s="1"/>
  <c r="AL14" i="45" s="1"/>
  <c r="AL15" i="45" s="1"/>
  <c r="AL16" i="45" s="1"/>
  <c r="AL17" i="45" s="1"/>
  <c r="AL18" i="45" s="1"/>
  <c r="AL19" i="45" s="1"/>
  <c r="AL20" i="45" s="1"/>
  <c r="AL21" i="45" s="1"/>
  <c r="AL22" i="45" s="1"/>
  <c r="AL23" i="45" s="1"/>
  <c r="AL24" i="45" s="1"/>
  <c r="AL25" i="45" s="1"/>
  <c r="AL26" i="45" s="1"/>
  <c r="AL27" i="45" s="1"/>
  <c r="AL28" i="45" s="1"/>
  <c r="AL29" i="45" s="1"/>
  <c r="AL30" i="45" s="1"/>
  <c r="AL31" i="45" s="1"/>
  <c r="AL32" i="45" s="1"/>
  <c r="AL33" i="45" s="1"/>
  <c r="AL34" i="45" s="1"/>
  <c r="AL35" i="45" s="1"/>
  <c r="AL36" i="45" s="1"/>
  <c r="AL37" i="45" s="1"/>
  <c r="AL38" i="45" s="1"/>
  <c r="AL39" i="45" s="1"/>
  <c r="AL40" i="45" s="1"/>
  <c r="AL41" i="45" s="1"/>
  <c r="AL42" i="45" s="1"/>
  <c r="AL43" i="45" s="1"/>
  <c r="AL44" i="45" s="1"/>
  <c r="AL45" i="45" s="1"/>
  <c r="AL46" i="45" s="1"/>
  <c r="AL47" i="45" s="1"/>
  <c r="AL48" i="45" s="1"/>
  <c r="AL49" i="45" s="1"/>
  <c r="AL50" i="45" s="1"/>
  <c r="AL51" i="45" s="1"/>
  <c r="AL52" i="45" s="1"/>
  <c r="AL53" i="45" s="1"/>
  <c r="AL54" i="45" s="1"/>
  <c r="AL55" i="45" s="1"/>
  <c r="AL56" i="45" s="1"/>
  <c r="AL57" i="45" s="1"/>
  <c r="AL58" i="45" s="1"/>
  <c r="AL59" i="45" s="1"/>
  <c r="AL60" i="45" s="1"/>
  <c r="AL61" i="45" s="1"/>
  <c r="AL62" i="45" s="1"/>
  <c r="AL63" i="45" s="1"/>
  <c r="AL64" i="45" s="1"/>
  <c r="AL65" i="45" s="1"/>
  <c r="AL66" i="45" s="1"/>
  <c r="AL67" i="45" s="1"/>
  <c r="AL68" i="45" s="1"/>
  <c r="AL69" i="45" s="1"/>
  <c r="AL70" i="45" s="1"/>
  <c r="AL71" i="45" s="1"/>
  <c r="AL72" i="45" s="1"/>
  <c r="AL73" i="45" s="1"/>
  <c r="AL74" i="45" s="1"/>
  <c r="AH3" i="45"/>
  <c r="AH4" i="45" s="1"/>
  <c r="AH5" i="45" s="1"/>
  <c r="AH6" i="45" s="1"/>
  <c r="AH7" i="45" s="1"/>
  <c r="AH8" i="45" s="1"/>
  <c r="AH9" i="45" s="1"/>
  <c r="AH10" i="45" s="1"/>
  <c r="AH11" i="45" s="1"/>
  <c r="AH12" i="45" s="1"/>
  <c r="AH13" i="45" s="1"/>
  <c r="AH14" i="45" s="1"/>
  <c r="AH15" i="45" s="1"/>
  <c r="AH16" i="45" s="1"/>
  <c r="AH17" i="45" s="1"/>
  <c r="AH18" i="45" s="1"/>
  <c r="AH19" i="45" s="1"/>
  <c r="AH20" i="45" s="1"/>
  <c r="AH21" i="45" s="1"/>
  <c r="AH22" i="45" s="1"/>
  <c r="AH23" i="45" s="1"/>
  <c r="AH24" i="45" s="1"/>
  <c r="AH25" i="45" s="1"/>
  <c r="AH26" i="45" s="1"/>
  <c r="AH27" i="45" s="1"/>
  <c r="AH28" i="45" s="1"/>
  <c r="AH29" i="45" s="1"/>
  <c r="AH30" i="45" s="1"/>
  <c r="AH31" i="45" s="1"/>
  <c r="AH32" i="45" s="1"/>
  <c r="AH33" i="45" s="1"/>
  <c r="AH34" i="45" s="1"/>
  <c r="AH35" i="45" s="1"/>
  <c r="AH36" i="45" s="1"/>
  <c r="AH37" i="45" s="1"/>
  <c r="AH38" i="45" s="1"/>
  <c r="AH39" i="45" s="1"/>
  <c r="AH40" i="45" s="1"/>
  <c r="AH41" i="45" s="1"/>
  <c r="AH42" i="45" s="1"/>
  <c r="AH43" i="45" s="1"/>
  <c r="AH44" i="45" s="1"/>
  <c r="AH45" i="45" s="1"/>
  <c r="AH46" i="45" s="1"/>
  <c r="AH47" i="45" s="1"/>
  <c r="AH48" i="45" s="1"/>
  <c r="AH49" i="45" s="1"/>
  <c r="AH50" i="45" s="1"/>
  <c r="AH51" i="45" s="1"/>
  <c r="AH52" i="45" s="1"/>
  <c r="AH53" i="45" s="1"/>
  <c r="AH54" i="45" s="1"/>
  <c r="AH55" i="45" s="1"/>
  <c r="AH56" i="45" s="1"/>
  <c r="AH57" i="45" s="1"/>
  <c r="AH58" i="45" s="1"/>
  <c r="AH59" i="45" s="1"/>
  <c r="AH60" i="45" s="1"/>
  <c r="AH61" i="45" s="1"/>
  <c r="AH62" i="45" s="1"/>
  <c r="AH63" i="45" s="1"/>
  <c r="AH64" i="45" s="1"/>
  <c r="AH65" i="45" s="1"/>
  <c r="AH66" i="45" s="1"/>
  <c r="AH67" i="45" s="1"/>
  <c r="AH68" i="45" s="1"/>
  <c r="AH69" i="45" s="1"/>
  <c r="AH70" i="45" s="1"/>
  <c r="AH71" i="45" s="1"/>
  <c r="AH72" i="45" s="1"/>
  <c r="AH73" i="45" s="1"/>
  <c r="AH74" i="45" s="1"/>
  <c r="AG5" i="45"/>
  <c r="AG6" i="45" s="1"/>
  <c r="AG7" i="45" s="1"/>
  <c r="AG8" i="45" s="1"/>
  <c r="AG9" i="45" s="1"/>
  <c r="AG10" i="45" s="1"/>
  <c r="AG11" i="45" s="1"/>
  <c r="AG12" i="45" s="1"/>
  <c r="AG13" i="45" s="1"/>
  <c r="AG14" i="45" s="1"/>
  <c r="AG15" i="45" s="1"/>
  <c r="AG16" i="45" s="1"/>
  <c r="AG17" i="45" s="1"/>
  <c r="AG18" i="45" s="1"/>
  <c r="AG19" i="45" s="1"/>
  <c r="AG20" i="45" s="1"/>
  <c r="AG21" i="45" s="1"/>
  <c r="AG22" i="45" s="1"/>
  <c r="AG23" i="45" s="1"/>
  <c r="AG24" i="45" s="1"/>
  <c r="AG25" i="45" s="1"/>
  <c r="AG26" i="45" s="1"/>
  <c r="AG27" i="45" s="1"/>
  <c r="AG28" i="45" s="1"/>
  <c r="AG29" i="45" s="1"/>
  <c r="AG30" i="45" s="1"/>
  <c r="AG31" i="45" s="1"/>
  <c r="AG32" i="45" s="1"/>
  <c r="AG33" i="45" s="1"/>
  <c r="AG34" i="45" s="1"/>
  <c r="AG35" i="45" s="1"/>
  <c r="AG36" i="45" s="1"/>
  <c r="AG37" i="45" s="1"/>
  <c r="AG38" i="45" s="1"/>
  <c r="AG39" i="45" s="1"/>
  <c r="AG40" i="45" s="1"/>
  <c r="AG41" i="45" s="1"/>
  <c r="AG42" i="45" s="1"/>
  <c r="AG43" i="45" s="1"/>
  <c r="AG44" i="45" s="1"/>
  <c r="AG45" i="45" s="1"/>
  <c r="AG46" i="45" s="1"/>
  <c r="AG47" i="45" s="1"/>
  <c r="AG48" i="45" s="1"/>
  <c r="AG49" i="45" s="1"/>
  <c r="AG50" i="45" s="1"/>
  <c r="AG51" i="45" s="1"/>
  <c r="AG52" i="45" s="1"/>
  <c r="AG53" i="45" s="1"/>
  <c r="AG54" i="45" s="1"/>
  <c r="AG55" i="45" s="1"/>
  <c r="AG56" i="45" s="1"/>
  <c r="AG57" i="45" s="1"/>
  <c r="AG58" i="45" s="1"/>
  <c r="AG59" i="45" s="1"/>
  <c r="AG60" i="45" s="1"/>
  <c r="AG61" i="45" s="1"/>
  <c r="AG62" i="45" s="1"/>
  <c r="AG63" i="45" s="1"/>
  <c r="AG64" i="45" s="1"/>
  <c r="AG65" i="45" s="1"/>
  <c r="AG66" i="45" s="1"/>
  <c r="AG67" i="45" s="1"/>
  <c r="AG68" i="45" s="1"/>
  <c r="AG69" i="45" s="1"/>
  <c r="AG70" i="45" s="1"/>
  <c r="AG71" i="45" s="1"/>
  <c r="AG72" i="45" s="1"/>
  <c r="AG73" i="45" s="1"/>
  <c r="AG74" i="45" s="1"/>
  <c r="X21" i="31"/>
  <c r="AF28" i="44"/>
  <c r="AC72" i="44"/>
  <c r="X29" i="26"/>
  <c r="X11" i="28"/>
  <c r="AC28" i="44"/>
  <c r="X20" i="26"/>
  <c r="AF72" i="44"/>
  <c r="X20" i="31"/>
  <c r="X22" i="31"/>
  <c r="Q2" i="44"/>
  <c r="Q2" i="45" s="1"/>
  <c r="Q3" i="45" s="1"/>
  <c r="X52" i="25"/>
  <c r="Z36" i="44"/>
  <c r="X28" i="25"/>
  <c r="X25" i="28"/>
  <c r="X9" i="25"/>
  <c r="X12" i="31"/>
  <c r="X78" i="26"/>
  <c r="X65" i="27"/>
  <c r="AM3" i="45"/>
  <c r="AM4" i="45" s="1"/>
  <c r="AM5" i="45" s="1"/>
  <c r="AM6" i="45" s="1"/>
  <c r="AM7" i="45" s="1"/>
  <c r="AM8" i="45" s="1"/>
  <c r="AM9" i="45" s="1"/>
  <c r="AM10" i="45" s="1"/>
  <c r="AM11" i="45" s="1"/>
  <c r="AM12" i="45" s="1"/>
  <c r="AM13" i="45" s="1"/>
  <c r="AM14" i="45" s="1"/>
  <c r="AM15" i="45" s="1"/>
  <c r="AM16" i="45" s="1"/>
  <c r="AM17" i="45" s="1"/>
  <c r="AM18" i="45" s="1"/>
  <c r="AM19" i="45" s="1"/>
  <c r="AM20" i="45" s="1"/>
  <c r="AM21" i="45" s="1"/>
  <c r="AM22" i="45" s="1"/>
  <c r="AM23" i="45" s="1"/>
  <c r="AM24" i="45" s="1"/>
  <c r="AM25" i="45" s="1"/>
  <c r="AM26" i="45" s="1"/>
  <c r="AM27" i="45" s="1"/>
  <c r="AM28" i="45" s="1"/>
  <c r="AM29" i="45" s="1"/>
  <c r="AM30" i="45" s="1"/>
  <c r="AM31" i="45" s="1"/>
  <c r="AM32" i="45" s="1"/>
  <c r="AM33" i="45" s="1"/>
  <c r="AM34" i="45" s="1"/>
  <c r="AM35" i="45" s="1"/>
  <c r="AM36" i="45" s="1"/>
  <c r="AM37" i="45" s="1"/>
  <c r="AM38" i="45" s="1"/>
  <c r="AM39" i="45" s="1"/>
  <c r="AM40" i="45" s="1"/>
  <c r="AM41" i="45" s="1"/>
  <c r="AM42" i="45" s="1"/>
  <c r="AM43" i="45" s="1"/>
  <c r="AM44" i="45" s="1"/>
  <c r="AM45" i="45" s="1"/>
  <c r="AM46" i="45" s="1"/>
  <c r="AM47" i="45" s="1"/>
  <c r="AM48" i="45" s="1"/>
  <c r="AM49" i="45" s="1"/>
  <c r="AM50" i="45" s="1"/>
  <c r="AM51" i="45" s="1"/>
  <c r="AM52" i="45" s="1"/>
  <c r="AM53" i="45" s="1"/>
  <c r="AM54" i="45" s="1"/>
  <c r="AM55" i="45" s="1"/>
  <c r="AM56" i="45" s="1"/>
  <c r="AM57" i="45" s="1"/>
  <c r="AM58" i="45" s="1"/>
  <c r="AM59" i="45" s="1"/>
  <c r="AM60" i="45" s="1"/>
  <c r="AM61" i="45" s="1"/>
  <c r="AM62" i="45" s="1"/>
  <c r="AM63" i="45" s="1"/>
  <c r="AM64" i="45" s="1"/>
  <c r="AM65" i="45" s="1"/>
  <c r="AM66" i="45" s="1"/>
  <c r="AM67" i="45" s="1"/>
  <c r="AM68" i="45" s="1"/>
  <c r="AM69" i="45" s="1"/>
  <c r="AM70" i="45" s="1"/>
  <c r="AM71" i="45" s="1"/>
  <c r="AM72" i="45" s="1"/>
  <c r="AM73" i="45" s="1"/>
  <c r="AM74" i="45" s="1"/>
  <c r="X8" i="26"/>
  <c r="Q35" i="44"/>
  <c r="P73" i="44"/>
  <c r="AB43" i="44"/>
  <c r="X8" i="32"/>
  <c r="Q32" i="44"/>
  <c r="AF9" i="44"/>
  <c r="Z31" i="44"/>
  <c r="P43" i="44"/>
  <c r="Z20" i="44"/>
  <c r="Z33" i="44"/>
  <c r="Q22" i="44"/>
  <c r="AB18" i="44"/>
  <c r="AC51" i="44"/>
  <c r="AF48" i="44"/>
  <c r="AF64" i="44"/>
  <c r="AF11" i="44"/>
  <c r="P23" i="44"/>
  <c r="AF24" i="44"/>
  <c r="AB71" i="44"/>
  <c r="P31" i="44"/>
  <c r="X12" i="24"/>
  <c r="X24" i="26"/>
  <c r="AF40" i="44"/>
  <c r="X5" i="35"/>
  <c r="W33" i="23" s="1"/>
  <c r="Z40" i="44"/>
  <c r="Z57" i="44"/>
  <c r="AC12" i="44"/>
  <c r="X33" i="26"/>
  <c r="Q57" i="44"/>
  <c r="Z48" i="44"/>
  <c r="P10" i="44"/>
  <c r="AC64" i="44"/>
  <c r="Z65" i="44"/>
  <c r="Q49" i="44"/>
  <c r="Q50" i="44"/>
  <c r="X9" i="31"/>
  <c r="X17" i="28"/>
  <c r="Q8" i="44"/>
  <c r="AF22" i="44"/>
  <c r="P26" i="44"/>
  <c r="X76" i="31"/>
  <c r="X12" i="32"/>
  <c r="X9" i="28"/>
  <c r="AC43" i="44"/>
  <c r="Y11" i="44"/>
  <c r="Z27" i="44"/>
  <c r="Z49" i="44"/>
  <c r="X76" i="24"/>
  <c r="AD3" i="45"/>
  <c r="AD4" i="45" s="1"/>
  <c r="AD5" i="45" s="1"/>
  <c r="AD6" i="45" s="1"/>
  <c r="AD7" i="45" s="1"/>
  <c r="AD8" i="45" s="1"/>
  <c r="AD9" i="45" s="1"/>
  <c r="AD10" i="45" s="1"/>
  <c r="AD11" i="45" s="1"/>
  <c r="AD12" i="45" s="1"/>
  <c r="AD13" i="45" s="1"/>
  <c r="AD14" i="45" s="1"/>
  <c r="AD15" i="45" s="1"/>
  <c r="AD16" i="45" s="1"/>
  <c r="AD17" i="45" s="1"/>
  <c r="AD18" i="45" s="1"/>
  <c r="AD19" i="45" s="1"/>
  <c r="AD20" i="45" s="1"/>
  <c r="AD21" i="45" s="1"/>
  <c r="AD22" i="45" s="1"/>
  <c r="AD23" i="45" s="1"/>
  <c r="AD24" i="45" s="1"/>
  <c r="AD25" i="45" s="1"/>
  <c r="AD26" i="45" s="1"/>
  <c r="AD27" i="45" s="1"/>
  <c r="AD28" i="45" s="1"/>
  <c r="AD29" i="45" s="1"/>
  <c r="AD30" i="45" s="1"/>
  <c r="AD31" i="45" s="1"/>
  <c r="AD32" i="45" s="1"/>
  <c r="AD33" i="45" s="1"/>
  <c r="AD34" i="45" s="1"/>
  <c r="AD35" i="45" s="1"/>
  <c r="AD36" i="45" s="1"/>
  <c r="AD37" i="45" s="1"/>
  <c r="AD38" i="45" s="1"/>
  <c r="AD39" i="45" s="1"/>
  <c r="AD40" i="45" s="1"/>
  <c r="AD41" i="45" s="1"/>
  <c r="AD42" i="45" s="1"/>
  <c r="AD43" i="45" s="1"/>
  <c r="AD44" i="45" s="1"/>
  <c r="AD45" i="45" s="1"/>
  <c r="AD46" i="45" s="1"/>
  <c r="AD47" i="45" s="1"/>
  <c r="AD48" i="45" s="1"/>
  <c r="AD49" i="45" s="1"/>
  <c r="AD50" i="45" s="1"/>
  <c r="AD51" i="45" s="1"/>
  <c r="AD52" i="45" s="1"/>
  <c r="AD53" i="45" s="1"/>
  <c r="AD54" i="45" s="1"/>
  <c r="AD55" i="45" s="1"/>
  <c r="AD56" i="45" s="1"/>
  <c r="AD57" i="45" s="1"/>
  <c r="AD58" i="45" s="1"/>
  <c r="AD59" i="45" s="1"/>
  <c r="AD60" i="45" s="1"/>
  <c r="AD61" i="45" s="1"/>
  <c r="AD62" i="45" s="1"/>
  <c r="AD63" i="45" s="1"/>
  <c r="AD64" i="45" s="1"/>
  <c r="AD65" i="45" s="1"/>
  <c r="AD66" i="45" s="1"/>
  <c r="AD67" i="45" s="1"/>
  <c r="AD68" i="45" s="1"/>
  <c r="AD69" i="45" s="1"/>
  <c r="AD70" i="45" s="1"/>
  <c r="AD71" i="45" s="1"/>
  <c r="AD72" i="45" s="1"/>
  <c r="AD73" i="45" s="1"/>
  <c r="AD74" i="45" s="1"/>
  <c r="AC40" i="44"/>
  <c r="Q68" i="44"/>
  <c r="Z68" i="44"/>
  <c r="Z3" i="45"/>
  <c r="AC56" i="44"/>
  <c r="X73" i="31"/>
  <c r="AN3" i="45"/>
  <c r="AN4" i="45" s="1"/>
  <c r="AN5" i="45" s="1"/>
  <c r="AN6" i="45" s="1"/>
  <c r="AN7" i="45" s="1"/>
  <c r="AN8" i="45" s="1"/>
  <c r="AN9" i="45" s="1"/>
  <c r="AN10" i="45" s="1"/>
  <c r="AN11" i="45" s="1"/>
  <c r="AN12" i="45" s="1"/>
  <c r="AN13" i="45" s="1"/>
  <c r="AN14" i="45" s="1"/>
  <c r="AN15" i="45" s="1"/>
  <c r="AN16" i="45" s="1"/>
  <c r="AN17" i="45" s="1"/>
  <c r="AN18" i="45" s="1"/>
  <c r="AN19" i="45" s="1"/>
  <c r="AN20" i="45" s="1"/>
  <c r="AN21" i="45" s="1"/>
  <c r="AN22" i="45" s="1"/>
  <c r="AN23" i="45" s="1"/>
  <c r="AN24" i="45" s="1"/>
  <c r="AN25" i="45" s="1"/>
  <c r="AN26" i="45" s="1"/>
  <c r="AN27" i="45" s="1"/>
  <c r="AN28" i="45" s="1"/>
  <c r="AN29" i="45" s="1"/>
  <c r="AN30" i="45" s="1"/>
  <c r="AN31" i="45" s="1"/>
  <c r="AN32" i="45" s="1"/>
  <c r="AN33" i="45" s="1"/>
  <c r="AN34" i="45" s="1"/>
  <c r="AN35" i="45" s="1"/>
  <c r="AN36" i="45" s="1"/>
  <c r="AN37" i="45" s="1"/>
  <c r="AN38" i="45" s="1"/>
  <c r="AN39" i="45" s="1"/>
  <c r="AN40" i="45" s="1"/>
  <c r="AN41" i="45" s="1"/>
  <c r="AN42" i="45" s="1"/>
  <c r="AN43" i="45" s="1"/>
  <c r="AN44" i="45" s="1"/>
  <c r="AN45" i="45" s="1"/>
  <c r="AN46" i="45" s="1"/>
  <c r="AN47" i="45" s="1"/>
  <c r="AN48" i="45" s="1"/>
  <c r="AN49" i="45" s="1"/>
  <c r="AN50" i="45" s="1"/>
  <c r="AN51" i="45" s="1"/>
  <c r="AN52" i="45" s="1"/>
  <c r="AN53" i="45" s="1"/>
  <c r="AN54" i="45" s="1"/>
  <c r="AN55" i="45" s="1"/>
  <c r="AN56" i="45" s="1"/>
  <c r="AN57" i="45" s="1"/>
  <c r="AN58" i="45" s="1"/>
  <c r="AN59" i="45" s="1"/>
  <c r="AN60" i="45" s="1"/>
  <c r="AN61" i="45" s="1"/>
  <c r="AN62" i="45" s="1"/>
  <c r="AN63" i="45" s="1"/>
  <c r="AN64" i="45" s="1"/>
  <c r="AN65" i="45" s="1"/>
  <c r="AN66" i="45" s="1"/>
  <c r="AN67" i="45" s="1"/>
  <c r="AN68" i="45" s="1"/>
  <c r="AN69" i="45" s="1"/>
  <c r="AN70" i="45" s="1"/>
  <c r="AN71" i="45" s="1"/>
  <c r="AN72" i="45" s="1"/>
  <c r="AN73" i="45" s="1"/>
  <c r="AN74" i="45" s="1"/>
  <c r="Q15" i="44"/>
  <c r="AJ3" i="45"/>
  <c r="AJ4" i="45" s="1"/>
  <c r="AJ5" i="45" s="1"/>
  <c r="AJ6" i="45" s="1"/>
  <c r="AJ7" i="45" s="1"/>
  <c r="AJ8" i="45" s="1"/>
  <c r="AJ9" i="45" s="1"/>
  <c r="AJ10" i="45" s="1"/>
  <c r="AJ11" i="45" s="1"/>
  <c r="AJ12" i="45" s="1"/>
  <c r="AJ13" i="45" s="1"/>
  <c r="AJ14" i="45" s="1"/>
  <c r="AJ15" i="45" s="1"/>
  <c r="AJ16" i="45" s="1"/>
  <c r="AJ17" i="45" s="1"/>
  <c r="AJ18" i="45" s="1"/>
  <c r="AJ19" i="45" s="1"/>
  <c r="AJ20" i="45" s="1"/>
  <c r="AJ21" i="45" s="1"/>
  <c r="AJ22" i="45" s="1"/>
  <c r="AJ23" i="45" s="1"/>
  <c r="AJ24" i="45" s="1"/>
  <c r="AJ25" i="45" s="1"/>
  <c r="AJ26" i="45" s="1"/>
  <c r="AJ27" i="45" s="1"/>
  <c r="AJ28" i="45" s="1"/>
  <c r="AJ29" i="45" s="1"/>
  <c r="AJ30" i="45" s="1"/>
  <c r="AJ31" i="45" s="1"/>
  <c r="AJ32" i="45" s="1"/>
  <c r="AJ33" i="45" s="1"/>
  <c r="AJ34" i="45" s="1"/>
  <c r="AJ35" i="45" s="1"/>
  <c r="AJ36" i="45" s="1"/>
  <c r="AJ37" i="45" s="1"/>
  <c r="AJ38" i="45" s="1"/>
  <c r="AJ39" i="45" s="1"/>
  <c r="AJ40" i="45" s="1"/>
  <c r="AJ41" i="45" s="1"/>
  <c r="AJ42" i="45" s="1"/>
  <c r="AJ43" i="45" s="1"/>
  <c r="AJ44" i="45" s="1"/>
  <c r="AJ45" i="45" s="1"/>
  <c r="AJ46" i="45" s="1"/>
  <c r="AJ47" i="45" s="1"/>
  <c r="AJ48" i="45" s="1"/>
  <c r="AJ49" i="45" s="1"/>
  <c r="AJ50" i="45" s="1"/>
  <c r="AJ51" i="45" s="1"/>
  <c r="AJ52" i="45" s="1"/>
  <c r="AJ53" i="45" s="1"/>
  <c r="AJ54" i="45" s="1"/>
  <c r="AJ55" i="45" s="1"/>
  <c r="AJ56" i="45" s="1"/>
  <c r="AJ57" i="45" s="1"/>
  <c r="AJ58" i="45" s="1"/>
  <c r="AJ59" i="45" s="1"/>
  <c r="AJ60" i="45" s="1"/>
  <c r="AJ61" i="45" s="1"/>
  <c r="AJ62" i="45" s="1"/>
  <c r="AJ63" i="45" s="1"/>
  <c r="AJ64" i="45" s="1"/>
  <c r="AJ65" i="45" s="1"/>
  <c r="AJ66" i="45" s="1"/>
  <c r="AJ67" i="45" s="1"/>
  <c r="AJ68" i="45" s="1"/>
  <c r="AJ69" i="45" s="1"/>
  <c r="AJ70" i="45" s="1"/>
  <c r="AJ71" i="45" s="1"/>
  <c r="AJ72" i="45" s="1"/>
  <c r="AJ73" i="45" s="1"/>
  <c r="AJ74" i="45" s="1"/>
  <c r="Q47" i="44"/>
  <c r="AF74" i="44"/>
  <c r="X62" i="25"/>
  <c r="X12" i="7"/>
  <c r="X33" i="28"/>
  <c r="X14" i="28"/>
  <c r="X53" i="32"/>
  <c r="Y22" i="44"/>
  <c r="Z59" i="44"/>
  <c r="Z72" i="44"/>
  <c r="X5" i="38"/>
  <c r="W42" i="23" s="1"/>
  <c r="X79" i="22"/>
  <c r="T74" i="44"/>
  <c r="X12" i="11"/>
  <c r="M7" i="44"/>
  <c r="X68" i="20"/>
  <c r="O63" i="44"/>
  <c r="X12" i="6"/>
  <c r="E7" i="44"/>
  <c r="X29" i="4"/>
  <c r="D24" i="44"/>
  <c r="X50" i="5"/>
  <c r="C45" i="44"/>
  <c r="X68" i="13"/>
  <c r="K63" i="44"/>
  <c r="X30" i="9"/>
  <c r="F25" i="44"/>
  <c r="X53" i="6"/>
  <c r="E48" i="44"/>
  <c r="X63" i="4"/>
  <c r="D58" i="44"/>
  <c r="X67" i="4"/>
  <c r="D62" i="44"/>
  <c r="X47" i="19"/>
  <c r="V42" i="44"/>
  <c r="X13" i="11"/>
  <c r="M8" i="44"/>
  <c r="Y30" i="23"/>
  <c r="X32" i="1"/>
  <c r="X23" i="3"/>
  <c r="B18" i="44"/>
  <c r="X43" i="3"/>
  <c r="B38" i="44"/>
  <c r="X64" i="5"/>
  <c r="C59" i="44"/>
  <c r="X78" i="6"/>
  <c r="E73" i="44"/>
  <c r="X71" i="7"/>
  <c r="L66" i="44"/>
  <c r="X36" i="10"/>
  <c r="G31" i="44"/>
  <c r="X33" i="11"/>
  <c r="M28" i="44"/>
  <c r="X69" i="12"/>
  <c r="I64" i="44"/>
  <c r="X73" i="14"/>
  <c r="S68" i="44"/>
  <c r="X14" i="17"/>
  <c r="AA9" i="44"/>
  <c r="X65" i="19"/>
  <c r="V60" i="44"/>
  <c r="X67" i="20"/>
  <c r="O62" i="44"/>
  <c r="X24" i="21"/>
  <c r="U19" i="44"/>
  <c r="X78" i="22"/>
  <c r="T73" i="44"/>
  <c r="X32" i="24"/>
  <c r="P27" i="44"/>
  <c r="X67" i="25"/>
  <c r="AC62" i="44"/>
  <c r="X27" i="26"/>
  <c r="Z22" i="44"/>
  <c r="X51" i="27"/>
  <c r="AB46" i="44"/>
  <c r="X12" i="28"/>
  <c r="Y7" i="44"/>
  <c r="X73" i="29"/>
  <c r="W68" i="44"/>
  <c r="X19" i="29"/>
  <c r="W14" i="44"/>
  <c r="X30" i="31"/>
  <c r="AF25" i="44"/>
  <c r="X62" i="31"/>
  <c r="AF57" i="44"/>
  <c r="X58" i="32"/>
  <c r="Q53" i="44"/>
  <c r="X74" i="20"/>
  <c r="O69" i="44"/>
  <c r="X34" i="18"/>
  <c r="J29" i="44"/>
  <c r="X61" i="14"/>
  <c r="S56" i="44"/>
  <c r="X7" i="18"/>
  <c r="J2" i="44"/>
  <c r="J2" i="45" s="1"/>
  <c r="X79" i="16"/>
  <c r="N74" i="44"/>
  <c r="X8" i="16"/>
  <c r="N3" i="44"/>
  <c r="X8" i="15"/>
  <c r="R3" i="44"/>
  <c r="R3" i="45" s="1"/>
  <c r="X19" i="18"/>
  <c r="J14" i="44"/>
  <c r="X12" i="16"/>
  <c r="N7" i="44"/>
  <c r="X7" i="14"/>
  <c r="S2" i="44"/>
  <c r="S2" i="45" s="1"/>
  <c r="X63" i="12"/>
  <c r="I58" i="44"/>
  <c r="X67" i="8"/>
  <c r="H62" i="44"/>
  <c r="X35" i="10"/>
  <c r="G30" i="44"/>
  <c r="X60" i="13"/>
  <c r="K55" i="44"/>
  <c r="X28" i="8"/>
  <c r="H23" i="44"/>
  <c r="X34" i="4"/>
  <c r="D29" i="44"/>
  <c r="X37" i="6"/>
  <c r="E32" i="44"/>
  <c r="X23" i="4"/>
  <c r="D18" i="44"/>
  <c r="X35" i="25"/>
  <c r="AC30" i="44"/>
  <c r="X31" i="1"/>
  <c r="Y31" i="23"/>
  <c r="X70" i="3"/>
  <c r="B65" i="44"/>
  <c r="X17" i="3"/>
  <c r="B12" i="44"/>
  <c r="X32" i="5"/>
  <c r="C27" i="44"/>
  <c r="X63" i="7"/>
  <c r="L58" i="44"/>
  <c r="X22" i="8"/>
  <c r="H17" i="44"/>
  <c r="X28" i="10"/>
  <c r="G23" i="44"/>
  <c r="X48" i="11"/>
  <c r="M43" i="44"/>
  <c r="X65" i="11"/>
  <c r="M60" i="44"/>
  <c r="X24" i="12"/>
  <c r="I19" i="44"/>
  <c r="X65" i="13"/>
  <c r="K60" i="44"/>
  <c r="X14" i="14"/>
  <c r="S9" i="44"/>
  <c r="X72" i="18"/>
  <c r="J67" i="44"/>
  <c r="X59" i="20"/>
  <c r="O54" i="44"/>
  <c r="X8" i="21"/>
  <c r="U3" i="44"/>
  <c r="X70" i="22"/>
  <c r="T65" i="44"/>
  <c r="X69" i="24"/>
  <c r="P64" i="44"/>
  <c r="X67" i="26"/>
  <c r="Z62" i="44"/>
  <c r="X26" i="27"/>
  <c r="AB21" i="44"/>
  <c r="X67" i="28"/>
  <c r="Y62" i="44"/>
  <c r="X45" i="28"/>
  <c r="Y40" i="44"/>
  <c r="X49" i="29"/>
  <c r="W44" i="44"/>
  <c r="X17" i="29"/>
  <c r="W12" i="44"/>
  <c r="X28" i="31"/>
  <c r="AF23" i="44"/>
  <c r="X60" i="31"/>
  <c r="AF55" i="44"/>
  <c r="X60" i="32"/>
  <c r="Q55" i="44"/>
  <c r="X51" i="18"/>
  <c r="J46" i="44"/>
  <c r="X69" i="4"/>
  <c r="D64" i="44"/>
  <c r="X59" i="28"/>
  <c r="Y54" i="44"/>
  <c r="X73" i="24"/>
  <c r="P68" i="44"/>
  <c r="X51" i="26"/>
  <c r="Z46" i="44"/>
  <c r="X69" i="27"/>
  <c r="AB64" i="44"/>
  <c r="X52" i="29"/>
  <c r="W47" i="44"/>
  <c r="X61" i="30"/>
  <c r="X56" i="44"/>
  <c r="X8" i="30"/>
  <c r="X3" i="44"/>
  <c r="X78" i="30"/>
  <c r="X73" i="44"/>
  <c r="X47" i="30"/>
  <c r="X42" i="44"/>
  <c r="X51" i="30"/>
  <c r="X46" i="44"/>
  <c r="Y20" i="23"/>
  <c r="X33" i="1"/>
  <c r="X46" i="3"/>
  <c r="B41" i="44"/>
  <c r="X38" i="3"/>
  <c r="B33" i="44"/>
  <c r="X7" i="3"/>
  <c r="B2" i="44"/>
  <c r="B2" i="45" s="1"/>
  <c r="X72" i="3"/>
  <c r="B67" i="44"/>
  <c r="X58" i="3"/>
  <c r="B53" i="44"/>
  <c r="X34" i="3"/>
  <c r="B29" i="44"/>
  <c r="X27" i="3"/>
  <c r="B22" i="44"/>
  <c r="X41" i="4"/>
  <c r="D36" i="44"/>
  <c r="X78" i="5"/>
  <c r="C73" i="44"/>
  <c r="X38" i="5"/>
  <c r="C33" i="44"/>
  <c r="X40" i="5"/>
  <c r="C35" i="44"/>
  <c r="X29" i="5"/>
  <c r="C24" i="44"/>
  <c r="X57" i="6"/>
  <c r="E52" i="44"/>
  <c r="X30" i="6"/>
  <c r="E25" i="44"/>
  <c r="X17" i="7"/>
  <c r="L12" i="44"/>
  <c r="X65" i="7"/>
  <c r="L60" i="44"/>
  <c r="X23" i="7"/>
  <c r="L18" i="44"/>
  <c r="X44" i="7"/>
  <c r="L39" i="44"/>
  <c r="X46" i="8"/>
  <c r="H41" i="44"/>
  <c r="X57" i="9"/>
  <c r="F52" i="44"/>
  <c r="X48" i="9"/>
  <c r="F43" i="44"/>
  <c r="X52" i="10"/>
  <c r="G47" i="44"/>
  <c r="X72" i="11"/>
  <c r="M67" i="44"/>
  <c r="X8" i="11"/>
  <c r="M3" i="44"/>
  <c r="X46" i="11"/>
  <c r="M41" i="44"/>
  <c r="X78" i="11"/>
  <c r="M73" i="44"/>
  <c r="X14" i="11"/>
  <c r="M9" i="44"/>
  <c r="X49" i="12"/>
  <c r="I44" i="44"/>
  <c r="X37" i="12"/>
  <c r="I32" i="44"/>
  <c r="X48" i="12"/>
  <c r="I43" i="44"/>
  <c r="X77" i="12"/>
  <c r="I72" i="44"/>
  <c r="X33" i="13"/>
  <c r="K28" i="44"/>
  <c r="X54" i="13"/>
  <c r="K49" i="44"/>
  <c r="X70" i="13"/>
  <c r="K65" i="44"/>
  <c r="X25" i="14"/>
  <c r="S20" i="44"/>
  <c r="X38" i="14"/>
  <c r="S33" i="44"/>
  <c r="X76" i="15"/>
  <c r="R71" i="44"/>
  <c r="X12" i="15"/>
  <c r="R7" i="44"/>
  <c r="X65" i="16"/>
  <c r="N60" i="44"/>
  <c r="X30" i="17"/>
  <c r="AA25" i="44"/>
  <c r="X46" i="18"/>
  <c r="J41" i="44"/>
  <c r="X14" i="18"/>
  <c r="J9" i="44"/>
  <c r="X32" i="18"/>
  <c r="J27" i="44"/>
  <c r="X61" i="19"/>
  <c r="V56" i="44"/>
  <c r="X17" i="19"/>
  <c r="V12" i="44"/>
  <c r="X40" i="19"/>
  <c r="V35" i="44"/>
  <c r="X69" i="19"/>
  <c r="V64" i="44"/>
  <c r="X19" i="20"/>
  <c r="O14" i="44"/>
  <c r="X65" i="20"/>
  <c r="O60" i="44"/>
  <c r="X78" i="21"/>
  <c r="U73" i="44"/>
  <c r="X14" i="21"/>
  <c r="U9" i="44"/>
  <c r="X73" i="22"/>
  <c r="T68" i="44"/>
  <c r="X30" i="22"/>
  <c r="T25" i="44"/>
  <c r="X26" i="24"/>
  <c r="P21" i="44"/>
  <c r="X35" i="24"/>
  <c r="P30" i="44"/>
  <c r="X39" i="24"/>
  <c r="P34" i="44"/>
  <c r="X42" i="25"/>
  <c r="AC37" i="44"/>
  <c r="X20" i="25"/>
  <c r="AC15" i="44"/>
  <c r="X25" i="25"/>
  <c r="AC20" i="44"/>
  <c r="X46" i="26"/>
  <c r="Z41" i="44"/>
  <c r="X50" i="26"/>
  <c r="Z45" i="44"/>
  <c r="X72" i="27"/>
  <c r="AB67" i="44"/>
  <c r="X64" i="27"/>
  <c r="AB59" i="44"/>
  <c r="X71" i="27"/>
  <c r="AB66" i="44"/>
  <c r="X61" i="27"/>
  <c r="AB56" i="44"/>
  <c r="X79" i="28"/>
  <c r="Y74" i="44"/>
  <c r="X37" i="28"/>
  <c r="Y32" i="44"/>
  <c r="X28" i="28"/>
  <c r="Y23" i="44"/>
  <c r="X10" i="28"/>
  <c r="Y5" i="44"/>
  <c r="X24" i="28"/>
  <c r="Y19" i="44"/>
  <c r="X77" i="29"/>
  <c r="W72" i="44"/>
  <c r="X61" i="29"/>
  <c r="W56" i="44"/>
  <c r="X39" i="29"/>
  <c r="W34" i="44"/>
  <c r="X23" i="29"/>
  <c r="W18" i="44"/>
  <c r="X7" i="29"/>
  <c r="W2" i="44"/>
  <c r="W2" i="45" s="1"/>
  <c r="W3" i="45" s="1"/>
  <c r="X30" i="30"/>
  <c r="X25" i="44"/>
  <c r="X49" i="31"/>
  <c r="AF44" i="44"/>
  <c r="X63" i="31"/>
  <c r="AF58" i="44"/>
  <c r="X34" i="31"/>
  <c r="AF29" i="44"/>
  <c r="X43" i="31"/>
  <c r="AF38" i="44"/>
  <c r="X36" i="23"/>
  <c r="Z36" i="23" s="1"/>
  <c r="W35" i="1"/>
  <c r="Z35" i="1" s="1"/>
  <c r="X5" i="37"/>
  <c r="Y29" i="23"/>
  <c r="X26" i="1"/>
  <c r="X27" i="15"/>
  <c r="R22" i="44"/>
  <c r="X39" i="10"/>
  <c r="G34" i="44"/>
  <c r="X19" i="8"/>
  <c r="H14" i="44"/>
  <c r="X35" i="13"/>
  <c r="K30" i="44"/>
  <c r="X50" i="6"/>
  <c r="E45" i="44"/>
  <c r="X18" i="5"/>
  <c r="C13" i="44"/>
  <c r="X39" i="4"/>
  <c r="D34" i="44"/>
  <c r="X28" i="11"/>
  <c r="M23" i="44"/>
  <c r="X23" i="18"/>
  <c r="J18" i="44"/>
  <c r="X20" i="11"/>
  <c r="M15" i="44"/>
  <c r="X11" i="18"/>
  <c r="J6" i="44"/>
  <c r="X36" i="14"/>
  <c r="S31" i="44"/>
  <c r="X51" i="10"/>
  <c r="G46" i="44"/>
  <c r="X50" i="4"/>
  <c r="D45" i="44"/>
  <c r="X52" i="30"/>
  <c r="X47" i="44"/>
  <c r="X71" i="32"/>
  <c r="Q66" i="44"/>
  <c r="X9" i="3"/>
  <c r="B4" i="44"/>
  <c r="X41" i="6"/>
  <c r="E36" i="44"/>
  <c r="X28" i="7"/>
  <c r="L23" i="44"/>
  <c r="X32" i="9"/>
  <c r="F27" i="44"/>
  <c r="X73" i="11"/>
  <c r="M68" i="44"/>
  <c r="X53" i="12"/>
  <c r="I48" i="44"/>
  <c r="X9" i="14"/>
  <c r="S4" i="44"/>
  <c r="X78" i="17"/>
  <c r="AA73" i="44"/>
  <c r="X45" i="19"/>
  <c r="V40" i="44"/>
  <c r="X62" i="21"/>
  <c r="U57" i="44"/>
  <c r="X7" i="24"/>
  <c r="P2" i="44"/>
  <c r="P2" i="45" s="1"/>
  <c r="X30" i="26"/>
  <c r="Z25" i="44"/>
  <c r="X42" i="27"/>
  <c r="AB37" i="44"/>
  <c r="X15" i="28"/>
  <c r="Y10" i="44"/>
  <c r="X22" i="30"/>
  <c r="X17" i="44"/>
  <c r="X24" i="22"/>
  <c r="T19" i="44"/>
  <c r="X53" i="20"/>
  <c r="O48" i="44"/>
  <c r="X50" i="10"/>
  <c r="G45" i="44"/>
  <c r="X78" i="14"/>
  <c r="S73" i="44"/>
  <c r="X23" i="22"/>
  <c r="T18" i="44"/>
  <c r="X71" i="9"/>
  <c r="F66" i="44"/>
  <c r="X35" i="22"/>
  <c r="T30" i="44"/>
  <c r="X74" i="12"/>
  <c r="I69" i="44"/>
  <c r="X8" i="7"/>
  <c r="L3" i="44"/>
  <c r="X38" i="10"/>
  <c r="G33" i="44"/>
  <c r="X24" i="4"/>
  <c r="D19" i="44"/>
  <c r="X14" i="10"/>
  <c r="G9" i="44"/>
  <c r="X61" i="8"/>
  <c r="H56" i="44"/>
  <c r="X69" i="17"/>
  <c r="AA64" i="44"/>
  <c r="X55" i="4"/>
  <c r="D50" i="44"/>
  <c r="X34" i="17"/>
  <c r="AA29" i="44"/>
  <c r="X31" i="20"/>
  <c r="O26" i="44"/>
  <c r="X22" i="9"/>
  <c r="F17" i="44"/>
  <c r="X10" i="15"/>
  <c r="R5" i="44"/>
  <c r="X21" i="16"/>
  <c r="N16" i="44"/>
  <c r="X46" i="9"/>
  <c r="F41" i="44"/>
  <c r="X69" i="15"/>
  <c r="R64" i="44"/>
  <c r="X64" i="13"/>
  <c r="K59" i="44"/>
  <c r="X8" i="17"/>
  <c r="AA3" i="44"/>
  <c r="X18" i="6"/>
  <c r="E13" i="44"/>
  <c r="X37" i="9"/>
  <c r="F32" i="44"/>
  <c r="X36" i="25"/>
  <c r="AC31" i="44"/>
  <c r="X51" i="29"/>
  <c r="W46" i="44"/>
  <c r="X75" i="30"/>
  <c r="X70" i="44"/>
  <c r="X74" i="28"/>
  <c r="Y69" i="44"/>
  <c r="X55" i="27"/>
  <c r="AB50" i="44"/>
  <c r="X61" i="24"/>
  <c r="P56" i="44"/>
  <c r="X57" i="26"/>
  <c r="Z52" i="44"/>
  <c r="X19" i="24"/>
  <c r="P14" i="44"/>
  <c r="Y23" i="23"/>
  <c r="X24" i="1"/>
  <c r="X50" i="18"/>
  <c r="J45" i="44"/>
  <c r="X39" i="20"/>
  <c r="O34" i="44"/>
  <c r="X60" i="21"/>
  <c r="U55" i="44"/>
  <c r="X66" i="17"/>
  <c r="AA61" i="44"/>
  <c r="X51" i="14"/>
  <c r="S46" i="44"/>
  <c r="X68" i="17"/>
  <c r="AA63" i="44"/>
  <c r="X77" i="14"/>
  <c r="S72" i="44"/>
  <c r="X74" i="17"/>
  <c r="AA69" i="44"/>
  <c r="X75" i="15"/>
  <c r="R70" i="44"/>
  <c r="X67" i="15"/>
  <c r="R62" i="44"/>
  <c r="X31" i="12"/>
  <c r="I26" i="44"/>
  <c r="X26" i="9"/>
  <c r="F21" i="44"/>
  <c r="X23" i="11"/>
  <c r="M18" i="44"/>
  <c r="X57" i="15"/>
  <c r="R52" i="44"/>
  <c r="X15" i="11"/>
  <c r="M10" i="44"/>
  <c r="X36" i="9"/>
  <c r="F31" i="44"/>
  <c r="X34" i="6"/>
  <c r="E29" i="44"/>
  <c r="X46" i="10"/>
  <c r="G41" i="44"/>
  <c r="X52" i="8"/>
  <c r="H47" i="44"/>
  <c r="X27" i="6"/>
  <c r="E22" i="44"/>
  <c r="X18" i="7"/>
  <c r="L13" i="44"/>
  <c r="X15" i="18"/>
  <c r="J10" i="44"/>
  <c r="X66" i="9"/>
  <c r="F61" i="44"/>
  <c r="X28" i="22"/>
  <c r="T23" i="44"/>
  <c r="X47" i="12"/>
  <c r="I42" i="44"/>
  <c r="X31" i="8"/>
  <c r="H26" i="44"/>
  <c r="X26" i="21"/>
  <c r="U21" i="44"/>
  <c r="X39" i="17"/>
  <c r="AA34" i="44"/>
  <c r="X68" i="5"/>
  <c r="C63" i="44"/>
  <c r="X67" i="21"/>
  <c r="U62" i="44"/>
  <c r="X35" i="14"/>
  <c r="S30" i="44"/>
  <c r="X24" i="8"/>
  <c r="H19" i="44"/>
  <c r="X43" i="6"/>
  <c r="E38" i="44"/>
  <c r="X40" i="15"/>
  <c r="R35" i="44"/>
  <c r="X55" i="16"/>
  <c r="N50" i="44"/>
  <c r="X71" i="12"/>
  <c r="I66" i="44"/>
  <c r="X51" i="6"/>
  <c r="E46" i="44"/>
  <c r="X12" i="4"/>
  <c r="D7" i="44"/>
  <c r="X29" i="20"/>
  <c r="O24" i="44"/>
  <c r="X60" i="16"/>
  <c r="N55" i="44"/>
  <c r="X64" i="7"/>
  <c r="L59" i="44"/>
  <c r="X52" i="19"/>
  <c r="V47" i="44"/>
  <c r="X10" i="16"/>
  <c r="N5" i="44"/>
  <c r="X8" i="8"/>
  <c r="H3" i="44"/>
  <c r="X20" i="5"/>
  <c r="C15" i="44"/>
  <c r="X64" i="22"/>
  <c r="T59" i="44"/>
  <c r="X43" i="14"/>
  <c r="S38" i="44"/>
  <c r="X68" i="4"/>
  <c r="D63" i="44"/>
  <c r="X78" i="15"/>
  <c r="R73" i="44"/>
  <c r="X71" i="22"/>
  <c r="T66" i="44"/>
  <c r="X32" i="14"/>
  <c r="S27" i="44"/>
  <c r="X44" i="6"/>
  <c r="E39" i="44"/>
  <c r="X74" i="14"/>
  <c r="S69" i="44"/>
  <c r="X42" i="18"/>
  <c r="J37" i="44"/>
  <c r="X56" i="13"/>
  <c r="K51" i="44"/>
  <c r="X34" i="15"/>
  <c r="R29" i="44"/>
  <c r="X53" i="16"/>
  <c r="N48" i="44"/>
  <c r="X51" i="4"/>
  <c r="D46" i="44"/>
  <c r="X64" i="4"/>
  <c r="D59" i="44"/>
  <c r="X52" i="16"/>
  <c r="N47" i="44"/>
  <c r="X12" i="13"/>
  <c r="K7" i="44"/>
  <c r="X19" i="4"/>
  <c r="D14" i="44"/>
  <c r="X27" i="7"/>
  <c r="L22" i="44"/>
  <c r="X26" i="18"/>
  <c r="J21" i="44"/>
  <c r="X60" i="24"/>
  <c r="P55" i="44"/>
  <c r="X31" i="25"/>
  <c r="AC26" i="44"/>
  <c r="X21" i="32"/>
  <c r="Q16" i="44"/>
  <c r="X71" i="30"/>
  <c r="X66" i="44"/>
  <c r="X27" i="30"/>
  <c r="X22" i="44"/>
  <c r="X72" i="28"/>
  <c r="Y67" i="44"/>
  <c r="X50" i="28"/>
  <c r="Y45" i="44"/>
  <c r="X37" i="27"/>
  <c r="AB32" i="44"/>
  <c r="X34" i="26"/>
  <c r="Z29" i="44"/>
  <c r="X53" i="24"/>
  <c r="P48" i="44"/>
  <c r="X5" i="33"/>
  <c r="X39" i="27"/>
  <c r="AB34" i="44"/>
  <c r="X52" i="26"/>
  <c r="Z47" i="44"/>
  <c r="X46" i="25"/>
  <c r="AC41" i="44"/>
  <c r="X9" i="24"/>
  <c r="P4" i="44"/>
  <c r="X5" i="43"/>
  <c r="X5" i="40"/>
  <c r="X5" i="41"/>
  <c r="X15" i="31"/>
  <c r="AF10" i="44"/>
  <c r="X57" i="28"/>
  <c r="Y52" i="44"/>
  <c r="X33" i="27"/>
  <c r="AB28" i="44"/>
  <c r="X9" i="26"/>
  <c r="Z4" i="44"/>
  <c r="X70" i="24"/>
  <c r="P65" i="44"/>
  <c r="X45" i="13"/>
  <c r="K40" i="44"/>
  <c r="X79" i="7"/>
  <c r="L74" i="44"/>
  <c r="X52" i="13"/>
  <c r="K47" i="44"/>
  <c r="X11" i="12"/>
  <c r="I6" i="44"/>
  <c r="X36" i="17"/>
  <c r="AA31" i="44"/>
  <c r="X32" i="17"/>
  <c r="AA27" i="44"/>
  <c r="X74" i="18"/>
  <c r="J69" i="44"/>
  <c r="X20" i="22"/>
  <c r="T15" i="44"/>
  <c r="X23" i="21"/>
  <c r="U18" i="44"/>
  <c r="X36" i="4"/>
  <c r="D31" i="44"/>
  <c r="X7" i="21"/>
  <c r="U2" i="44"/>
  <c r="U2" i="45" s="1"/>
  <c r="X16" i="22"/>
  <c r="T11" i="44"/>
  <c r="X56" i="6"/>
  <c r="E51" i="44"/>
  <c r="X23" i="12"/>
  <c r="I18" i="44"/>
  <c r="X48" i="29"/>
  <c r="W43" i="44"/>
  <c r="X56" i="30"/>
  <c r="X51" i="44"/>
  <c r="X31" i="30"/>
  <c r="X26" i="44"/>
  <c r="X62" i="3"/>
  <c r="B57" i="44"/>
  <c r="X74" i="3"/>
  <c r="B69" i="44"/>
  <c r="X25" i="4"/>
  <c r="D20" i="44"/>
  <c r="X22" i="5"/>
  <c r="C17" i="44"/>
  <c r="X14" i="6"/>
  <c r="E9" i="44"/>
  <c r="X30" i="8"/>
  <c r="H25" i="44"/>
  <c r="X54" i="11"/>
  <c r="M49" i="44"/>
  <c r="X32" i="12"/>
  <c r="I27" i="44"/>
  <c r="X73" i="13"/>
  <c r="K68" i="44"/>
  <c r="X60" i="15"/>
  <c r="R55" i="44"/>
  <c r="X30" i="18"/>
  <c r="J25" i="44"/>
  <c r="X9" i="19"/>
  <c r="V4" i="44"/>
  <c r="X57" i="22"/>
  <c r="T52" i="44"/>
  <c r="X71" i="24"/>
  <c r="P66" i="44"/>
  <c r="X74" i="26"/>
  <c r="Z69" i="44"/>
  <c r="X52" i="27"/>
  <c r="AB47" i="44"/>
  <c r="X35" i="29"/>
  <c r="W30" i="44"/>
  <c r="X36" i="31"/>
  <c r="AF31" i="44"/>
  <c r="X48" i="22"/>
  <c r="T43" i="44"/>
  <c r="X68" i="18"/>
  <c r="J63" i="44"/>
  <c r="X64" i="20"/>
  <c r="O59" i="44"/>
  <c r="X18" i="22"/>
  <c r="T13" i="44"/>
  <c r="X28" i="19"/>
  <c r="V23" i="44"/>
  <c r="X23" i="19"/>
  <c r="V18" i="44"/>
  <c r="X56" i="15"/>
  <c r="R51" i="44"/>
  <c r="X39" i="16"/>
  <c r="N34" i="44"/>
  <c r="X13" i="14"/>
  <c r="S8" i="44"/>
  <c r="X42" i="10"/>
  <c r="G37" i="44"/>
  <c r="X67" i="12"/>
  <c r="I62" i="44"/>
  <c r="X28" i="9"/>
  <c r="F23" i="44"/>
  <c r="X28" i="12"/>
  <c r="I23" i="44"/>
  <c r="X52" i="9"/>
  <c r="F47" i="44"/>
  <c r="X51" i="5"/>
  <c r="C46" i="44"/>
  <c r="X16" i="6"/>
  <c r="E11" i="44"/>
  <c r="X8" i="4"/>
  <c r="D3" i="44"/>
  <c r="X45" i="4"/>
  <c r="D40" i="44"/>
  <c r="X56" i="7"/>
  <c r="L51" i="44"/>
  <c r="X37" i="30"/>
  <c r="X32" i="44"/>
  <c r="X44" i="30"/>
  <c r="X39" i="44"/>
  <c r="X23" i="30"/>
  <c r="X18" i="44"/>
  <c r="X68" i="32"/>
  <c r="Q63" i="44"/>
  <c r="X31" i="3"/>
  <c r="B26" i="44"/>
  <c r="X52" i="3"/>
  <c r="B47" i="44"/>
  <c r="X49" i="5"/>
  <c r="C44" i="44"/>
  <c r="X69" i="5"/>
  <c r="C64" i="44"/>
  <c r="X70" i="6"/>
  <c r="E65" i="44"/>
  <c r="X20" i="7"/>
  <c r="L15" i="44"/>
  <c r="X33" i="9"/>
  <c r="F28" i="44"/>
  <c r="X9" i="11"/>
  <c r="M4" i="44"/>
  <c r="X29" i="12"/>
  <c r="I24" i="44"/>
  <c r="X46" i="13"/>
  <c r="K41" i="44"/>
  <c r="X52" i="15"/>
  <c r="R47" i="44"/>
  <c r="X70" i="17"/>
  <c r="AA65" i="44"/>
  <c r="X13" i="18"/>
  <c r="J8" i="44"/>
  <c r="X16" i="19"/>
  <c r="V11" i="44"/>
  <c r="X72" i="21"/>
  <c r="U67" i="44"/>
  <c r="X74" i="24"/>
  <c r="P69" i="44"/>
  <c r="X27" i="24"/>
  <c r="P22" i="44"/>
  <c r="X58" i="25"/>
  <c r="AC53" i="44"/>
  <c r="X11" i="26"/>
  <c r="Z6" i="44"/>
  <c r="X11" i="27"/>
  <c r="AB6" i="44"/>
  <c r="X73" i="28"/>
  <c r="Y68" i="44"/>
  <c r="X7" i="28"/>
  <c r="Y2" i="44"/>
  <c r="Y2" i="45" s="1"/>
  <c r="X71" i="29"/>
  <c r="W66" i="44"/>
  <c r="X58" i="30"/>
  <c r="X53" i="44"/>
  <c r="X11" i="31"/>
  <c r="AF6" i="44"/>
  <c r="X67" i="32"/>
  <c r="Q62" i="44"/>
  <c r="X39" i="32"/>
  <c r="Q34" i="44"/>
  <c r="X32" i="13"/>
  <c r="K27" i="44"/>
  <c r="X72" i="7"/>
  <c r="L67" i="44"/>
  <c r="X24" i="15"/>
  <c r="R19" i="44"/>
  <c r="X79" i="5"/>
  <c r="C74" i="44"/>
  <c r="X32" i="8"/>
  <c r="H27" i="44"/>
  <c r="X16" i="7"/>
  <c r="L11" i="44"/>
  <c r="X55" i="21"/>
  <c r="U50" i="44"/>
  <c r="X32" i="4"/>
  <c r="D27" i="44"/>
  <c r="X23" i="16"/>
  <c r="N18" i="44"/>
  <c r="X72" i="22"/>
  <c r="T67" i="44"/>
  <c r="X75" i="4"/>
  <c r="D70" i="44"/>
  <c r="X21" i="6"/>
  <c r="E16" i="44"/>
  <c r="X44" i="4"/>
  <c r="D39" i="44"/>
  <c r="X44" i="8"/>
  <c r="H39" i="44"/>
  <c r="X71" i="18"/>
  <c r="J66" i="44"/>
  <c r="X12" i="17"/>
  <c r="AA7" i="44"/>
  <c r="X39" i="18"/>
  <c r="J34" i="44"/>
  <c r="X67" i="19"/>
  <c r="V62" i="44"/>
  <c r="X42" i="7"/>
  <c r="L37" i="44"/>
  <c r="X68" i="24"/>
  <c r="P63" i="44"/>
  <c r="X60" i="29"/>
  <c r="W55" i="44"/>
  <c r="Y5" i="3"/>
  <c r="X24" i="32"/>
  <c r="Q19" i="44"/>
  <c r="X33" i="30"/>
  <c r="X28" i="44"/>
  <c r="X52" i="28"/>
  <c r="Y47" i="44"/>
  <c r="X39" i="26"/>
  <c r="Z34" i="44"/>
  <c r="X47" i="27"/>
  <c r="AB42" i="44"/>
  <c r="X64" i="25"/>
  <c r="AC59" i="44"/>
  <c r="X5" i="34"/>
  <c r="X43" i="27"/>
  <c r="AB38" i="44"/>
  <c r="X12" i="20"/>
  <c r="O7" i="44"/>
  <c r="X63" i="21"/>
  <c r="U58" i="44"/>
  <c r="X75" i="18"/>
  <c r="J70" i="44"/>
  <c r="X15" i="20"/>
  <c r="O10" i="44"/>
  <c r="X61" i="16"/>
  <c r="N56" i="44"/>
  <c r="X28" i="17"/>
  <c r="AA23" i="44"/>
  <c r="X72" i="16"/>
  <c r="N67" i="44"/>
  <c r="X50" i="13"/>
  <c r="K45" i="44"/>
  <c r="X42" i="13"/>
  <c r="K37" i="44"/>
  <c r="X19" i="10"/>
  <c r="G14" i="44"/>
  <c r="X53" i="13"/>
  <c r="K48" i="44"/>
  <c r="X27" i="10"/>
  <c r="G22" i="44"/>
  <c r="X28" i="5"/>
  <c r="C23" i="44"/>
  <c r="X75" i="7"/>
  <c r="L70" i="44"/>
  <c r="X23" i="10"/>
  <c r="G18" i="44"/>
  <c r="X52" i="21"/>
  <c r="U47" i="44"/>
  <c r="X52" i="12"/>
  <c r="I47" i="44"/>
  <c r="X59" i="6"/>
  <c r="E54" i="44"/>
  <c r="X19" i="15"/>
  <c r="R14" i="44"/>
  <c r="X35" i="8"/>
  <c r="H30" i="44"/>
  <c r="X56" i="8"/>
  <c r="H51" i="44"/>
  <c r="X39" i="8"/>
  <c r="H34" i="44"/>
  <c r="X13" i="7"/>
  <c r="L8" i="44"/>
  <c r="X10" i="22"/>
  <c r="T5" i="44"/>
  <c r="X10" i="20"/>
  <c r="O5" i="44"/>
  <c r="X76" i="22"/>
  <c r="T71" i="44"/>
  <c r="X59" i="21"/>
  <c r="U54" i="44"/>
  <c r="X45" i="20"/>
  <c r="O40" i="44"/>
  <c r="X31" i="18"/>
  <c r="J26" i="44"/>
  <c r="X68" i="22"/>
  <c r="T63" i="44"/>
  <c r="X66" i="21"/>
  <c r="U61" i="44"/>
  <c r="X32" i="20"/>
  <c r="O27" i="44"/>
  <c r="X66" i="18"/>
  <c r="J61" i="44"/>
  <c r="X28" i="21"/>
  <c r="U23" i="44"/>
  <c r="X8" i="20"/>
  <c r="O3" i="44"/>
  <c r="X60" i="18"/>
  <c r="J55" i="44"/>
  <c r="X52" i="17"/>
  <c r="AA47" i="44"/>
  <c r="X56" i="16"/>
  <c r="N51" i="44"/>
  <c r="X35" i="15"/>
  <c r="R30" i="44"/>
  <c r="X23" i="17"/>
  <c r="AA18" i="44"/>
  <c r="X66" i="15"/>
  <c r="R61" i="44"/>
  <c r="X63" i="17"/>
  <c r="AA58" i="44"/>
  <c r="X67" i="16"/>
  <c r="N62" i="44"/>
  <c r="X53" i="15"/>
  <c r="R48" i="44"/>
  <c r="X72" i="14"/>
  <c r="S67" i="44"/>
  <c r="X36" i="13"/>
  <c r="K31" i="44"/>
  <c r="X11" i="22"/>
  <c r="T6" i="44"/>
  <c r="X60" i="17"/>
  <c r="AA55" i="44"/>
  <c r="X71" i="16"/>
  <c r="N66" i="44"/>
  <c r="X62" i="15"/>
  <c r="R57" i="44"/>
  <c r="X69" i="14"/>
  <c r="S64" i="44"/>
  <c r="X28" i="13"/>
  <c r="K23" i="44"/>
  <c r="X26" i="15"/>
  <c r="R21" i="44"/>
  <c r="X27" i="13"/>
  <c r="K22" i="44"/>
  <c r="X18" i="12"/>
  <c r="I13" i="44"/>
  <c r="X79" i="9"/>
  <c r="F74" i="44"/>
  <c r="X15" i="9"/>
  <c r="F10" i="44"/>
  <c r="X77" i="15"/>
  <c r="R72" i="44"/>
  <c r="X12" i="12"/>
  <c r="I7" i="44"/>
  <c r="X18" i="11"/>
  <c r="M13" i="44"/>
  <c r="X8" i="10"/>
  <c r="G3" i="44"/>
  <c r="X58" i="21"/>
  <c r="U53" i="44"/>
  <c r="X53" i="14"/>
  <c r="S48" i="44"/>
  <c r="X48" i="13"/>
  <c r="K43" i="44"/>
  <c r="X74" i="11"/>
  <c r="M69" i="44"/>
  <c r="X10" i="11"/>
  <c r="M5" i="44"/>
  <c r="X16" i="10"/>
  <c r="G11" i="44"/>
  <c r="X29" i="9"/>
  <c r="F24" i="44"/>
  <c r="X16" i="8"/>
  <c r="H11" i="44"/>
  <c r="X20" i="6"/>
  <c r="E15" i="44"/>
  <c r="X12" i="10"/>
  <c r="G7" i="44"/>
  <c r="X56" i="20"/>
  <c r="O51" i="44"/>
  <c r="X47" i="8"/>
  <c r="H42" i="44"/>
  <c r="X79" i="4"/>
  <c r="D74" i="44"/>
  <c r="X21" i="7"/>
  <c r="L16" i="44"/>
  <c r="X35" i="4"/>
  <c r="D30" i="44"/>
  <c r="X60" i="8"/>
  <c r="H55" i="44"/>
  <c r="X76" i="5"/>
  <c r="C71" i="44"/>
  <c r="X42" i="21"/>
  <c r="U37" i="44"/>
  <c r="X11" i="17"/>
  <c r="AA6" i="44"/>
  <c r="X28" i="14"/>
  <c r="S23" i="44"/>
  <c r="X43" i="12"/>
  <c r="I38" i="44"/>
  <c r="X55" i="9"/>
  <c r="F50" i="44"/>
  <c r="X63" i="8"/>
  <c r="H58" i="44"/>
  <c r="X52" i="6"/>
  <c r="E47" i="44"/>
  <c r="X8" i="22"/>
  <c r="T3" i="44"/>
  <c r="X74" i="16"/>
  <c r="N69" i="44"/>
  <c r="X14" i="15"/>
  <c r="R9" i="44"/>
  <c r="X26" i="12"/>
  <c r="I21" i="44"/>
  <c r="X26" i="8"/>
  <c r="H21" i="44"/>
  <c r="X64" i="6"/>
  <c r="E59" i="44"/>
  <c r="X35" i="16"/>
  <c r="N30" i="44"/>
  <c r="X51" i="7"/>
  <c r="L46" i="44"/>
  <c r="X26" i="17"/>
  <c r="AA21" i="44"/>
  <c r="X63" i="5"/>
  <c r="C58" i="44"/>
  <c r="X61" i="20"/>
  <c r="O56" i="44"/>
  <c r="X18" i="13"/>
  <c r="K13" i="44"/>
  <c r="X37" i="7"/>
  <c r="L32" i="44"/>
  <c r="X28" i="6"/>
  <c r="E23" i="44"/>
  <c r="X70" i="10"/>
  <c r="G65" i="44"/>
  <c r="X21" i="14"/>
  <c r="S16" i="44"/>
  <c r="X20" i="8"/>
  <c r="H15" i="44"/>
  <c r="X66" i="20"/>
  <c r="O61" i="44"/>
  <c r="X50" i="16"/>
  <c r="N45" i="44"/>
  <c r="X21" i="11"/>
  <c r="M16" i="44"/>
  <c r="X23" i="6"/>
  <c r="E18" i="44"/>
  <c r="X7" i="4"/>
  <c r="D2" i="44"/>
  <c r="D2" i="45" s="1"/>
  <c r="X21" i="20"/>
  <c r="O16" i="44"/>
  <c r="X16" i="16"/>
  <c r="N11" i="44"/>
  <c r="X34" i="7"/>
  <c r="L29" i="44"/>
  <c r="X39" i="19"/>
  <c r="V34" i="44"/>
  <c r="X59" i="15"/>
  <c r="R54" i="44"/>
  <c r="X66" i="7"/>
  <c r="L61" i="44"/>
  <c r="X15" i="5"/>
  <c r="C10" i="44"/>
  <c r="X36" i="20"/>
  <c r="O31" i="44"/>
  <c r="X69" i="13"/>
  <c r="K64" i="44"/>
  <c r="X61" i="4"/>
  <c r="D56" i="44"/>
  <c r="X70" i="15"/>
  <c r="R65" i="44"/>
  <c r="X45" i="22"/>
  <c r="T40" i="44"/>
  <c r="X24" i="14"/>
  <c r="S19" i="44"/>
  <c r="X31" i="6"/>
  <c r="E26" i="44"/>
  <c r="X66" i="14"/>
  <c r="S61" i="44"/>
  <c r="X18" i="8"/>
  <c r="H13" i="44"/>
  <c r="X20" i="17"/>
  <c r="AA15" i="44"/>
  <c r="X66" i="12"/>
  <c r="I61" i="44"/>
  <c r="X29" i="15"/>
  <c r="R24" i="44"/>
  <c r="X48" i="16"/>
  <c r="N43" i="44"/>
  <c r="X43" i="4"/>
  <c r="D38" i="44"/>
  <c r="X56" i="4"/>
  <c r="D51" i="44"/>
  <c r="X47" i="16"/>
  <c r="N42" i="44"/>
  <c r="X7" i="13"/>
  <c r="K2" i="44"/>
  <c r="K2" i="45" s="1"/>
  <c r="X19" i="21"/>
  <c r="U14" i="44"/>
  <c r="X66" i="4"/>
  <c r="D61" i="44"/>
  <c r="X75" i="17"/>
  <c r="AA70" i="44"/>
  <c r="X13" i="24"/>
  <c r="P8" i="44"/>
  <c r="W44" i="1"/>
  <c r="Z44" i="1" s="1"/>
  <c r="X35" i="23"/>
  <c r="Z35" i="23" s="1"/>
  <c r="X20" i="19"/>
  <c r="V15" i="44"/>
  <c r="X23" i="9"/>
  <c r="F18" i="44"/>
  <c r="X29" i="16"/>
  <c r="N24" i="44"/>
  <c r="X40" i="7"/>
  <c r="L35" i="44"/>
  <c r="X63" i="19"/>
  <c r="V58" i="44"/>
  <c r="X78" i="9"/>
  <c r="F73" i="44"/>
  <c r="X75" i="10"/>
  <c r="G70" i="44"/>
  <c r="X62" i="9"/>
  <c r="F57" i="44"/>
  <c r="X58" i="17"/>
  <c r="AA53" i="44"/>
  <c r="X13" i="17"/>
  <c r="AA8" i="44"/>
  <c r="X24" i="6"/>
  <c r="E19" i="44"/>
  <c r="X48" i="10"/>
  <c r="G43" i="44"/>
  <c r="X76" i="11"/>
  <c r="M71" i="44"/>
  <c r="X35" i="6"/>
  <c r="E30" i="44"/>
  <c r="X68" i="12"/>
  <c r="I63" i="44"/>
  <c r="X10" i="12"/>
  <c r="I5" i="44"/>
  <c r="X66" i="24"/>
  <c r="P61" i="44"/>
  <c r="X45" i="30"/>
  <c r="X40" i="44"/>
  <c r="X74" i="30"/>
  <c r="X69" i="44"/>
  <c r="X55" i="3"/>
  <c r="B50" i="44"/>
  <c r="X51" i="3"/>
  <c r="B46" i="44"/>
  <c r="X57" i="5"/>
  <c r="C52" i="44"/>
  <c r="X13" i="5"/>
  <c r="C8" i="44"/>
  <c r="X41" i="9"/>
  <c r="F36" i="44"/>
  <c r="X56" i="11"/>
  <c r="M51" i="44"/>
  <c r="X33" i="12"/>
  <c r="I28" i="44"/>
  <c r="X62" i="13"/>
  <c r="K57" i="44"/>
  <c r="X22" i="14"/>
  <c r="S17" i="44"/>
  <c r="X49" i="16"/>
  <c r="N44" i="44"/>
  <c r="X21" i="18"/>
  <c r="J16" i="44"/>
  <c r="X24" i="19"/>
  <c r="V19" i="44"/>
  <c r="X49" i="20"/>
  <c r="O44" i="44"/>
  <c r="X14" i="22"/>
  <c r="T9" i="44"/>
  <c r="X65" i="24"/>
  <c r="P60" i="44"/>
  <c r="X31" i="27"/>
  <c r="AB26" i="44"/>
  <c r="X75" i="28"/>
  <c r="Y70" i="44"/>
  <c r="X54" i="28"/>
  <c r="Y49" i="44"/>
  <c r="X53" i="29"/>
  <c r="W48" i="44"/>
  <c r="X62" i="30"/>
  <c r="X57" i="44"/>
  <c r="X25" i="31"/>
  <c r="AF20" i="44"/>
  <c r="X76" i="32"/>
  <c r="Q71" i="44"/>
  <c r="X63" i="18"/>
  <c r="J58" i="44"/>
  <c r="X11" i="21"/>
  <c r="U6" i="44"/>
  <c r="X32" i="22"/>
  <c r="T27" i="44"/>
  <c r="X68" i="16"/>
  <c r="N63" i="44"/>
  <c r="X43" i="18"/>
  <c r="J38" i="44"/>
  <c r="X33" i="15"/>
  <c r="R28" i="44"/>
  <c r="X40" i="14"/>
  <c r="S35" i="44"/>
  <c r="X42" i="9"/>
  <c r="F37" i="44"/>
  <c r="X39" i="11"/>
  <c r="M34" i="44"/>
  <c r="X45" i="16"/>
  <c r="N40" i="44"/>
  <c r="X31" i="11"/>
  <c r="M26" i="44"/>
  <c r="X67" i="6"/>
  <c r="E62" i="44"/>
  <c r="X69" i="8"/>
  <c r="H64" i="44"/>
  <c r="X12" i="8"/>
  <c r="H7" i="44"/>
  <c r="X44" i="11"/>
  <c r="M39" i="44"/>
  <c r="X62" i="29"/>
  <c r="W57" i="44"/>
  <c r="X48" i="30"/>
  <c r="X43" i="44"/>
  <c r="X72" i="30"/>
  <c r="X67" i="44"/>
  <c r="X66" i="31"/>
  <c r="AF61" i="44"/>
  <c r="X63" i="3"/>
  <c r="B58" i="44"/>
  <c r="X59" i="3"/>
  <c r="B54" i="44"/>
  <c r="X14" i="5"/>
  <c r="C9" i="44"/>
  <c r="X33" i="6"/>
  <c r="E28" i="44"/>
  <c r="X7" i="7"/>
  <c r="L2" i="44"/>
  <c r="L2" i="45" s="1"/>
  <c r="X24" i="9"/>
  <c r="F19" i="44"/>
  <c r="X22" i="11"/>
  <c r="M17" i="44"/>
  <c r="X25" i="12"/>
  <c r="I20" i="44"/>
  <c r="X21" i="12"/>
  <c r="I16" i="44"/>
  <c r="X65" i="14"/>
  <c r="S60" i="44"/>
  <c r="X41" i="16"/>
  <c r="N36" i="44"/>
  <c r="X25" i="18"/>
  <c r="J20" i="44"/>
  <c r="X57" i="19"/>
  <c r="V52" i="44"/>
  <c r="X37" i="19"/>
  <c r="V32" i="44"/>
  <c r="X41" i="20"/>
  <c r="O36" i="44"/>
  <c r="X54" i="21"/>
  <c r="U49" i="44"/>
  <c r="X49" i="22"/>
  <c r="T44" i="44"/>
  <c r="X68" i="25"/>
  <c r="AC63" i="44"/>
  <c r="X28" i="26"/>
  <c r="Z23" i="44"/>
  <c r="X29" i="27"/>
  <c r="AB24" i="44"/>
  <c r="X44" i="27"/>
  <c r="AB39" i="44"/>
  <c r="X49" i="28"/>
  <c r="Y44" i="44"/>
  <c r="X33" i="29"/>
  <c r="W28" i="44"/>
  <c r="X18" i="30"/>
  <c r="X13" i="44"/>
  <c r="X31" i="31"/>
  <c r="AF26" i="44"/>
  <c r="X60" i="14"/>
  <c r="S55" i="44"/>
  <c r="X7" i="9"/>
  <c r="F2" i="44"/>
  <c r="F2" i="45" s="1"/>
  <c r="X7" i="19"/>
  <c r="V2" i="44"/>
  <c r="V2" i="45" s="1"/>
  <c r="X36" i="8"/>
  <c r="H31" i="44"/>
  <c r="X44" i="17"/>
  <c r="AA39" i="44"/>
  <c r="X42" i="16"/>
  <c r="N37" i="44"/>
  <c r="X48" i="15"/>
  <c r="R43" i="44"/>
  <c r="X34" i="13"/>
  <c r="K29" i="44"/>
  <c r="X71" i="8"/>
  <c r="H66" i="44"/>
  <c r="X11" i="6"/>
  <c r="E6" i="44"/>
  <c r="X37" i="14"/>
  <c r="S32" i="44"/>
  <c r="X51" i="8"/>
  <c r="H46" i="44"/>
  <c r="X17" i="26"/>
  <c r="Z12" i="44"/>
  <c r="X17" i="20"/>
  <c r="O12" i="44"/>
  <c r="X50" i="20"/>
  <c r="O45" i="44"/>
  <c r="X75" i="21"/>
  <c r="U70" i="44"/>
  <c r="X10" i="19"/>
  <c r="V5" i="44"/>
  <c r="X37" i="15"/>
  <c r="R32" i="44"/>
  <c r="X32" i="16"/>
  <c r="N27" i="44"/>
  <c r="X58" i="15"/>
  <c r="R53" i="44"/>
  <c r="X76" i="16"/>
  <c r="N71" i="44"/>
  <c r="X71" i="14"/>
  <c r="S66" i="44"/>
  <c r="X71" i="13"/>
  <c r="K66" i="44"/>
  <c r="X15" i="10"/>
  <c r="G10" i="44"/>
  <c r="X35" i="12"/>
  <c r="I30" i="44"/>
  <c r="X74" i="8"/>
  <c r="H69" i="44"/>
  <c r="X79" i="11"/>
  <c r="M74" i="44"/>
  <c r="X21" i="8"/>
  <c r="H16" i="44"/>
  <c r="X40" i="4"/>
  <c r="D35" i="44"/>
  <c r="X16" i="4"/>
  <c r="D11" i="44"/>
  <c r="X55" i="14"/>
  <c r="S50" i="44"/>
  <c r="X68" i="8"/>
  <c r="H63" i="44"/>
  <c r="X72" i="17"/>
  <c r="AA67" i="44"/>
  <c r="X74" i="6"/>
  <c r="E69" i="44"/>
  <c r="X19" i="17"/>
  <c r="AA14" i="44"/>
  <c r="X13" i="22"/>
  <c r="T8" i="44"/>
  <c r="X74" i="22"/>
  <c r="T69" i="44"/>
  <c r="X68" i="21"/>
  <c r="U63" i="44"/>
  <c r="X59" i="19"/>
  <c r="V54" i="44"/>
  <c r="X50" i="22"/>
  <c r="T45" i="44"/>
  <c r="X50" i="21"/>
  <c r="U45" i="44"/>
  <c r="X7" i="20"/>
  <c r="O2" i="44"/>
  <c r="O2" i="45" s="1"/>
  <c r="O3" i="45" s="1"/>
  <c r="X27" i="18"/>
  <c r="J22" i="44"/>
  <c r="X63" i="22"/>
  <c r="T58" i="44"/>
  <c r="X47" i="21"/>
  <c r="U42" i="44"/>
  <c r="X20" i="20"/>
  <c r="O15" i="44"/>
  <c r="X47" i="18"/>
  <c r="J42" i="44"/>
  <c r="X58" i="22"/>
  <c r="T53" i="44"/>
  <c r="X79" i="20"/>
  <c r="O74" i="44"/>
  <c r="X74" i="19"/>
  <c r="V69" i="44"/>
  <c r="X28" i="18"/>
  <c r="J23" i="44"/>
  <c r="X47" i="17"/>
  <c r="AA42" i="44"/>
  <c r="X51" i="16"/>
  <c r="N46" i="44"/>
  <c r="X30" i="15"/>
  <c r="R25" i="44"/>
  <c r="X21" i="17"/>
  <c r="AA16" i="44"/>
  <c r="X32" i="15"/>
  <c r="R27" i="44"/>
  <c r="X61" i="17"/>
  <c r="AA56" i="44"/>
  <c r="X34" i="16"/>
  <c r="N29" i="44"/>
  <c r="X51" i="15"/>
  <c r="R46" i="44"/>
  <c r="X67" i="14"/>
  <c r="S62" i="44"/>
  <c r="X31" i="13"/>
  <c r="K26" i="44"/>
  <c r="X42" i="20"/>
  <c r="O37" i="44"/>
  <c r="X55" i="17"/>
  <c r="AA50" i="44"/>
  <c r="X69" i="16"/>
  <c r="N64" i="44"/>
  <c r="X50" i="15"/>
  <c r="R45" i="44"/>
  <c r="X64" i="14"/>
  <c r="S59" i="44"/>
  <c r="X23" i="13"/>
  <c r="K18" i="44"/>
  <c r="X21" i="15"/>
  <c r="R16" i="44"/>
  <c r="X20" i="13"/>
  <c r="K15" i="44"/>
  <c r="X71" i="10"/>
  <c r="G66" i="44"/>
  <c r="X74" i="9"/>
  <c r="F69" i="44"/>
  <c r="X10" i="9"/>
  <c r="F5" i="44"/>
  <c r="X13" i="15"/>
  <c r="R8" i="44"/>
  <c r="X71" i="11"/>
  <c r="M66" i="44"/>
  <c r="X7" i="11"/>
  <c r="M2" i="44"/>
  <c r="M2" i="45" s="1"/>
  <c r="X76" i="9"/>
  <c r="F71" i="44"/>
  <c r="X59" i="17"/>
  <c r="AA54" i="44"/>
  <c r="X48" i="14"/>
  <c r="S43" i="44"/>
  <c r="X43" i="13"/>
  <c r="K38" i="44"/>
  <c r="X63" i="11"/>
  <c r="M58" i="44"/>
  <c r="X79" i="10"/>
  <c r="G74" i="44"/>
  <c r="X11" i="10"/>
  <c r="G6" i="44"/>
  <c r="X20" i="9"/>
  <c r="F15" i="44"/>
  <c r="X11" i="8"/>
  <c r="H6" i="44"/>
  <c r="X15" i="6"/>
  <c r="E10" i="44"/>
  <c r="X79" i="13"/>
  <c r="K74" i="44"/>
  <c r="X45" i="8"/>
  <c r="H40" i="44"/>
  <c r="X77" i="4"/>
  <c r="D72" i="44"/>
  <c r="X11" i="7"/>
  <c r="L6" i="44"/>
  <c r="X10" i="6"/>
  <c r="E5" i="44"/>
  <c r="X67" i="17"/>
  <c r="AA62" i="44"/>
  <c r="X55" i="8"/>
  <c r="H50" i="44"/>
  <c r="X39" i="5"/>
  <c r="C34" i="44"/>
  <c r="X21" i="23"/>
  <c r="Z21" i="23" s="1"/>
  <c r="W37" i="1"/>
  <c r="Z37" i="1" s="1"/>
  <c r="W42" i="1"/>
  <c r="Z42" i="1" s="1"/>
  <c r="X41" i="23"/>
  <c r="Z41" i="23" s="1"/>
  <c r="X5" i="39"/>
  <c r="X31" i="32"/>
  <c r="Q26" i="44"/>
  <c r="X74" i="32"/>
  <c r="Q69" i="44"/>
  <c r="X15" i="32"/>
  <c r="Q10" i="44"/>
  <c r="X10" i="32"/>
  <c r="Q5" i="44"/>
  <c r="X37" i="23"/>
  <c r="Z37" i="23" s="1"/>
  <c r="W43" i="1"/>
  <c r="Z43" i="1" s="1"/>
  <c r="X10" i="31"/>
  <c r="AF5" i="44"/>
  <c r="X41" i="30"/>
  <c r="X36" i="44"/>
  <c r="X9" i="30"/>
  <c r="X4" i="44"/>
  <c r="X62" i="28"/>
  <c r="Y57" i="44"/>
  <c r="X78" i="27"/>
  <c r="AB73" i="44"/>
  <c r="X55" i="26"/>
  <c r="Z50" i="44"/>
  <c r="X49" i="25"/>
  <c r="AC44" i="44"/>
  <c r="X20" i="28"/>
  <c r="Y15" i="44"/>
  <c r="X65" i="26"/>
  <c r="Z60" i="44"/>
  <c r="X10" i="26"/>
  <c r="Z5" i="44"/>
  <c r="X42" i="24"/>
  <c r="P37" i="44"/>
  <c r="X64" i="31"/>
  <c r="AF59" i="44"/>
  <c r="X56" i="26"/>
  <c r="Z51" i="44"/>
  <c r="X22" i="25"/>
  <c r="AC17" i="44"/>
  <c r="X13" i="6"/>
  <c r="E8" i="44"/>
  <c r="X43" i="22"/>
  <c r="T38" i="44"/>
  <c r="X69" i="20"/>
  <c r="O64" i="44"/>
  <c r="X36" i="18"/>
  <c r="J31" i="44"/>
  <c r="X19" i="22"/>
  <c r="T14" i="44"/>
  <c r="X52" i="20"/>
  <c r="O47" i="44"/>
  <c r="X59" i="18"/>
  <c r="J54" i="44"/>
  <c r="X79" i="21"/>
  <c r="U74" i="44"/>
  <c r="X77" i="20"/>
  <c r="O72" i="44"/>
  <c r="X79" i="18"/>
  <c r="J74" i="44"/>
  <c r="X27" i="22"/>
  <c r="T22" i="44"/>
  <c r="X19" i="19"/>
  <c r="V14" i="44"/>
  <c r="X63" i="16"/>
  <c r="N58" i="44"/>
  <c r="X42" i="15"/>
  <c r="R37" i="44"/>
  <c r="X56" i="14"/>
  <c r="S51" i="44"/>
  <c r="X42" i="17"/>
  <c r="AA37" i="44"/>
  <c r="X37" i="16"/>
  <c r="N32" i="44"/>
  <c r="X20" i="18"/>
  <c r="J15" i="44"/>
  <c r="X77" i="16"/>
  <c r="N72" i="44"/>
  <c r="X73" i="15"/>
  <c r="R68" i="44"/>
  <c r="X79" i="14"/>
  <c r="S74" i="44"/>
  <c r="X8" i="14"/>
  <c r="S3" i="44"/>
  <c r="X10" i="18"/>
  <c r="J5" i="44"/>
  <c r="X10" i="17"/>
  <c r="AA5" i="44"/>
  <c r="X7" i="16"/>
  <c r="N2" i="44"/>
  <c r="N2" i="45" s="1"/>
  <c r="X76" i="14"/>
  <c r="S71" i="44"/>
  <c r="X75" i="13"/>
  <c r="K70" i="44"/>
  <c r="X72" i="15"/>
  <c r="R67" i="44"/>
  <c r="X76" i="13"/>
  <c r="K71" i="44"/>
  <c r="X50" i="12"/>
  <c r="I45" i="44"/>
  <c r="X31" i="10"/>
  <c r="G26" i="44"/>
  <c r="X31" i="9"/>
  <c r="F26" i="44"/>
  <c r="X34" i="8"/>
  <c r="H29" i="44"/>
  <c r="X44" i="12"/>
  <c r="I39" i="44"/>
  <c r="X34" i="11"/>
  <c r="M29" i="44"/>
  <c r="X24" i="10"/>
  <c r="G19" i="44"/>
  <c r="X12" i="9"/>
  <c r="F7" i="44"/>
  <c r="X40" i="16"/>
  <c r="N35" i="44"/>
  <c r="X55" i="13"/>
  <c r="K50" i="44"/>
  <c r="X19" i="12"/>
  <c r="I14" i="44"/>
  <c r="X26" i="11"/>
  <c r="M21" i="44"/>
  <c r="X32" i="10"/>
  <c r="G27" i="44"/>
  <c r="X45" i="9"/>
  <c r="F40" i="44"/>
  <c r="X23" i="8"/>
  <c r="H18" i="44"/>
  <c r="X60" i="6"/>
  <c r="E55" i="44"/>
  <c r="X34" i="12"/>
  <c r="I29" i="44"/>
  <c r="X27" i="4"/>
  <c r="D22" i="44"/>
  <c r="X64" i="8"/>
  <c r="H59" i="44"/>
  <c r="X75" i="5"/>
  <c r="C70" i="44"/>
  <c r="X7" i="8"/>
  <c r="H2" i="44"/>
  <c r="H2" i="45" s="1"/>
  <c r="X32" i="6"/>
  <c r="E27" i="44"/>
  <c r="X42" i="4"/>
  <c r="D37" i="44"/>
  <c r="X74" i="10"/>
  <c r="G69" i="44"/>
  <c r="X32" i="7"/>
  <c r="L27" i="44"/>
  <c r="X21" i="4"/>
  <c r="D16" i="44"/>
  <c r="X69" i="22"/>
  <c r="T64" i="44"/>
  <c r="X58" i="18"/>
  <c r="J53" i="44"/>
  <c r="X22" i="15"/>
  <c r="R17" i="44"/>
  <c r="X40" i="13"/>
  <c r="K35" i="44"/>
  <c r="X7" i="10"/>
  <c r="G2" i="44"/>
  <c r="G2" i="45" s="1"/>
  <c r="X18" i="9"/>
  <c r="F13" i="44"/>
  <c r="X77" i="7"/>
  <c r="L72" i="44"/>
  <c r="X66" i="22"/>
  <c r="T61" i="44"/>
  <c r="X47" i="20"/>
  <c r="O42" i="44"/>
  <c r="X24" i="16"/>
  <c r="N19" i="44"/>
  <c r="X37" i="13"/>
  <c r="K32" i="44"/>
  <c r="X50" i="8"/>
  <c r="H45" i="44"/>
  <c r="X35" i="7"/>
  <c r="L30" i="44"/>
  <c r="X7" i="6"/>
  <c r="E2" i="44"/>
  <c r="E2" i="45" s="1"/>
  <c r="X61" i="11"/>
  <c r="M56" i="44"/>
  <c r="X18" i="18"/>
  <c r="J13" i="44"/>
  <c r="X24" i="7"/>
  <c r="L19" i="44"/>
  <c r="X26" i="4"/>
  <c r="D21" i="44"/>
  <c r="X31" i="17"/>
  <c r="AA26" i="44"/>
  <c r="X14" i="9"/>
  <c r="F9" i="44"/>
  <c r="X27" i="12"/>
  <c r="I22" i="44"/>
  <c r="X27" i="5"/>
  <c r="C22" i="44"/>
  <c r="X64" i="15"/>
  <c r="R59" i="44"/>
  <c r="X66" i="8"/>
  <c r="H61" i="44"/>
  <c r="X77" i="17"/>
  <c r="AA72" i="44"/>
  <c r="X63" i="13"/>
  <c r="K58" i="44"/>
  <c r="X29" i="7"/>
  <c r="L24" i="44"/>
  <c r="X60" i="4"/>
  <c r="D55" i="44"/>
  <c r="X15" i="22"/>
  <c r="T10" i="44"/>
  <c r="X50" i="17"/>
  <c r="AA45" i="44"/>
  <c r="X76" i="8"/>
  <c r="H71" i="44"/>
  <c r="X37" i="4"/>
  <c r="D32" i="44"/>
  <c r="X44" i="20"/>
  <c r="O39" i="44"/>
  <c r="X28" i="16"/>
  <c r="N23" i="44"/>
  <c r="X54" i="9"/>
  <c r="F49" i="44"/>
  <c r="X40" i="6"/>
  <c r="E35" i="44"/>
  <c r="X77" i="22"/>
  <c r="T72" i="44"/>
  <c r="X64" i="17"/>
  <c r="AA59" i="44"/>
  <c r="X52" i="5"/>
  <c r="C47" i="44"/>
  <c r="X53" i="4"/>
  <c r="D48" i="44"/>
  <c r="X69" i="7"/>
  <c r="L64" i="44"/>
  <c r="X71" i="17"/>
  <c r="AA66" i="44"/>
  <c r="X53" i="9"/>
  <c r="F48" i="44"/>
  <c r="X52" i="4"/>
  <c r="D47" i="44"/>
  <c r="X15" i="17"/>
  <c r="AA10" i="44"/>
  <c r="X38" i="9"/>
  <c r="F33" i="44"/>
  <c r="X34" i="19"/>
  <c r="V29" i="44"/>
  <c r="X31" i="14"/>
  <c r="S26" i="44"/>
  <c r="X10" i="4"/>
  <c r="D5" i="44"/>
  <c r="X48" i="6"/>
  <c r="E43" i="44"/>
  <c r="X55" i="18"/>
  <c r="J50" i="44"/>
  <c r="X43" i="10"/>
  <c r="G38" i="44"/>
  <c r="X39" i="12"/>
  <c r="I34" i="44"/>
  <c r="X67" i="18"/>
  <c r="J62" i="44"/>
  <c r="X11" i="4"/>
  <c r="D6" i="44"/>
  <c r="X55" i="6"/>
  <c r="E50" i="44"/>
  <c r="X70" i="9"/>
  <c r="F65" i="44"/>
  <c r="X78" i="10"/>
  <c r="G73" i="44"/>
  <c r="X67" i="24"/>
  <c r="P62" i="44"/>
  <c r="X26" i="25"/>
  <c r="AC21" i="44"/>
  <c r="X66" i="27"/>
  <c r="AB61" i="44"/>
  <c r="X50" i="29"/>
  <c r="W45" i="44"/>
  <c r="X53" i="30"/>
  <c r="X48" i="44"/>
  <c r="X64" i="30"/>
  <c r="X59" i="44"/>
  <c r="X60" i="30"/>
  <c r="X55" i="44"/>
  <c r="X76" i="30"/>
  <c r="X71" i="44"/>
  <c r="X39" i="30"/>
  <c r="X34" i="44"/>
  <c r="X49" i="30"/>
  <c r="X44" i="44"/>
  <c r="X65" i="31"/>
  <c r="AF60" i="44"/>
  <c r="X75" i="32"/>
  <c r="Q70" i="44"/>
  <c r="X54" i="3"/>
  <c r="B49" i="44"/>
  <c r="X47" i="3"/>
  <c r="B42" i="44"/>
  <c r="X15" i="3"/>
  <c r="B10" i="44"/>
  <c r="X45" i="3"/>
  <c r="B40" i="44"/>
  <c r="X66" i="3"/>
  <c r="B61" i="44"/>
  <c r="X42" i="3"/>
  <c r="B37" i="44"/>
  <c r="X35" i="3"/>
  <c r="B30" i="44"/>
  <c r="X33" i="4"/>
  <c r="D28" i="44"/>
  <c r="X65" i="5"/>
  <c r="C60" i="44"/>
  <c r="X9" i="5"/>
  <c r="C4" i="44"/>
  <c r="X30" i="5"/>
  <c r="C25" i="44"/>
  <c r="X16" i="5"/>
  <c r="C11" i="44"/>
  <c r="X21" i="5"/>
  <c r="C16" i="44"/>
  <c r="X49" i="6"/>
  <c r="E44" i="44"/>
  <c r="X22" i="6"/>
  <c r="E17" i="44"/>
  <c r="X25" i="7"/>
  <c r="L20" i="44"/>
  <c r="X15" i="7"/>
  <c r="L10" i="44"/>
  <c r="X36" i="7"/>
  <c r="L31" i="44"/>
  <c r="X38" i="8"/>
  <c r="H33" i="44"/>
  <c r="X49" i="9"/>
  <c r="F44" i="44"/>
  <c r="X11" i="9"/>
  <c r="F6" i="44"/>
  <c r="X40" i="9"/>
  <c r="F35" i="44"/>
  <c r="X44" i="10"/>
  <c r="G39" i="44"/>
  <c r="X18" i="10"/>
  <c r="G13" i="44"/>
  <c r="X64" i="11"/>
  <c r="M59" i="44"/>
  <c r="X38" i="11"/>
  <c r="M33" i="44"/>
  <c r="X41" i="12"/>
  <c r="I36" i="44"/>
  <c r="X40" i="12"/>
  <c r="I35" i="44"/>
  <c r="X61" i="12"/>
  <c r="X9" i="13"/>
  <c r="K4" i="44"/>
  <c r="X14" i="13"/>
  <c r="K9" i="44"/>
  <c r="X38" i="13"/>
  <c r="K33" i="44"/>
  <c r="X17" i="14"/>
  <c r="S12" i="44"/>
  <c r="X30" i="14"/>
  <c r="S25" i="44"/>
  <c r="X68" i="15"/>
  <c r="R63" i="44"/>
  <c r="X57" i="16"/>
  <c r="N52" i="44"/>
  <c r="X22" i="17"/>
  <c r="AA17" i="44"/>
  <c r="X38" i="18"/>
  <c r="J33" i="44"/>
  <c r="X29" i="18"/>
  <c r="J24" i="44"/>
  <c r="X73" i="19"/>
  <c r="V68" i="44"/>
  <c r="X32" i="19"/>
  <c r="V27" i="44"/>
  <c r="X53" i="19"/>
  <c r="V48" i="44"/>
  <c r="X75" i="20"/>
  <c r="O70" i="44"/>
  <c r="X11" i="20"/>
  <c r="O6" i="44"/>
  <c r="X57" i="20"/>
  <c r="O52" i="44"/>
  <c r="X70" i="21"/>
  <c r="U65" i="44"/>
  <c r="X65" i="22"/>
  <c r="T60" i="44"/>
  <c r="X9" i="22"/>
  <c r="T4" i="44"/>
  <c r="X22" i="22"/>
  <c r="T17" i="44"/>
  <c r="X37" i="24"/>
  <c r="P32" i="44"/>
  <c r="X75" i="24"/>
  <c r="P70" i="44"/>
  <c r="X18" i="25"/>
  <c r="AC13" i="44"/>
  <c r="X66" i="25"/>
  <c r="AC61" i="44"/>
  <c r="X10" i="25"/>
  <c r="AC5" i="44"/>
  <c r="X44" i="26"/>
  <c r="Z39" i="44"/>
  <c r="X43" i="26"/>
  <c r="Z38" i="44"/>
  <c r="X50" i="27"/>
  <c r="AB45" i="44"/>
  <c r="X59" i="27"/>
  <c r="AB54" i="44"/>
  <c r="X68" i="27"/>
  <c r="AB63" i="44"/>
  <c r="X56" i="27"/>
  <c r="AB51" i="44"/>
  <c r="X77" i="28"/>
  <c r="Y72" i="44"/>
  <c r="X21" i="28"/>
  <c r="Y16" i="44"/>
  <c r="X19" i="28"/>
  <c r="Y14" i="44"/>
  <c r="X63" i="28"/>
  <c r="Y58" i="44"/>
  <c r="X22" i="28"/>
  <c r="Y17" i="44"/>
  <c r="X75" i="29"/>
  <c r="W70" i="44"/>
  <c r="X59" i="29"/>
  <c r="W54" i="44"/>
  <c r="X37" i="29"/>
  <c r="W32" i="44"/>
  <c r="X21" i="29"/>
  <c r="W16" i="44"/>
  <c r="X66" i="30"/>
  <c r="X61" i="44"/>
  <c r="X26" i="30"/>
  <c r="X21" i="44"/>
  <c r="X35" i="31"/>
  <c r="AF30" i="44"/>
  <c r="X58" i="31"/>
  <c r="AF53" i="44"/>
  <c r="X67" i="31"/>
  <c r="AF62" i="44"/>
  <c r="X38" i="31"/>
  <c r="AF33" i="44"/>
  <c r="X18" i="32"/>
  <c r="Q13" i="44"/>
  <c r="X69" i="32"/>
  <c r="Q64" i="44"/>
  <c r="X5" i="36"/>
  <c r="X77" i="30"/>
  <c r="X72" i="44"/>
  <c r="X35" i="30"/>
  <c r="X30" i="44"/>
  <c r="X78" i="28"/>
  <c r="Y73" i="44"/>
  <c r="X56" i="28"/>
  <c r="Y51" i="44"/>
  <c r="X47" i="26"/>
  <c r="Z42" i="44"/>
  <c r="X41" i="25"/>
  <c r="AC36" i="44"/>
  <c r="X36" i="32"/>
  <c r="Q31" i="44"/>
  <c r="X18" i="28"/>
  <c r="Y13" i="44"/>
  <c r="X60" i="26"/>
  <c r="Z55" i="44"/>
  <c r="X79" i="25"/>
  <c r="AC74" i="44"/>
  <c r="X22" i="24"/>
  <c r="P17" i="44"/>
  <c r="AO3" i="45"/>
  <c r="AO4" i="45" s="1"/>
  <c r="AO5" i="45" s="1"/>
  <c r="AO6" i="45" s="1"/>
  <c r="AO7" i="45" s="1"/>
  <c r="AO8" i="45" s="1"/>
  <c r="AO9" i="45" s="1"/>
  <c r="AO10" i="45" s="1"/>
  <c r="AO11" i="45" s="1"/>
  <c r="AO12" i="45" s="1"/>
  <c r="AO13" i="45" s="1"/>
  <c r="AO14" i="45" s="1"/>
  <c r="AO15" i="45" s="1"/>
  <c r="AO16" i="45" s="1"/>
  <c r="AO17" i="45" s="1"/>
  <c r="AO18" i="45" s="1"/>
  <c r="AO19" i="45" s="1"/>
  <c r="AO20" i="45" s="1"/>
  <c r="AO21" i="45" s="1"/>
  <c r="AO22" i="45" s="1"/>
  <c r="AO23" i="45" s="1"/>
  <c r="AO24" i="45" s="1"/>
  <c r="AO25" i="45" s="1"/>
  <c r="AO26" i="45" s="1"/>
  <c r="AO27" i="45" s="1"/>
  <c r="AO28" i="45" s="1"/>
  <c r="AO29" i="45" s="1"/>
  <c r="AO30" i="45" s="1"/>
  <c r="AO31" i="45" s="1"/>
  <c r="AO32" i="45" s="1"/>
  <c r="AO33" i="45" s="1"/>
  <c r="AO34" i="45" s="1"/>
  <c r="AO35" i="45" s="1"/>
  <c r="AO36" i="45" s="1"/>
  <c r="AO37" i="45" s="1"/>
  <c r="AO38" i="45" s="1"/>
  <c r="AO39" i="45" s="1"/>
  <c r="AO40" i="45" s="1"/>
  <c r="AO41" i="45" s="1"/>
  <c r="AO42" i="45" s="1"/>
  <c r="AO43" i="45" s="1"/>
  <c r="AO44" i="45" s="1"/>
  <c r="AO45" i="45" s="1"/>
  <c r="AO46" i="45" s="1"/>
  <c r="AO47" i="45" s="1"/>
  <c r="AO48" i="45" s="1"/>
  <c r="AO49" i="45" s="1"/>
  <c r="AO50" i="45" s="1"/>
  <c r="AO51" i="45" s="1"/>
  <c r="AO52" i="45" s="1"/>
  <c r="AO53" i="45" s="1"/>
  <c r="AO54" i="45" s="1"/>
  <c r="AO55" i="45" s="1"/>
  <c r="AO56" i="45" s="1"/>
  <c r="AO57" i="45" s="1"/>
  <c r="AO58" i="45" s="1"/>
  <c r="AO59" i="45" s="1"/>
  <c r="AO60" i="45" s="1"/>
  <c r="AO61" i="45" s="1"/>
  <c r="AO62" i="45" s="1"/>
  <c r="AO63" i="45" s="1"/>
  <c r="AO64" i="45" s="1"/>
  <c r="AO65" i="45" s="1"/>
  <c r="AO66" i="45" s="1"/>
  <c r="AO67" i="45" s="1"/>
  <c r="AO68" i="45" s="1"/>
  <c r="AO69" i="45" s="1"/>
  <c r="AO70" i="45" s="1"/>
  <c r="AO71" i="45" s="1"/>
  <c r="AO72" i="45" s="1"/>
  <c r="AO73" i="45" s="1"/>
  <c r="AO74" i="45" s="1"/>
  <c r="X61" i="28"/>
  <c r="Y56" i="44"/>
  <c r="X46" i="27"/>
  <c r="AB41" i="44"/>
  <c r="X22" i="26"/>
  <c r="Z17" i="44"/>
  <c r="X7" i="25"/>
  <c r="AC2" i="44"/>
  <c r="AC2" i="45" s="1"/>
  <c r="X36" i="30"/>
  <c r="X31" i="44"/>
  <c r="X50" i="30"/>
  <c r="X45" i="44"/>
  <c r="X78" i="3"/>
  <c r="B73" i="44"/>
  <c r="X25" i="3"/>
  <c r="B20" i="44"/>
  <c r="X60" i="3"/>
  <c r="B55" i="44"/>
  <c r="X41" i="5"/>
  <c r="C36" i="44"/>
  <c r="X61" i="5"/>
  <c r="C56" i="44"/>
  <c r="X76" i="7"/>
  <c r="L71" i="44"/>
  <c r="X14" i="8"/>
  <c r="H9" i="44"/>
  <c r="X20" i="10"/>
  <c r="G15" i="44"/>
  <c r="X62" i="11"/>
  <c r="M57" i="44"/>
  <c r="X16" i="12"/>
  <c r="I11" i="44"/>
  <c r="X57" i="14"/>
  <c r="S52" i="44"/>
  <c r="X33" i="16"/>
  <c r="N28" i="44"/>
  <c r="X64" i="18"/>
  <c r="J59" i="44"/>
  <c r="X72" i="19"/>
  <c r="V67" i="44"/>
  <c r="X51" i="20"/>
  <c r="O46" i="44"/>
  <c r="X46" i="21"/>
  <c r="U41" i="44"/>
  <c r="X62" i="22"/>
  <c r="T57" i="44"/>
  <c r="X52" i="24"/>
  <c r="P47" i="44"/>
  <c r="X56" i="24"/>
  <c r="P51" i="44"/>
  <c r="X39" i="25"/>
  <c r="AC34" i="44"/>
  <c r="X7" i="27"/>
  <c r="AB2" i="44"/>
  <c r="AB2" i="45" s="1"/>
  <c r="AB3" i="45" s="1"/>
  <c r="X71" i="28"/>
  <c r="Y66" i="44"/>
  <c r="X29" i="28"/>
  <c r="Y24" i="44"/>
  <c r="X15" i="29"/>
  <c r="W10" i="44"/>
  <c r="X26" i="31"/>
  <c r="AF21" i="44"/>
  <c r="W38" i="1"/>
  <c r="Z38" i="1" s="1"/>
  <c r="X39" i="23"/>
  <c r="Z39" i="23" s="1"/>
  <c r="X69" i="30"/>
  <c r="X64" i="44"/>
  <c r="X48" i="28"/>
  <c r="Y43" i="44"/>
  <c r="X30" i="24"/>
  <c r="P25" i="44"/>
  <c r="X49" i="26"/>
  <c r="Z44" i="44"/>
  <c r="X48" i="31"/>
  <c r="AF43" i="44"/>
  <c r="X78" i="25"/>
  <c r="AC73" i="44"/>
  <c r="X60" i="22"/>
  <c r="T55" i="44"/>
  <c r="X50" i="19"/>
  <c r="V45" i="44"/>
  <c r="X36" i="22"/>
  <c r="T31" i="44"/>
  <c r="X76" i="19"/>
  <c r="V71" i="44"/>
  <c r="X61" i="22"/>
  <c r="T56" i="44"/>
  <c r="X18" i="20"/>
  <c r="O13" i="44"/>
  <c r="X44" i="22"/>
  <c r="T39" i="44"/>
  <c r="X55" i="19"/>
  <c r="V50" i="44"/>
  <c r="X18" i="16"/>
  <c r="N13" i="44"/>
  <c r="X63" i="20"/>
  <c r="O58" i="44"/>
  <c r="X18" i="15"/>
  <c r="R13" i="44"/>
  <c r="X20" i="16"/>
  <c r="N15" i="44"/>
  <c r="X29" i="13"/>
  <c r="K24" i="44"/>
  <c r="X53" i="17"/>
  <c r="AA48" i="44"/>
  <c r="X45" i="15"/>
  <c r="R40" i="44"/>
  <c r="X52" i="14"/>
  <c r="S47" i="44"/>
  <c r="X64" i="10"/>
  <c r="G59" i="44"/>
  <c r="X11" i="15"/>
  <c r="R6" i="44"/>
  <c r="X61" i="10"/>
  <c r="G56" i="44"/>
  <c r="X19" i="14"/>
  <c r="S14" i="44"/>
  <c r="X58" i="11"/>
  <c r="M53" i="44"/>
  <c r="X13" i="9"/>
  <c r="F8" i="44"/>
  <c r="X59" i="8"/>
  <c r="H54" i="44"/>
  <c r="X72" i="4"/>
  <c r="D67" i="44"/>
  <c r="X63" i="6"/>
  <c r="E58" i="44"/>
  <c r="X53" i="8"/>
  <c r="H48" i="44"/>
  <c r="X35" i="5"/>
  <c r="C30" i="44"/>
  <c r="X35" i="21"/>
  <c r="U30" i="44"/>
  <c r="X43" i="16"/>
  <c r="N38" i="44"/>
  <c r="X23" i="14"/>
  <c r="S18" i="44"/>
  <c r="X7" i="12"/>
  <c r="I2" i="44"/>
  <c r="I2" i="45" s="1"/>
  <c r="X50" i="9"/>
  <c r="F45" i="44"/>
  <c r="X58" i="8"/>
  <c r="H53" i="44"/>
  <c r="X45" i="6"/>
  <c r="E40" i="44"/>
  <c r="X76" i="21"/>
  <c r="U71" i="44"/>
  <c r="X66" i="16"/>
  <c r="N61" i="44"/>
  <c r="X9" i="15"/>
  <c r="R4" i="44"/>
  <c r="X69" i="11"/>
  <c r="M64" i="44"/>
  <c r="X74" i="7"/>
  <c r="L69" i="44"/>
  <c r="X49" i="15"/>
  <c r="R44" i="44"/>
  <c r="X19" i="7"/>
  <c r="L14" i="44"/>
  <c r="X58" i="12"/>
  <c r="I53" i="44"/>
  <c r="X58" i="5"/>
  <c r="C53" i="44"/>
  <c r="X48" i="20"/>
  <c r="O43" i="44"/>
  <c r="X13" i="13"/>
  <c r="K8" i="44"/>
  <c r="X36" i="6"/>
  <c r="E31" i="44"/>
  <c r="X71" i="5"/>
  <c r="C66" i="44"/>
  <c r="X68" i="6"/>
  <c r="E63" i="44"/>
  <c r="X58" i="13"/>
  <c r="K53" i="44"/>
  <c r="X15" i="8"/>
  <c r="H10" i="44"/>
  <c r="X24" i="20"/>
  <c r="O19" i="44"/>
  <c r="X65" i="15"/>
  <c r="R60" i="44"/>
  <c r="X45" i="10"/>
  <c r="G40" i="44"/>
  <c r="X66" i="5"/>
  <c r="C61" i="44"/>
  <c r="X71" i="19"/>
  <c r="V66" i="44"/>
  <c r="X39" i="13"/>
  <c r="K34" i="44"/>
  <c r="X26" i="7"/>
  <c r="L21" i="44"/>
  <c r="X12" i="22"/>
  <c r="T7" i="44"/>
  <c r="X31" i="19"/>
  <c r="V26" i="44"/>
  <c r="X59" i="13"/>
  <c r="K54" i="44"/>
  <c r="X48" i="7"/>
  <c r="L43" i="44"/>
  <c r="X10" i="5"/>
  <c r="C5" i="44"/>
  <c r="X36" i="19"/>
  <c r="V31" i="44"/>
  <c r="X61" i="13"/>
  <c r="K56" i="44"/>
  <c r="X58" i="4"/>
  <c r="D53" i="44"/>
  <c r="X54" i="15"/>
  <c r="R49" i="44"/>
  <c r="X21" i="22"/>
  <c r="T16" i="44"/>
  <c r="X16" i="14"/>
  <c r="S11" i="44"/>
  <c r="X31" i="5"/>
  <c r="C26" i="44"/>
  <c r="X58" i="14"/>
  <c r="S53" i="44"/>
  <c r="X13" i="8"/>
  <c r="H8" i="44"/>
  <c r="X7" i="17"/>
  <c r="AA2" i="44"/>
  <c r="AA2" i="45" s="1"/>
  <c r="X20" i="12"/>
  <c r="I15" i="44"/>
  <c r="X71" i="6"/>
  <c r="E66" i="44"/>
  <c r="X69" i="10"/>
  <c r="G64" i="44"/>
  <c r="X52" i="22"/>
  <c r="T47" i="44"/>
  <c r="X59" i="12"/>
  <c r="I54" i="44"/>
  <c r="X68" i="11"/>
  <c r="M63" i="44"/>
  <c r="X11" i="14"/>
  <c r="S6" i="44"/>
  <c r="X18" i="4"/>
  <c r="D13" i="44"/>
  <c r="X27" i="17"/>
  <c r="AA22" i="44"/>
  <c r="X13" i="27"/>
  <c r="AB8" i="44"/>
  <c r="X76" i="28"/>
  <c r="Y71" i="44"/>
  <c r="X58" i="29"/>
  <c r="W53" i="44"/>
  <c r="X57" i="29"/>
  <c r="W52" i="44"/>
  <c r="X21" i="30"/>
  <c r="X16" i="44"/>
  <c r="X32" i="30"/>
  <c r="X27" i="44"/>
  <c r="X28" i="30"/>
  <c r="X23" i="44"/>
  <c r="X68" i="30"/>
  <c r="X63" i="44"/>
  <c r="X7" i="30"/>
  <c r="X2" i="44"/>
  <c r="X2" i="45" s="1"/>
  <c r="X54" i="30"/>
  <c r="X49" i="44"/>
  <c r="X71" i="31"/>
  <c r="AF66" i="44"/>
  <c r="X21" i="3"/>
  <c r="B16" i="44"/>
  <c r="X14" i="3"/>
  <c r="B9" i="44"/>
  <c r="X79" i="3"/>
  <c r="B74" i="44"/>
  <c r="X48" i="3"/>
  <c r="B43" i="44"/>
  <c r="X33" i="3"/>
  <c r="B28" i="44"/>
  <c r="X10" i="3"/>
  <c r="B5" i="44"/>
  <c r="X75" i="3"/>
  <c r="B70" i="44"/>
  <c r="X68" i="3"/>
  <c r="B63" i="44"/>
  <c r="X65" i="4"/>
  <c r="D60" i="44"/>
  <c r="X14" i="4"/>
  <c r="D9" i="44"/>
  <c r="X33" i="5"/>
  <c r="C28" i="44"/>
  <c r="X62" i="5"/>
  <c r="C57" i="44"/>
  <c r="X24" i="5"/>
  <c r="C19" i="44"/>
  <c r="X53" i="5"/>
  <c r="C48" i="44"/>
  <c r="X17" i="6"/>
  <c r="E12" i="44"/>
  <c r="X54" i="6"/>
  <c r="E49" i="44"/>
  <c r="X9" i="7"/>
  <c r="L4" i="44"/>
  <c r="X47" i="7"/>
  <c r="L42" i="44"/>
  <c r="X68" i="7"/>
  <c r="L63" i="44"/>
  <c r="X57" i="7"/>
  <c r="L52" i="44"/>
  <c r="X70" i="8"/>
  <c r="H65" i="44"/>
  <c r="X27" i="9"/>
  <c r="F22" i="44"/>
  <c r="X17" i="9"/>
  <c r="F12" i="44"/>
  <c r="X72" i="9"/>
  <c r="F67" i="44"/>
  <c r="X8" i="9"/>
  <c r="F3" i="44"/>
  <c r="X26" i="10"/>
  <c r="G21" i="44"/>
  <c r="X32" i="11"/>
  <c r="M27" i="44"/>
  <c r="X30" i="11"/>
  <c r="M25" i="44"/>
  <c r="X49" i="11"/>
  <c r="M44" i="44"/>
  <c r="X73" i="12"/>
  <c r="I68" i="44"/>
  <c r="X72" i="12"/>
  <c r="I67" i="44"/>
  <c r="X8" i="12"/>
  <c r="I3" i="44"/>
  <c r="X25" i="13"/>
  <c r="K20" i="44"/>
  <c r="X49" i="13"/>
  <c r="K44" i="44"/>
  <c r="X49" i="14"/>
  <c r="S44" i="44"/>
  <c r="X62" i="14"/>
  <c r="S57" i="44"/>
  <c r="X36" i="15"/>
  <c r="R31" i="44"/>
  <c r="X25" i="16"/>
  <c r="N20" i="44"/>
  <c r="X54" i="17"/>
  <c r="AA49" i="44"/>
  <c r="X70" i="18"/>
  <c r="J65" i="44"/>
  <c r="X56" i="18"/>
  <c r="J51" i="44"/>
  <c r="X41" i="19"/>
  <c r="V36" i="44"/>
  <c r="X64" i="19"/>
  <c r="V59" i="44"/>
  <c r="X21" i="19"/>
  <c r="V16" i="44"/>
  <c r="X43" i="20"/>
  <c r="O38" i="44"/>
  <c r="X25" i="20"/>
  <c r="O20" i="44"/>
  <c r="X38" i="21"/>
  <c r="U33" i="44"/>
  <c r="X56" i="21"/>
  <c r="U51" i="44"/>
  <c r="X33" i="22"/>
  <c r="T28" i="44"/>
  <c r="X54" i="22"/>
  <c r="T49" i="44"/>
  <c r="X77" i="24"/>
  <c r="P72" i="44"/>
  <c r="X47" i="24"/>
  <c r="P42" i="44"/>
  <c r="X51" i="24"/>
  <c r="P46" i="44"/>
  <c r="X43" i="24"/>
  <c r="P38" i="44"/>
  <c r="X74" i="25"/>
  <c r="AC69" i="44"/>
  <c r="X32" i="25"/>
  <c r="AC27" i="44"/>
  <c r="X35" i="26"/>
  <c r="Z30" i="44"/>
  <c r="X19" i="27"/>
  <c r="AB14" i="44"/>
  <c r="X35" i="27"/>
  <c r="AB30" i="44"/>
  <c r="X75" i="27"/>
  <c r="AB70" i="44"/>
  <c r="X69" i="28"/>
  <c r="Y64" i="44"/>
  <c r="X51" i="28"/>
  <c r="Y46" i="44"/>
  <c r="X65" i="28"/>
  <c r="Y60" i="44"/>
  <c r="X40" i="28"/>
  <c r="Y35" i="44"/>
  <c r="X13" i="28"/>
  <c r="Y8" i="44"/>
  <c r="X67" i="29"/>
  <c r="W62" i="44"/>
  <c r="X45" i="29"/>
  <c r="W40" i="44"/>
  <c r="X29" i="29"/>
  <c r="W24" i="44"/>
  <c r="X13" i="29"/>
  <c r="W8" i="44"/>
  <c r="X42" i="30"/>
  <c r="X37" i="44"/>
  <c r="X10" i="30"/>
  <c r="X5" i="44"/>
  <c r="X18" i="31"/>
  <c r="AF13" i="44"/>
  <c r="X46" i="31"/>
  <c r="AF41" i="44"/>
  <c r="X50" i="31"/>
  <c r="AF45" i="44"/>
  <c r="X35" i="32"/>
  <c r="Q30" i="44"/>
  <c r="X66" i="32"/>
  <c r="Q61" i="44"/>
  <c r="X28" i="32"/>
  <c r="Q23" i="44"/>
  <c r="W36" i="1"/>
  <c r="Z36" i="1" s="1"/>
  <c r="X33" i="23"/>
  <c r="Z33" i="23" s="1"/>
  <c r="X78" i="31"/>
  <c r="AF73" i="44"/>
  <c r="X67" i="30"/>
  <c r="X62" i="44"/>
  <c r="X19" i="30"/>
  <c r="X14" i="44"/>
  <c r="X68" i="28"/>
  <c r="Y63" i="44"/>
  <c r="X46" i="28"/>
  <c r="Y41" i="44"/>
  <c r="X79" i="26"/>
  <c r="Z74" i="44"/>
  <c r="X13" i="26"/>
  <c r="Z8" i="44"/>
  <c r="X17" i="24"/>
  <c r="P12" i="44"/>
  <c r="X52" i="31"/>
  <c r="AF47" i="44"/>
  <c r="X10" i="27"/>
  <c r="AB5" i="44"/>
  <c r="X31" i="26"/>
  <c r="Z26" i="44"/>
  <c r="X8" i="25"/>
  <c r="AC3" i="44"/>
  <c r="X41" i="32"/>
  <c r="Q36" i="44"/>
  <c r="X43" i="28"/>
  <c r="Y38" i="44"/>
  <c r="X22" i="27"/>
  <c r="AB17" i="44"/>
  <c r="X63" i="25"/>
  <c r="AC58" i="44"/>
  <c r="X41" i="24"/>
  <c r="P36" i="44"/>
  <c r="X29" i="30"/>
  <c r="X24" i="44"/>
  <c r="X70" i="30"/>
  <c r="X65" i="44"/>
  <c r="X70" i="31"/>
  <c r="AF65" i="44"/>
  <c r="X71" i="3"/>
  <c r="B66" i="44"/>
  <c r="X73" i="4"/>
  <c r="D68" i="44"/>
  <c r="X70" i="5"/>
  <c r="C65" i="44"/>
  <c r="X25" i="6"/>
  <c r="E20" i="44"/>
  <c r="X49" i="7"/>
  <c r="L44" i="44"/>
  <c r="X25" i="9"/>
  <c r="F20" i="44"/>
  <c r="X16" i="9"/>
  <c r="F11" i="44"/>
  <c r="X13" i="12"/>
  <c r="I8" i="44"/>
  <c r="X22" i="13"/>
  <c r="K17" i="44"/>
  <c r="X57" i="13"/>
  <c r="K52" i="44"/>
  <c r="X70" i="14"/>
  <c r="S65" i="44"/>
  <c r="X17" i="18"/>
  <c r="J12" i="44"/>
  <c r="X49" i="19"/>
  <c r="V44" i="44"/>
  <c r="X29" i="19"/>
  <c r="V24" i="44"/>
  <c r="X33" i="20"/>
  <c r="O28" i="44"/>
  <c r="X64" i="21"/>
  <c r="U59" i="44"/>
  <c r="X79" i="24"/>
  <c r="P74" i="44"/>
  <c r="X27" i="25"/>
  <c r="AC22" i="44"/>
  <c r="X58" i="26"/>
  <c r="Z53" i="44"/>
  <c r="X24" i="27"/>
  <c r="AB19" i="44"/>
  <c r="X60" i="27"/>
  <c r="AB55" i="44"/>
  <c r="X18" i="27"/>
  <c r="AB13" i="44"/>
  <c r="X58" i="28"/>
  <c r="Y53" i="44"/>
  <c r="X47" i="28"/>
  <c r="Y42" i="44"/>
  <c r="X47" i="29"/>
  <c r="W42" i="44"/>
  <c r="X46" i="30"/>
  <c r="X41" i="44"/>
  <c r="X23" i="31"/>
  <c r="AF18" i="44"/>
  <c r="X51" i="31"/>
  <c r="AF46" i="44"/>
  <c r="X44" i="32"/>
  <c r="Q39" i="44"/>
  <c r="X51" i="32"/>
  <c r="Q46" i="44"/>
  <c r="X25" i="30"/>
  <c r="X20" i="44"/>
  <c r="X21" i="27"/>
  <c r="AB16" i="44"/>
  <c r="X9" i="32"/>
  <c r="Q4" i="44"/>
  <c r="X23" i="25"/>
  <c r="AC18" i="44"/>
  <c r="X7" i="31"/>
  <c r="AF2" i="44"/>
  <c r="AF2" i="45" s="1"/>
  <c r="X25" i="27"/>
  <c r="AB20" i="44"/>
  <c r="X36" i="21"/>
  <c r="U31" i="44"/>
  <c r="X31" i="21"/>
  <c r="U26" i="44"/>
  <c r="X43" i="21"/>
  <c r="U38" i="44"/>
  <c r="X72" i="20"/>
  <c r="O67" i="44"/>
  <c r="X75" i="22"/>
  <c r="T70" i="44"/>
  <c r="X45" i="17"/>
  <c r="AA40" i="44"/>
  <c r="X25" i="15"/>
  <c r="R20" i="44"/>
  <c r="X16" i="17"/>
  <c r="AA11" i="44"/>
  <c r="X56" i="17"/>
  <c r="AA51" i="44"/>
  <c r="X46" i="15"/>
  <c r="R41" i="44"/>
  <c r="X34" i="14"/>
  <c r="S29" i="44"/>
  <c r="X37" i="20"/>
  <c r="O32" i="44"/>
  <c r="X64" i="16"/>
  <c r="N59" i="44"/>
  <c r="X59" i="14"/>
  <c r="S54" i="44"/>
  <c r="X21" i="13"/>
  <c r="K16" i="44"/>
  <c r="X15" i="13"/>
  <c r="K10" i="44"/>
  <c r="X63" i="9"/>
  <c r="F58" i="44"/>
  <c r="X79" i="8"/>
  <c r="H74" i="44"/>
  <c r="X66" i="11"/>
  <c r="M61" i="44"/>
  <c r="X69" i="9"/>
  <c r="F64" i="44"/>
  <c r="X29" i="17"/>
  <c r="AA24" i="44"/>
  <c r="X79" i="12"/>
  <c r="I74" i="44"/>
  <c r="X72" i="10"/>
  <c r="G67" i="44"/>
  <c r="X77" i="9"/>
  <c r="F72" i="44"/>
  <c r="X79" i="6"/>
  <c r="E74" i="44"/>
  <c r="X8" i="6"/>
  <c r="E3" i="44"/>
  <c r="X26" i="13"/>
  <c r="K21" i="44"/>
  <c r="X40" i="8"/>
  <c r="H35" i="44"/>
  <c r="X75" i="12"/>
  <c r="I70" i="44"/>
  <c r="X44" i="5"/>
  <c r="C39" i="44"/>
  <c r="X47" i="6"/>
  <c r="E42" i="44"/>
  <c r="X55" i="22"/>
  <c r="T50" i="44"/>
  <c r="X27" i="19"/>
  <c r="V22" i="44"/>
  <c r="X31" i="22"/>
  <c r="T26" i="44"/>
  <c r="X27" i="21"/>
  <c r="U22" i="44"/>
  <c r="X44" i="19"/>
  <c r="V39" i="44"/>
  <c r="X56" i="22"/>
  <c r="T51" i="44"/>
  <c r="X34" i="21"/>
  <c r="U29" i="44"/>
  <c r="X13" i="20"/>
  <c r="O8" i="44"/>
  <c r="X39" i="22"/>
  <c r="T34" i="44"/>
  <c r="X60" i="20"/>
  <c r="O55" i="44"/>
  <c r="X51" i="19"/>
  <c r="V46" i="44"/>
  <c r="X20" i="21"/>
  <c r="U15" i="44"/>
  <c r="X40" i="17"/>
  <c r="AA35" i="44"/>
  <c r="X74" i="15"/>
  <c r="R69" i="44"/>
  <c r="X68" i="14"/>
  <c r="S63" i="44"/>
  <c r="X79" i="19"/>
  <c r="V74" i="44"/>
  <c r="X58" i="16"/>
  <c r="N53" i="44"/>
  <c r="X42" i="22"/>
  <c r="T37" i="44"/>
  <c r="X51" i="17"/>
  <c r="AA46" i="44"/>
  <c r="X15" i="16"/>
  <c r="N10" i="44"/>
  <c r="X41" i="15"/>
  <c r="R36" i="44"/>
  <c r="X20" i="14"/>
  <c r="S15" i="44"/>
  <c r="X24" i="13"/>
  <c r="K19" i="44"/>
  <c r="X66" i="19"/>
  <c r="V61" i="44"/>
  <c r="X48" i="17"/>
  <c r="AA43" i="44"/>
  <c r="X59" i="16"/>
  <c r="N54" i="44"/>
  <c r="X43" i="15"/>
  <c r="R38" i="44"/>
  <c r="X26" i="14"/>
  <c r="S21" i="44"/>
  <c r="X16" i="13"/>
  <c r="K11" i="44"/>
  <c r="X47" i="14"/>
  <c r="S42" i="44"/>
  <c r="X59" i="10"/>
  <c r="G54" i="44"/>
  <c r="X58" i="9"/>
  <c r="F53" i="44"/>
  <c r="X77" i="8"/>
  <c r="H72" i="44"/>
  <c r="X18" i="14"/>
  <c r="S13" i="44"/>
  <c r="X55" i="11"/>
  <c r="M50" i="44"/>
  <c r="X47" i="10"/>
  <c r="G42" i="44"/>
  <c r="X60" i="9"/>
  <c r="F55" i="44"/>
  <c r="X24" i="17"/>
  <c r="AA19" i="44"/>
  <c r="X77" i="13"/>
  <c r="K72" i="44"/>
  <c r="X60" i="12"/>
  <c r="I55" i="44"/>
  <c r="X47" i="11"/>
  <c r="M42" i="44"/>
  <c r="X67" i="10"/>
  <c r="G62" i="44"/>
  <c r="X68" i="9"/>
  <c r="F63" i="44"/>
  <c r="X75" i="8"/>
  <c r="H70" i="44"/>
  <c r="X77" i="6"/>
  <c r="E72" i="44"/>
  <c r="X74" i="5"/>
  <c r="C69" i="44"/>
  <c r="X67" i="7"/>
  <c r="L62" i="44"/>
  <c r="X55" i="12"/>
  <c r="I50" i="44"/>
  <c r="X53" i="7"/>
  <c r="L48" i="44"/>
  <c r="X20" i="4"/>
  <c r="D15" i="44"/>
  <c r="X58" i="6"/>
  <c r="E53" i="44"/>
  <c r="X12" i="5"/>
  <c r="C7" i="44"/>
  <c r="X27" i="14"/>
  <c r="S22" i="44"/>
  <c r="X48" i="8"/>
  <c r="H43" i="44"/>
  <c r="X7" i="5"/>
  <c r="C2" i="44"/>
  <c r="C2" i="45" s="1"/>
  <c r="X55" i="20"/>
  <c r="O50" i="44"/>
  <c r="X19" i="16"/>
  <c r="N14" i="44"/>
  <c r="X10" i="14"/>
  <c r="S5" i="44"/>
  <c r="X77" i="11"/>
  <c r="M72" i="44"/>
  <c r="X39" i="9"/>
  <c r="F34" i="44"/>
  <c r="X43" i="8"/>
  <c r="H38" i="44"/>
  <c r="X36" i="5"/>
  <c r="C31" i="44"/>
  <c r="X71" i="21"/>
  <c r="U66" i="44"/>
  <c r="X36" i="16"/>
  <c r="N31" i="44"/>
  <c r="X75" i="14"/>
  <c r="S70" i="44"/>
  <c r="X29" i="11"/>
  <c r="M24" i="44"/>
  <c r="X59" i="7"/>
  <c r="L54" i="44"/>
  <c r="X42" i="6"/>
  <c r="E37" i="44"/>
  <c r="X51" i="13"/>
  <c r="K46" i="44"/>
  <c r="X23" i="20"/>
  <c r="O18" i="44"/>
  <c r="X37" i="11"/>
  <c r="M32" i="44"/>
  <c r="X42" i="5"/>
  <c r="C37" i="44"/>
  <c r="X40" i="20"/>
  <c r="O35" i="44"/>
  <c r="X8" i="13"/>
  <c r="K3" i="44"/>
  <c r="X67" i="22"/>
  <c r="T62" i="44"/>
  <c r="X67" i="5"/>
  <c r="C62" i="44"/>
  <c r="X26" i="5"/>
  <c r="C21" i="44"/>
  <c r="X36" i="12"/>
  <c r="I31" i="44"/>
  <c r="X10" i="8"/>
  <c r="H5" i="44"/>
  <c r="X16" i="20"/>
  <c r="O11" i="44"/>
  <c r="X44" i="14"/>
  <c r="S39" i="44"/>
  <c r="X37" i="10"/>
  <c r="G32" i="44"/>
  <c r="X59" i="5"/>
  <c r="C54" i="44"/>
  <c r="X35" i="18"/>
  <c r="J30" i="44"/>
  <c r="X36" i="11"/>
  <c r="M31" i="44"/>
  <c r="X69" i="6"/>
  <c r="E64" i="44"/>
  <c r="X7" i="22"/>
  <c r="T2" i="44"/>
  <c r="T2" i="45" s="1"/>
  <c r="X76" i="18"/>
  <c r="J71" i="44"/>
  <c r="X53" i="11"/>
  <c r="M48" i="44"/>
  <c r="X43" i="7"/>
  <c r="L38" i="44"/>
  <c r="X76" i="4"/>
  <c r="D71" i="44"/>
  <c r="X52" i="18"/>
  <c r="J47" i="44"/>
  <c r="X30" i="10"/>
  <c r="G25" i="44"/>
  <c r="X48" i="4"/>
  <c r="D43" i="44"/>
  <c r="X74" i="13"/>
  <c r="K69" i="44"/>
  <c r="X44" i="21"/>
  <c r="U39" i="44"/>
  <c r="X58" i="10"/>
  <c r="G53" i="44"/>
  <c r="X19" i="5"/>
  <c r="C14" i="44"/>
  <c r="X34" i="22"/>
  <c r="T29" i="44"/>
  <c r="X50" i="14"/>
  <c r="S45" i="44"/>
  <c r="X31" i="4"/>
  <c r="D26" i="44"/>
  <c r="X27" i="16"/>
  <c r="N22" i="44"/>
  <c r="X15" i="12"/>
  <c r="I10" i="44"/>
  <c r="X66" i="6"/>
  <c r="E61" i="44"/>
  <c r="X34" i="20"/>
  <c r="O29" i="44"/>
  <c r="X66" i="10"/>
  <c r="G61" i="44"/>
  <c r="X47" i="22"/>
  <c r="T42" i="44"/>
  <c r="X58" i="7"/>
  <c r="L53" i="44"/>
  <c r="X37" i="8"/>
  <c r="H32" i="44"/>
  <c r="X39" i="14"/>
  <c r="S34" i="44"/>
  <c r="X74" i="21"/>
  <c r="U69" i="44"/>
  <c r="X27" i="8"/>
  <c r="H22" i="44"/>
  <c r="Y18" i="23"/>
  <c r="X25" i="1"/>
  <c r="X12" i="25"/>
  <c r="X12" i="26"/>
  <c r="X56" i="29"/>
  <c r="W51" i="44"/>
  <c r="X30" i="1"/>
  <c r="Y27" i="23"/>
  <c r="X13" i="30"/>
  <c r="X8" i="44"/>
  <c r="X24" i="30"/>
  <c r="X19" i="44"/>
  <c r="X20" i="30"/>
  <c r="X15" i="44"/>
  <c r="X63" i="30"/>
  <c r="X58" i="44"/>
  <c r="X59" i="30"/>
  <c r="X54" i="44"/>
  <c r="X29" i="3"/>
  <c r="B24" i="44"/>
  <c r="X22" i="3"/>
  <c r="B17" i="44"/>
  <c r="X56" i="3"/>
  <c r="B51" i="44"/>
  <c r="X41" i="3"/>
  <c r="B36" i="44"/>
  <c r="X18" i="3"/>
  <c r="B13" i="44"/>
  <c r="X11" i="3"/>
  <c r="B6" i="44"/>
  <c r="X76" i="3"/>
  <c r="B71" i="44"/>
  <c r="X57" i="4"/>
  <c r="D52" i="44"/>
  <c r="X25" i="5"/>
  <c r="C20" i="44"/>
  <c r="X54" i="5"/>
  <c r="C49" i="44"/>
  <c r="X8" i="5"/>
  <c r="C3" i="44"/>
  <c r="X45" i="5"/>
  <c r="C40" i="44"/>
  <c r="X73" i="6"/>
  <c r="E68" i="44"/>
  <c r="X46" i="6"/>
  <c r="E41" i="44"/>
  <c r="X73" i="7"/>
  <c r="L68" i="44"/>
  <c r="X39" i="7"/>
  <c r="L34" i="44"/>
  <c r="X60" i="7"/>
  <c r="L55" i="44"/>
  <c r="X41" i="7"/>
  <c r="L36" i="44"/>
  <c r="X62" i="8"/>
  <c r="H57" i="44"/>
  <c r="X73" i="9"/>
  <c r="F68" i="44"/>
  <c r="X64" i="9"/>
  <c r="F59" i="44"/>
  <c r="X34" i="10"/>
  <c r="G29" i="44"/>
  <c r="X10" i="10"/>
  <c r="G5" i="44"/>
  <c r="X24" i="11"/>
  <c r="M19" i="44"/>
  <c r="X41" i="11"/>
  <c r="M36" i="44"/>
  <c r="X25" i="11"/>
  <c r="M20" i="44"/>
  <c r="X65" i="12"/>
  <c r="I60" i="44"/>
  <c r="X9" i="12"/>
  <c r="I4" i="44"/>
  <c r="X64" i="12"/>
  <c r="I59" i="44"/>
  <c r="X30" i="13"/>
  <c r="K25" i="44"/>
  <c r="X41" i="13"/>
  <c r="K36" i="44"/>
  <c r="X41" i="14"/>
  <c r="S36" i="44"/>
  <c r="X54" i="14"/>
  <c r="S49" i="44"/>
  <c r="X28" i="15"/>
  <c r="R23" i="44"/>
  <c r="X17" i="16"/>
  <c r="N12" i="44"/>
  <c r="X46" i="17"/>
  <c r="AA41" i="44"/>
  <c r="X62" i="18"/>
  <c r="J57" i="44"/>
  <c r="X9" i="18"/>
  <c r="J4" i="44"/>
  <c r="X48" i="18"/>
  <c r="J43" i="44"/>
  <c r="X33" i="19"/>
  <c r="V28" i="44"/>
  <c r="X56" i="19"/>
  <c r="V51" i="44"/>
  <c r="X13" i="19"/>
  <c r="V8" i="44"/>
  <c r="X35" i="20"/>
  <c r="O30" i="44"/>
  <c r="X9" i="20"/>
  <c r="O4" i="44"/>
  <c r="X32" i="21"/>
  <c r="U27" i="44"/>
  <c r="X30" i="21"/>
  <c r="U25" i="44"/>
  <c r="X40" i="21"/>
  <c r="U35" i="44"/>
  <c r="X25" i="22"/>
  <c r="T20" i="44"/>
  <c r="X46" i="22"/>
  <c r="T41" i="44"/>
  <c r="X72" i="24"/>
  <c r="P67" i="44"/>
  <c r="X45" i="24"/>
  <c r="P40" i="44"/>
  <c r="X18" i="24"/>
  <c r="P13" i="44"/>
  <c r="X55" i="25"/>
  <c r="AC50" i="44"/>
  <c r="X19" i="25"/>
  <c r="AC14" i="44"/>
  <c r="X15" i="25"/>
  <c r="AC10" i="44"/>
  <c r="X19" i="26"/>
  <c r="Z14" i="44"/>
  <c r="X75" i="26"/>
  <c r="Z70" i="44"/>
  <c r="X79" i="27"/>
  <c r="AB74" i="44"/>
  <c r="X28" i="27"/>
  <c r="AB23" i="44"/>
  <c r="X70" i="27"/>
  <c r="AB65" i="44"/>
  <c r="X27" i="27"/>
  <c r="AB22" i="44"/>
  <c r="X60" i="28"/>
  <c r="Y55" i="44"/>
  <c r="X44" i="28"/>
  <c r="Y39" i="44"/>
  <c r="X42" i="28"/>
  <c r="Y37" i="44"/>
  <c r="X38" i="28"/>
  <c r="Y33" i="44"/>
  <c r="X8" i="28"/>
  <c r="Y3" i="44"/>
  <c r="X65" i="29"/>
  <c r="W60" i="44"/>
  <c r="X43" i="29"/>
  <c r="W38" i="44"/>
  <c r="X27" i="29"/>
  <c r="W22" i="44"/>
  <c r="X11" i="29"/>
  <c r="W6" i="44"/>
  <c r="X38" i="30"/>
  <c r="X33" i="44"/>
  <c r="X79" i="30"/>
  <c r="X74" i="44"/>
  <c r="X75" i="31"/>
  <c r="AF70" i="44"/>
  <c r="X44" i="31"/>
  <c r="AF39" i="44"/>
  <c r="X17" i="31"/>
  <c r="AF12" i="44"/>
  <c r="X63" i="32"/>
  <c r="Q58" i="44"/>
  <c r="X47" i="32"/>
  <c r="Q42" i="44"/>
  <c r="X19" i="32"/>
  <c r="Q14" i="44"/>
  <c r="W34" i="1"/>
  <c r="Z34" i="1" s="1"/>
  <c r="X34" i="23"/>
  <c r="Z34" i="23" s="1"/>
  <c r="X47" i="31"/>
  <c r="AF42" i="44"/>
  <c r="X65" i="30"/>
  <c r="X60" i="44"/>
  <c r="X17" i="30"/>
  <c r="X12" i="44"/>
  <c r="X66" i="28"/>
  <c r="Y61" i="44"/>
  <c r="X36" i="28"/>
  <c r="Y31" i="44"/>
  <c r="X71" i="26"/>
  <c r="Z66" i="44"/>
  <c r="X59" i="25"/>
  <c r="AC54" i="44"/>
  <c r="X32" i="28"/>
  <c r="Y27" i="44"/>
  <c r="X76" i="26"/>
  <c r="Z71" i="44"/>
  <c r="X23" i="26"/>
  <c r="Z18" i="44"/>
  <c r="X58" i="24"/>
  <c r="P53" i="44"/>
  <c r="X11" i="32"/>
  <c r="Q6" i="44"/>
  <c r="X41" i="28"/>
  <c r="Y36" i="44"/>
  <c r="X9" i="27"/>
  <c r="AB4" i="44"/>
  <c r="X50" i="25"/>
  <c r="AC45" i="44"/>
  <c r="X21" i="24"/>
  <c r="P16" i="44"/>
  <c r="X40" i="30"/>
  <c r="X35" i="44"/>
  <c r="X15" i="30"/>
  <c r="X10" i="44"/>
  <c r="X13" i="3"/>
  <c r="B8" i="44"/>
  <c r="X39" i="3"/>
  <c r="B34" i="44"/>
  <c r="X67" i="3"/>
  <c r="B62" i="44"/>
  <c r="X48" i="5"/>
  <c r="C43" i="44"/>
  <c r="X62" i="6"/>
  <c r="E57" i="44"/>
  <c r="X55" i="7"/>
  <c r="L50" i="44"/>
  <c r="X78" i="8"/>
  <c r="H73" i="44"/>
  <c r="X19" i="9"/>
  <c r="F14" i="44"/>
  <c r="X40" i="11"/>
  <c r="M35" i="44"/>
  <c r="X57" i="11"/>
  <c r="M52" i="44"/>
  <c r="X17" i="12"/>
  <c r="I12" i="44"/>
  <c r="X44" i="15"/>
  <c r="R39" i="44"/>
  <c r="X62" i="17"/>
  <c r="AA57" i="44"/>
  <c r="X78" i="18"/>
  <c r="J73" i="44"/>
  <c r="X8" i="19"/>
  <c r="V3" i="44"/>
  <c r="X41" i="22"/>
  <c r="T36" i="44"/>
  <c r="X62" i="24"/>
  <c r="P57" i="44"/>
  <c r="X14" i="26"/>
  <c r="Z9" i="44"/>
  <c r="X29" i="1"/>
  <c r="Y17" i="23"/>
  <c r="X69" i="29"/>
  <c r="W64" i="44"/>
  <c r="X31" i="29"/>
  <c r="W26" i="44"/>
  <c r="X14" i="30"/>
  <c r="X9" i="44"/>
  <c r="X55" i="31"/>
  <c r="AF50" i="44"/>
  <c r="X26" i="32"/>
  <c r="Q21" i="44"/>
  <c r="X70" i="28"/>
  <c r="Y65" i="44"/>
  <c r="X26" i="26"/>
  <c r="Z21" i="44"/>
  <c r="X56" i="32"/>
  <c r="Q51" i="44"/>
  <c r="X34" i="27"/>
  <c r="AB29" i="44"/>
  <c r="X55" i="28"/>
  <c r="Y50" i="44"/>
  <c r="X49" i="24"/>
  <c r="P44" i="44"/>
  <c r="X13" i="4"/>
  <c r="D8" i="44"/>
  <c r="X13" i="10"/>
  <c r="G8" i="44"/>
  <c r="X53" i="22"/>
  <c r="T48" i="44"/>
  <c r="X76" i="20"/>
  <c r="O71" i="44"/>
  <c r="X18" i="19"/>
  <c r="V13" i="44"/>
  <c r="X29" i="22"/>
  <c r="T24" i="44"/>
  <c r="X71" i="20"/>
  <c r="O66" i="44"/>
  <c r="X12" i="19"/>
  <c r="V7" i="44"/>
  <c r="X51" i="22"/>
  <c r="T46" i="44"/>
  <c r="X15" i="21"/>
  <c r="U10" i="44"/>
  <c r="X60" i="19"/>
  <c r="V55" i="44"/>
  <c r="X37" i="22"/>
  <c r="T32" i="44"/>
  <c r="X58" i="20"/>
  <c r="O53" i="44"/>
  <c r="X42" i="19"/>
  <c r="V37" i="44"/>
  <c r="X75" i="19"/>
  <c r="V70" i="44"/>
  <c r="X35" i="17"/>
  <c r="AA30" i="44"/>
  <c r="X61" i="15"/>
  <c r="R56" i="44"/>
  <c r="X63" i="14"/>
  <c r="S58" i="44"/>
  <c r="X11" i="19"/>
  <c r="V6" i="44"/>
  <c r="X44" i="16"/>
  <c r="N39" i="44"/>
  <c r="X15" i="19"/>
  <c r="V10" i="44"/>
  <c r="X18" i="17"/>
  <c r="AA13" i="44"/>
  <c r="X13" i="16"/>
  <c r="N8" i="44"/>
  <c r="X15" i="14"/>
  <c r="S10" i="44"/>
  <c r="X19" i="13"/>
  <c r="K14" i="44"/>
  <c r="X43" i="19"/>
  <c r="V38" i="44"/>
  <c r="X43" i="17"/>
  <c r="AA38" i="44"/>
  <c r="X26" i="16"/>
  <c r="N21" i="44"/>
  <c r="X38" i="15"/>
  <c r="R33" i="44"/>
  <c r="X12" i="14"/>
  <c r="S7" i="44"/>
  <c r="X11" i="13"/>
  <c r="K6" i="44"/>
  <c r="X45" i="14"/>
  <c r="S40" i="44"/>
  <c r="X10" i="13"/>
  <c r="K5" i="44"/>
  <c r="X54" i="10"/>
  <c r="G49" i="44"/>
  <c r="X47" i="9"/>
  <c r="F42" i="44"/>
  <c r="X72" i="8"/>
  <c r="H67" i="44"/>
  <c r="X76" i="12"/>
  <c r="I71" i="44"/>
  <c r="X50" i="11"/>
  <c r="M45" i="44"/>
  <c r="X40" i="10"/>
  <c r="G35" i="44"/>
  <c r="X44" i="9"/>
  <c r="F39" i="44"/>
  <c r="X75" i="16"/>
  <c r="N70" i="44"/>
  <c r="X72" i="13"/>
  <c r="K67" i="44"/>
  <c r="X51" i="12"/>
  <c r="I46" i="44"/>
  <c r="X42" i="11"/>
  <c r="M37" i="44"/>
  <c r="X62" i="10"/>
  <c r="G57" i="44"/>
  <c r="X61" i="9"/>
  <c r="F56" i="44"/>
  <c r="X42" i="8"/>
  <c r="H37" i="44"/>
  <c r="X72" i="6"/>
  <c r="E67" i="44"/>
  <c r="X55" i="5"/>
  <c r="C50" i="44"/>
  <c r="X34" i="5"/>
  <c r="C29" i="44"/>
  <c r="X29" i="10"/>
  <c r="G24" i="44"/>
  <c r="X26" i="6"/>
  <c r="E21" i="44"/>
  <c r="X15" i="4"/>
  <c r="D10" i="44"/>
  <c r="X55" i="10"/>
  <c r="G50" i="44"/>
  <c r="X39" i="6"/>
  <c r="E34" i="44"/>
  <c r="X47" i="4"/>
  <c r="D42" i="44"/>
  <c r="X67" i="13"/>
  <c r="K62" i="44"/>
  <c r="X61" i="7"/>
  <c r="L56" i="44"/>
  <c r="X28" i="4"/>
  <c r="D23" i="44"/>
  <c r="X35" i="19"/>
  <c r="V30" i="44"/>
  <c r="X11" i="16"/>
  <c r="N6" i="44"/>
  <c r="X47" i="13"/>
  <c r="K42" i="44"/>
  <c r="X52" i="11"/>
  <c r="M47" i="44"/>
  <c r="X34" i="9"/>
  <c r="F29" i="44"/>
  <c r="X29" i="8"/>
  <c r="H24" i="44"/>
  <c r="X10" i="21"/>
  <c r="U5" i="44"/>
  <c r="X31" i="16"/>
  <c r="N26" i="44"/>
  <c r="X42" i="14"/>
  <c r="S37" i="44"/>
  <c r="X77" i="10"/>
  <c r="G72" i="44"/>
  <c r="X45" i="7"/>
  <c r="L40" i="44"/>
  <c r="X19" i="6"/>
  <c r="E14" i="44"/>
  <c r="X42" i="12"/>
  <c r="I37" i="44"/>
  <c r="X68" i="19"/>
  <c r="V63" i="44"/>
  <c r="X21" i="9"/>
  <c r="F16" i="44"/>
  <c r="X23" i="5"/>
  <c r="C18" i="44"/>
  <c r="X28" i="20"/>
  <c r="O23" i="44"/>
  <c r="X60" i="11"/>
  <c r="M55" i="44"/>
  <c r="X18" i="21"/>
  <c r="U13" i="44"/>
  <c r="X60" i="5"/>
  <c r="C55" i="44"/>
  <c r="X37" i="17"/>
  <c r="AA32" i="44"/>
  <c r="X50" i="7"/>
  <c r="L45" i="44"/>
  <c r="X58" i="19"/>
  <c r="V53" i="44"/>
  <c r="X29" i="14"/>
  <c r="S24" i="44"/>
  <c r="X21" i="10"/>
  <c r="G16" i="44"/>
  <c r="X47" i="5"/>
  <c r="C42" i="44"/>
  <c r="X59" i="22"/>
  <c r="T54" i="44"/>
  <c r="X79" i="17"/>
  <c r="AA74" i="44"/>
  <c r="X63" i="10"/>
  <c r="G58" i="44"/>
  <c r="X11" i="5"/>
  <c r="C6" i="44"/>
  <c r="X39" i="21"/>
  <c r="U34" i="44"/>
  <c r="X76" i="17"/>
  <c r="AA71" i="44"/>
  <c r="X45" i="11"/>
  <c r="M40" i="44"/>
  <c r="X10" i="7"/>
  <c r="L5" i="44"/>
  <c r="X59" i="4"/>
  <c r="D54" i="44"/>
  <c r="X44" i="18"/>
  <c r="J39" i="44"/>
  <c r="X22" i="10"/>
  <c r="G17" i="44"/>
  <c r="X29" i="6"/>
  <c r="E24" i="44"/>
  <c r="X66" i="13"/>
  <c r="K61" i="44"/>
  <c r="X12" i="21"/>
  <c r="U7" i="44"/>
  <c r="X53" i="10"/>
  <c r="G48" i="44"/>
  <c r="X74" i="4"/>
  <c r="D69" i="44"/>
  <c r="X26" i="22"/>
  <c r="T21" i="44"/>
  <c r="X44" i="13"/>
  <c r="K39" i="44"/>
  <c r="X40" i="22"/>
  <c r="T35" i="44"/>
  <c r="X16" i="15"/>
  <c r="R11" i="44"/>
  <c r="X76" i="6"/>
  <c r="E71" i="44"/>
  <c r="X61" i="6"/>
  <c r="E56" i="44"/>
  <c r="X26" i="20"/>
  <c r="O21" i="44"/>
  <c r="X56" i="10"/>
  <c r="G51" i="44"/>
  <c r="X51" i="21"/>
  <c r="U46" i="44"/>
  <c r="X71" i="4"/>
  <c r="D66" i="44"/>
  <c r="X43" i="5"/>
  <c r="C38" i="44"/>
  <c r="X26" i="19"/>
  <c r="V21" i="44"/>
  <c r="X17" i="15"/>
  <c r="R12" i="44"/>
  <c r="X75" i="6"/>
  <c r="E70" i="44"/>
  <c r="X64" i="24"/>
  <c r="P59" i="44"/>
  <c r="X34" i="25"/>
  <c r="AC29" i="44"/>
  <c r="X27" i="1"/>
  <c r="Y32" i="23"/>
  <c r="Y24" i="23"/>
  <c r="X28" i="1"/>
  <c r="X54" i="29"/>
  <c r="W49" i="44"/>
  <c r="X55" i="29"/>
  <c r="W50" i="44"/>
  <c r="X16" i="30"/>
  <c r="X11" i="44"/>
  <c r="X55" i="30"/>
  <c r="X50" i="44"/>
  <c r="X57" i="30"/>
  <c r="X52" i="44"/>
  <c r="X37" i="3"/>
  <c r="B32" i="44"/>
  <c r="X30" i="3"/>
  <c r="B25" i="44"/>
  <c r="X64" i="3"/>
  <c r="B59" i="44"/>
  <c r="X50" i="3"/>
  <c r="B45" i="44"/>
  <c r="X26" i="3"/>
  <c r="B21" i="44"/>
  <c r="X19" i="3"/>
  <c r="B14" i="44"/>
  <c r="X49" i="4"/>
  <c r="D44" i="44"/>
  <c r="X17" i="5"/>
  <c r="C12" i="44"/>
  <c r="X46" i="5"/>
  <c r="C41" i="44"/>
  <c r="X56" i="5"/>
  <c r="C51" i="44"/>
  <c r="X37" i="5"/>
  <c r="C32" i="44"/>
  <c r="X65" i="6"/>
  <c r="E60" i="44"/>
  <c r="X9" i="6"/>
  <c r="E4" i="44"/>
  <c r="X38" i="6"/>
  <c r="E33" i="44"/>
  <c r="X33" i="7"/>
  <c r="L28" i="44"/>
  <c r="X31" i="7"/>
  <c r="L26" i="44"/>
  <c r="X52" i="7"/>
  <c r="L47" i="44"/>
  <c r="X54" i="8"/>
  <c r="H49" i="44"/>
  <c r="X65" i="9"/>
  <c r="F60" i="44"/>
  <c r="X9" i="9"/>
  <c r="F4" i="44"/>
  <c r="X56" i="9"/>
  <c r="F51" i="44"/>
  <c r="X60" i="10"/>
  <c r="G55" i="44"/>
  <c r="X16" i="11"/>
  <c r="M11" i="44"/>
  <c r="X70" i="11"/>
  <c r="M65" i="44"/>
  <c r="X17" i="11"/>
  <c r="M12" i="44"/>
  <c r="X57" i="12"/>
  <c r="I52" i="44"/>
  <c r="X45" i="12"/>
  <c r="I40" i="44"/>
  <c r="X56" i="12"/>
  <c r="I51" i="44"/>
  <c r="X78" i="13"/>
  <c r="K73" i="44"/>
  <c r="X17" i="13"/>
  <c r="K12" i="44"/>
  <c r="X33" i="14"/>
  <c r="S28" i="44"/>
  <c r="X46" i="14"/>
  <c r="S41" i="44"/>
  <c r="X20" i="15"/>
  <c r="R15" i="44"/>
  <c r="X73" i="16"/>
  <c r="N68" i="44"/>
  <c r="X9" i="16"/>
  <c r="N4" i="44"/>
  <c r="X38" i="17"/>
  <c r="AA33" i="44"/>
  <c r="X54" i="18"/>
  <c r="J49" i="44"/>
  <c r="X22" i="18"/>
  <c r="J17" i="44"/>
  <c r="X40" i="18"/>
  <c r="J35" i="44"/>
  <c r="X25" i="19"/>
  <c r="V20" i="44"/>
  <c r="X48" i="19"/>
  <c r="V43" i="44"/>
  <c r="X77" i="19"/>
  <c r="V72" i="44"/>
  <c r="X27" i="20"/>
  <c r="O22" i="44"/>
  <c r="X73" i="20"/>
  <c r="O68" i="44"/>
  <c r="X48" i="21"/>
  <c r="U43" i="44"/>
  <c r="X22" i="21"/>
  <c r="U17" i="44"/>
  <c r="X16" i="21"/>
  <c r="U11" i="44"/>
  <c r="X17" i="22"/>
  <c r="T12" i="44"/>
  <c r="X38" i="22"/>
  <c r="T33" i="44"/>
  <c r="X59" i="24"/>
  <c r="P54" i="44"/>
  <c r="X40" i="24"/>
  <c r="P35" i="44"/>
  <c r="X44" i="24"/>
  <c r="P39" i="44"/>
  <c r="X51" i="25"/>
  <c r="AC46" i="44"/>
  <c r="X44" i="25"/>
  <c r="AC39" i="44"/>
  <c r="X11" i="25"/>
  <c r="AC6" i="44"/>
  <c r="X48" i="26"/>
  <c r="Z43" i="44"/>
  <c r="X59" i="26"/>
  <c r="Z54" i="44"/>
  <c r="X77" i="27"/>
  <c r="AB72" i="44"/>
  <c r="X74" i="27"/>
  <c r="AB69" i="44"/>
  <c r="X67" i="27"/>
  <c r="AB62" i="44"/>
  <c r="X63" i="27"/>
  <c r="AB58" i="44"/>
  <c r="X20" i="27"/>
  <c r="AB15" i="44"/>
  <c r="X53" i="28"/>
  <c r="Y48" i="44"/>
  <c r="X35" i="28"/>
  <c r="Y30" i="44"/>
  <c r="X26" i="28"/>
  <c r="Y21" i="44"/>
  <c r="X31" i="28"/>
  <c r="Y26" i="44"/>
  <c r="X79" i="29"/>
  <c r="W74" i="44"/>
  <c r="X63" i="29"/>
  <c r="W58" i="44"/>
  <c r="X41" i="29"/>
  <c r="W36" i="44"/>
  <c r="X25" i="29"/>
  <c r="W20" i="44"/>
  <c r="X9" i="29"/>
  <c r="W4" i="44"/>
  <c r="X34" i="30"/>
  <c r="X29" i="44"/>
  <c r="X73" i="30"/>
  <c r="X68" i="44"/>
  <c r="X68" i="31"/>
  <c r="AF63" i="44"/>
  <c r="X39" i="31"/>
  <c r="AF34" i="44"/>
  <c r="X57" i="31"/>
  <c r="AF52" i="44"/>
  <c r="X50" i="32"/>
  <c r="Q45" i="44"/>
  <c r="X79" i="32"/>
  <c r="Q74" i="44"/>
  <c r="X34" i="32"/>
  <c r="Q29" i="44"/>
  <c r="X42" i="32"/>
  <c r="Q37" i="44"/>
  <c r="X42" i="23"/>
  <c r="Z42" i="23" s="1"/>
  <c r="W39" i="1"/>
  <c r="Z39" i="1" s="1"/>
  <c r="W41" i="1"/>
  <c r="Z41" i="1" s="1"/>
  <c r="X40" i="23"/>
  <c r="Z40" i="23" s="1"/>
  <c r="X5" i="42"/>
  <c r="X38" i="23"/>
  <c r="Z38" i="23" s="1"/>
  <c r="W40" i="1"/>
  <c r="Z40" i="1" s="1"/>
  <c r="X13" i="31"/>
  <c r="AF8" i="44"/>
  <c r="X43" i="30"/>
  <c r="X38" i="44"/>
  <c r="X11" i="30"/>
  <c r="X6" i="44"/>
  <c r="X64" i="28"/>
  <c r="Y59" i="44"/>
  <c r="X34" i="28"/>
  <c r="Y29" i="44"/>
  <c r="X63" i="26"/>
  <c r="Z58" i="44"/>
  <c r="X54" i="25"/>
  <c r="AC49" i="44"/>
  <c r="X30" i="28"/>
  <c r="Y25" i="44"/>
  <c r="X68" i="26"/>
  <c r="Z63" i="44"/>
  <c r="X18" i="26"/>
  <c r="Z13" i="44"/>
  <c r="X50" i="24"/>
  <c r="P45" i="44"/>
  <c r="X72" i="31"/>
  <c r="AF67" i="44"/>
  <c r="X39" i="28"/>
  <c r="Y34" i="44"/>
  <c r="X72" i="26"/>
  <c r="Z67" i="44"/>
  <c r="X30" i="25"/>
  <c r="AC25" i="44"/>
  <c r="X8" i="24"/>
  <c r="P3" i="44"/>
  <c r="F9" i="43"/>
  <c r="E10" i="43"/>
  <c r="F13" i="42"/>
  <c r="E14" i="42"/>
  <c r="F10" i="39"/>
  <c r="E11" i="39"/>
  <c r="F9" i="38"/>
  <c r="E10" i="38"/>
  <c r="F9" i="36"/>
  <c r="E10" i="36"/>
  <c r="F9" i="35"/>
  <c r="E10" i="35"/>
  <c r="F10" i="34"/>
  <c r="E11" i="34"/>
  <c r="F10" i="33"/>
  <c r="E11" i="33"/>
  <c r="F8" i="32"/>
  <c r="E9" i="32"/>
  <c r="Y5" i="32"/>
  <c r="Y5" i="27"/>
  <c r="Y5" i="26"/>
  <c r="F9" i="26"/>
  <c r="E10" i="26"/>
  <c r="T23" i="1"/>
  <c r="U23" i="1"/>
  <c r="U22" i="1"/>
  <c r="T22" i="1"/>
  <c r="U21" i="1"/>
  <c r="T21" i="1"/>
  <c r="U20" i="1"/>
  <c r="T20" i="1"/>
  <c r="T19" i="1"/>
  <c r="U19" i="1"/>
  <c r="U18" i="1"/>
  <c r="T18" i="1"/>
  <c r="U17" i="1"/>
  <c r="T16" i="1"/>
  <c r="U16" i="1"/>
  <c r="U15" i="1"/>
  <c r="T15" i="1"/>
  <c r="U14" i="1"/>
  <c r="T14" i="1"/>
  <c r="F8" i="12"/>
  <c r="E9" i="12"/>
  <c r="U13" i="1"/>
  <c r="T13" i="1"/>
  <c r="U11" i="1"/>
  <c r="F8" i="9"/>
  <c r="E9" i="9"/>
  <c r="T11" i="1"/>
  <c r="U10" i="1"/>
  <c r="T10" i="1"/>
  <c r="T9" i="1"/>
  <c r="U9" i="1"/>
  <c r="U8" i="1"/>
  <c r="T8" i="1"/>
  <c r="U7" i="1"/>
  <c r="T7" i="1"/>
  <c r="U6" i="1"/>
  <c r="T6" i="1"/>
  <c r="Y5" i="31"/>
  <c r="E9" i="31"/>
  <c r="F8" i="31"/>
  <c r="F8" i="30"/>
  <c r="E9" i="30"/>
  <c r="Y5" i="30"/>
  <c r="X12" i="30"/>
  <c r="Y5" i="29"/>
  <c r="E10" i="29"/>
  <c r="F9" i="29"/>
  <c r="Y5" i="28"/>
  <c r="F9" i="27"/>
  <c r="E10" i="27"/>
  <c r="Y5" i="25"/>
  <c r="F8" i="25"/>
  <c r="E9" i="25"/>
  <c r="Y5" i="24"/>
  <c r="Y5" i="5"/>
  <c r="X4" i="23" s="1"/>
  <c r="Z4" i="23" s="1"/>
  <c r="Y5" i="8"/>
  <c r="X8" i="23" s="1"/>
  <c r="Z8" i="23" s="1"/>
  <c r="X5" i="2"/>
  <c r="Y5" i="14"/>
  <c r="X25" i="23" s="1"/>
  <c r="Z25" i="23" s="1"/>
  <c r="Y5" i="18"/>
  <c r="X13" i="23" s="1"/>
  <c r="Z13" i="23" s="1"/>
  <c r="X22" i="1"/>
  <c r="Y5" i="17"/>
  <c r="X28" i="23" s="1"/>
  <c r="Z28" i="23" s="1"/>
  <c r="Y5" i="20"/>
  <c r="X15" i="23" s="1"/>
  <c r="Z15" i="23" s="1"/>
  <c r="X16" i="1"/>
  <c r="X9" i="1"/>
  <c r="X18" i="1"/>
  <c r="Y5" i="4"/>
  <c r="X5" i="23" s="1"/>
  <c r="Z5" i="23" s="1"/>
  <c r="Y5" i="13"/>
  <c r="X14" i="23" s="1"/>
  <c r="Z14" i="23" s="1"/>
  <c r="X12" i="18"/>
  <c r="X23" i="1"/>
  <c r="X15" i="1"/>
  <c r="X14" i="1"/>
  <c r="X5" i="1"/>
  <c r="X7" i="1"/>
  <c r="Y5" i="12"/>
  <c r="X12" i="23" s="1"/>
  <c r="Z12" i="23" s="1"/>
  <c r="X8" i="1"/>
  <c r="Y5" i="15"/>
  <c r="X16" i="23" s="1"/>
  <c r="Z16" i="23" s="1"/>
  <c r="Y5" i="2"/>
  <c r="X12" i="1"/>
  <c r="Y5" i="16"/>
  <c r="X19" i="23" s="1"/>
  <c r="Z19" i="23" s="1"/>
  <c r="Y5" i="21"/>
  <c r="X22" i="23" s="1"/>
  <c r="Z22" i="23" s="1"/>
  <c r="X17" i="1"/>
  <c r="X6" i="1"/>
  <c r="X21" i="1"/>
  <c r="X11" i="1"/>
  <c r="Y5" i="9"/>
  <c r="X10" i="1"/>
  <c r="Y5" i="11"/>
  <c r="X11" i="23" s="1"/>
  <c r="Z11" i="23" s="1"/>
  <c r="Y5" i="19"/>
  <c r="X26" i="23" s="1"/>
  <c r="Z26" i="23" s="1"/>
  <c r="X19" i="1"/>
  <c r="X20" i="1"/>
  <c r="Y5" i="22"/>
  <c r="Y5" i="10"/>
  <c r="X9" i="23" s="1"/>
  <c r="Z9" i="23" s="1"/>
  <c r="Y5" i="7"/>
  <c r="X10" i="23" s="1"/>
  <c r="Z10" i="23" s="1"/>
  <c r="Y5" i="6"/>
  <c r="X6" i="23" s="1"/>
  <c r="Z6" i="23" s="1"/>
  <c r="E9" i="22"/>
  <c r="F8" i="22"/>
  <c r="E11" i="20"/>
  <c r="E10" i="19"/>
  <c r="F9" i="19"/>
  <c r="F10" i="18"/>
  <c r="E11" i="18"/>
  <c r="F12" i="16"/>
  <c r="E13" i="16"/>
  <c r="E11" i="15"/>
  <c r="F10" i="15"/>
  <c r="E10" i="14"/>
  <c r="F9" i="14"/>
  <c r="E11" i="13"/>
  <c r="F10" i="13"/>
  <c r="E10" i="11"/>
  <c r="F9" i="11"/>
  <c r="E10" i="10"/>
  <c r="F9" i="10"/>
  <c r="F10" i="8"/>
  <c r="E11" i="8"/>
  <c r="E9" i="7"/>
  <c r="F8" i="7"/>
  <c r="F9" i="6"/>
  <c r="E10" i="6"/>
  <c r="F9" i="5"/>
  <c r="E10" i="5"/>
  <c r="E10" i="4"/>
  <c r="F9" i="4"/>
  <c r="E9" i="3"/>
  <c r="F8" i="3"/>
  <c r="F8" i="2"/>
  <c r="E9" i="2"/>
  <c r="E10" i="28" l="1"/>
  <c r="F10" i="28" s="1"/>
  <c r="F10" i="17"/>
  <c r="E10" i="21"/>
  <c r="F9" i="21"/>
  <c r="J3" i="45"/>
  <c r="J4" i="45" s="1"/>
  <c r="J5" i="45" s="1"/>
  <c r="J6" i="45" s="1"/>
  <c r="J7" i="45" s="1"/>
  <c r="J8" i="45" s="1"/>
  <c r="J9" i="45" s="1"/>
  <c r="J10" i="45" s="1"/>
  <c r="J11" i="45" s="1"/>
  <c r="J12" i="45" s="1"/>
  <c r="J13" i="45" s="1"/>
  <c r="J14" i="45" s="1"/>
  <c r="J15" i="45" s="1"/>
  <c r="J16" i="45" s="1"/>
  <c r="J17" i="45" s="1"/>
  <c r="J18" i="45" s="1"/>
  <c r="J19" i="45" s="1"/>
  <c r="J20" i="45" s="1"/>
  <c r="J21" i="45" s="1"/>
  <c r="J22" i="45" s="1"/>
  <c r="J23" i="45" s="1"/>
  <c r="J24" i="45" s="1"/>
  <c r="J25" i="45" s="1"/>
  <c r="J26" i="45" s="1"/>
  <c r="J27" i="45" s="1"/>
  <c r="J28" i="45" s="1"/>
  <c r="J29" i="45" s="1"/>
  <c r="J30" i="45" s="1"/>
  <c r="J31" i="45" s="1"/>
  <c r="J32" i="45" s="1"/>
  <c r="J33" i="45" s="1"/>
  <c r="J34" i="45" s="1"/>
  <c r="J35" i="45" s="1"/>
  <c r="J36" i="45" s="1"/>
  <c r="J37" i="45" s="1"/>
  <c r="J38" i="45" s="1"/>
  <c r="J39" i="45" s="1"/>
  <c r="J40" i="45" s="1"/>
  <c r="J41" i="45" s="1"/>
  <c r="J42" i="45" s="1"/>
  <c r="J43" i="45" s="1"/>
  <c r="J44" i="45" s="1"/>
  <c r="J45" i="45" s="1"/>
  <c r="J46" i="45" s="1"/>
  <c r="J47" i="45" s="1"/>
  <c r="J48" i="45" s="1"/>
  <c r="J49" i="45" s="1"/>
  <c r="J50" i="45" s="1"/>
  <c r="J51" i="45" s="1"/>
  <c r="J52" i="45" s="1"/>
  <c r="J53" i="45" s="1"/>
  <c r="J54" i="45" s="1"/>
  <c r="J55" i="45" s="1"/>
  <c r="J56" i="45" s="1"/>
  <c r="J57" i="45" s="1"/>
  <c r="J58" i="45" s="1"/>
  <c r="J59" i="45" s="1"/>
  <c r="J60" i="45" s="1"/>
  <c r="J61" i="45" s="1"/>
  <c r="J62" i="45" s="1"/>
  <c r="J63" i="45" s="1"/>
  <c r="J64" i="45" s="1"/>
  <c r="J65" i="45" s="1"/>
  <c r="J66" i="45" s="1"/>
  <c r="J67" i="45" s="1"/>
  <c r="J68" i="45" s="1"/>
  <c r="J69" i="45" s="1"/>
  <c r="J70" i="45" s="1"/>
  <c r="J71" i="45" s="1"/>
  <c r="J72" i="45" s="1"/>
  <c r="J73" i="45" s="1"/>
  <c r="J74" i="45" s="1"/>
  <c r="E11" i="40"/>
  <c r="F10" i="40"/>
  <c r="E11" i="28"/>
  <c r="F11" i="28" s="1"/>
  <c r="X7" i="23"/>
  <c r="Z7" i="23" s="1"/>
  <c r="V24" i="23"/>
  <c r="V31" i="23"/>
  <c r="V17" i="23"/>
  <c r="B3" i="45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X3" i="23"/>
  <c r="Z3" i="23" s="1"/>
  <c r="V27" i="23"/>
  <c r="V29" i="23"/>
  <c r="V20" i="23"/>
  <c r="V32" i="23"/>
  <c r="F11" i="37"/>
  <c r="E12" i="37"/>
  <c r="F11" i="41"/>
  <c r="E12" i="41"/>
  <c r="V23" i="23"/>
  <c r="V30" i="23"/>
  <c r="V18" i="23"/>
  <c r="AF3" i="45"/>
  <c r="AF4" i="45" s="1"/>
  <c r="AF5" i="45" s="1"/>
  <c r="AF6" i="45" s="1"/>
  <c r="AF7" i="45" s="1"/>
  <c r="AF8" i="45" s="1"/>
  <c r="AF9" i="45" s="1"/>
  <c r="AF10" i="45" s="1"/>
  <c r="AF11" i="45" s="1"/>
  <c r="AF12" i="45" s="1"/>
  <c r="AF13" i="45" s="1"/>
  <c r="AF14" i="45" s="1"/>
  <c r="AF15" i="45" s="1"/>
  <c r="AF16" i="45" s="1"/>
  <c r="AF17" i="45" s="1"/>
  <c r="AF18" i="45" s="1"/>
  <c r="AF19" i="45" s="1"/>
  <c r="AF20" i="45" s="1"/>
  <c r="AF21" i="45" s="1"/>
  <c r="AF22" i="45" s="1"/>
  <c r="AF23" i="45" s="1"/>
  <c r="AF24" i="45" s="1"/>
  <c r="AF25" i="45" s="1"/>
  <c r="AF26" i="45" s="1"/>
  <c r="AF27" i="45" s="1"/>
  <c r="AF28" i="45" s="1"/>
  <c r="AF29" i="45" s="1"/>
  <c r="AF30" i="45" s="1"/>
  <c r="AF31" i="45" s="1"/>
  <c r="AF32" i="45" s="1"/>
  <c r="AF33" i="45" s="1"/>
  <c r="AF34" i="45" s="1"/>
  <c r="AF35" i="45" s="1"/>
  <c r="AF36" i="45" s="1"/>
  <c r="AF37" i="45" s="1"/>
  <c r="AF38" i="45" s="1"/>
  <c r="AF39" i="45" s="1"/>
  <c r="AF40" i="45" s="1"/>
  <c r="AF41" i="45" s="1"/>
  <c r="AF42" i="45" s="1"/>
  <c r="AF43" i="45" s="1"/>
  <c r="AF44" i="45" s="1"/>
  <c r="AF45" i="45" s="1"/>
  <c r="AF46" i="45" s="1"/>
  <c r="AF47" i="45" s="1"/>
  <c r="AF48" i="45" s="1"/>
  <c r="AF49" i="45" s="1"/>
  <c r="AF50" i="45" s="1"/>
  <c r="AF51" i="45" s="1"/>
  <c r="AF52" i="45" s="1"/>
  <c r="AF53" i="45" s="1"/>
  <c r="AF54" i="45" s="1"/>
  <c r="AF55" i="45" s="1"/>
  <c r="AF56" i="45" s="1"/>
  <c r="AF57" i="45" s="1"/>
  <c r="AF58" i="45" s="1"/>
  <c r="AF59" i="45" s="1"/>
  <c r="AF60" i="45" s="1"/>
  <c r="AF61" i="45" s="1"/>
  <c r="AF62" i="45" s="1"/>
  <c r="AF63" i="45" s="1"/>
  <c r="AF64" i="45" s="1"/>
  <c r="AF65" i="45" s="1"/>
  <c r="AF66" i="45" s="1"/>
  <c r="AF67" i="45" s="1"/>
  <c r="AF68" i="45" s="1"/>
  <c r="AF69" i="45" s="1"/>
  <c r="AF70" i="45" s="1"/>
  <c r="AF71" i="45" s="1"/>
  <c r="AF72" i="45" s="1"/>
  <c r="AF73" i="45" s="1"/>
  <c r="AF74" i="45" s="1"/>
  <c r="V36" i="1"/>
  <c r="N3" i="45"/>
  <c r="N4" i="45" s="1"/>
  <c r="N5" i="45" s="1"/>
  <c r="N6" i="45" s="1"/>
  <c r="N7" i="45" s="1"/>
  <c r="N8" i="45" s="1"/>
  <c r="N9" i="45" s="1"/>
  <c r="N10" i="45" s="1"/>
  <c r="N11" i="45" s="1"/>
  <c r="N12" i="45" s="1"/>
  <c r="N13" i="45" s="1"/>
  <c r="N14" i="45" s="1"/>
  <c r="N15" i="45" s="1"/>
  <c r="N16" i="45" s="1"/>
  <c r="N17" i="45" s="1"/>
  <c r="N18" i="45" s="1"/>
  <c r="N19" i="45" s="1"/>
  <c r="N20" i="45" s="1"/>
  <c r="N21" i="45" s="1"/>
  <c r="N22" i="45" s="1"/>
  <c r="N23" i="45" s="1"/>
  <c r="N24" i="45" s="1"/>
  <c r="N25" i="45" s="1"/>
  <c r="N26" i="45" s="1"/>
  <c r="N27" i="45" s="1"/>
  <c r="N28" i="45" s="1"/>
  <c r="N29" i="45" s="1"/>
  <c r="N30" i="45" s="1"/>
  <c r="N31" i="45" s="1"/>
  <c r="N32" i="45" s="1"/>
  <c r="N33" i="45" s="1"/>
  <c r="N34" i="45" s="1"/>
  <c r="N35" i="45" s="1"/>
  <c r="N36" i="45" s="1"/>
  <c r="N37" i="45" s="1"/>
  <c r="N38" i="45" s="1"/>
  <c r="N39" i="45" s="1"/>
  <c r="N40" i="45" s="1"/>
  <c r="N41" i="45" s="1"/>
  <c r="N42" i="45" s="1"/>
  <c r="N43" i="45" s="1"/>
  <c r="N44" i="45" s="1"/>
  <c r="N45" i="45" s="1"/>
  <c r="N46" i="45" s="1"/>
  <c r="N47" i="45" s="1"/>
  <c r="N48" i="45" s="1"/>
  <c r="N49" i="45" s="1"/>
  <c r="N50" i="45" s="1"/>
  <c r="N51" i="45" s="1"/>
  <c r="N52" i="45" s="1"/>
  <c r="N53" i="45" s="1"/>
  <c r="N54" i="45" s="1"/>
  <c r="N55" i="45" s="1"/>
  <c r="N56" i="45" s="1"/>
  <c r="N57" i="45" s="1"/>
  <c r="N58" i="45" s="1"/>
  <c r="N59" i="45" s="1"/>
  <c r="N60" i="45" s="1"/>
  <c r="N61" i="45" s="1"/>
  <c r="N62" i="45" s="1"/>
  <c r="N63" i="45" s="1"/>
  <c r="N64" i="45" s="1"/>
  <c r="N65" i="45" s="1"/>
  <c r="N66" i="45" s="1"/>
  <c r="N67" i="45" s="1"/>
  <c r="N68" i="45" s="1"/>
  <c r="N69" i="45" s="1"/>
  <c r="N70" i="45" s="1"/>
  <c r="N71" i="45" s="1"/>
  <c r="N72" i="45" s="1"/>
  <c r="N73" i="45" s="1"/>
  <c r="N74" i="45" s="1"/>
  <c r="L3" i="45"/>
  <c r="L4" i="45" s="1"/>
  <c r="L5" i="45" s="1"/>
  <c r="L6" i="45" s="1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L36" i="45" s="1"/>
  <c r="L37" i="45" s="1"/>
  <c r="L38" i="45" s="1"/>
  <c r="L39" i="45" s="1"/>
  <c r="L40" i="45" s="1"/>
  <c r="L41" i="45" s="1"/>
  <c r="L42" i="45" s="1"/>
  <c r="L43" i="45" s="1"/>
  <c r="L44" i="45" s="1"/>
  <c r="L45" i="45" s="1"/>
  <c r="L46" i="45" s="1"/>
  <c r="L47" i="45" s="1"/>
  <c r="L48" i="45" s="1"/>
  <c r="L49" i="45" s="1"/>
  <c r="L50" i="45" s="1"/>
  <c r="L51" i="45" s="1"/>
  <c r="L52" i="45" s="1"/>
  <c r="L53" i="45" s="1"/>
  <c r="L54" i="45" s="1"/>
  <c r="L55" i="45" s="1"/>
  <c r="L56" i="45" s="1"/>
  <c r="L57" i="45" s="1"/>
  <c r="L58" i="45" s="1"/>
  <c r="L59" i="45" s="1"/>
  <c r="L60" i="45" s="1"/>
  <c r="L61" i="45" s="1"/>
  <c r="L62" i="45" s="1"/>
  <c r="L63" i="45" s="1"/>
  <c r="L64" i="45" s="1"/>
  <c r="L65" i="45" s="1"/>
  <c r="L66" i="45" s="1"/>
  <c r="L67" i="45" s="1"/>
  <c r="L68" i="45" s="1"/>
  <c r="L69" i="45" s="1"/>
  <c r="L70" i="45" s="1"/>
  <c r="L71" i="45" s="1"/>
  <c r="L72" i="45" s="1"/>
  <c r="L73" i="45" s="1"/>
  <c r="L74" i="45" s="1"/>
  <c r="U3" i="45"/>
  <c r="U4" i="45" s="1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U32" i="45" s="1"/>
  <c r="U33" i="45" s="1"/>
  <c r="U34" i="45" s="1"/>
  <c r="U35" i="45" s="1"/>
  <c r="U36" i="45" s="1"/>
  <c r="U37" i="45" s="1"/>
  <c r="U38" i="45" s="1"/>
  <c r="U39" i="45" s="1"/>
  <c r="U40" i="45" s="1"/>
  <c r="U41" i="45" s="1"/>
  <c r="U42" i="45" s="1"/>
  <c r="U43" i="45" s="1"/>
  <c r="U44" i="45" s="1"/>
  <c r="U45" i="45" s="1"/>
  <c r="U46" i="45" s="1"/>
  <c r="U47" i="45" s="1"/>
  <c r="U48" i="45" s="1"/>
  <c r="U49" i="45" s="1"/>
  <c r="U50" i="45" s="1"/>
  <c r="U51" i="45" s="1"/>
  <c r="U52" i="45" s="1"/>
  <c r="U53" i="45" s="1"/>
  <c r="U54" i="45" s="1"/>
  <c r="U55" i="45" s="1"/>
  <c r="U56" i="45" s="1"/>
  <c r="U57" i="45" s="1"/>
  <c r="U58" i="45" s="1"/>
  <c r="U59" i="45" s="1"/>
  <c r="U60" i="45" s="1"/>
  <c r="U61" i="45" s="1"/>
  <c r="U62" i="45" s="1"/>
  <c r="U63" i="45" s="1"/>
  <c r="U64" i="45" s="1"/>
  <c r="U65" i="45" s="1"/>
  <c r="U66" i="45" s="1"/>
  <c r="U67" i="45" s="1"/>
  <c r="U68" i="45" s="1"/>
  <c r="U69" i="45" s="1"/>
  <c r="U70" i="45" s="1"/>
  <c r="U71" i="45" s="1"/>
  <c r="U72" i="45" s="1"/>
  <c r="U73" i="45" s="1"/>
  <c r="U74" i="45" s="1"/>
  <c r="P3" i="45"/>
  <c r="P4" i="45" s="1"/>
  <c r="P5" i="45" s="1"/>
  <c r="P6" i="45" s="1"/>
  <c r="P7" i="45" s="1"/>
  <c r="P8" i="45" s="1"/>
  <c r="P9" i="45" s="1"/>
  <c r="P10" i="45" s="1"/>
  <c r="P11" i="45" s="1"/>
  <c r="P12" i="45" s="1"/>
  <c r="P13" i="45" s="1"/>
  <c r="P14" i="45" s="1"/>
  <c r="P15" i="45" s="1"/>
  <c r="P16" i="45" s="1"/>
  <c r="P17" i="45" s="1"/>
  <c r="P18" i="45" s="1"/>
  <c r="P19" i="45" s="1"/>
  <c r="P20" i="45" s="1"/>
  <c r="P21" i="45" s="1"/>
  <c r="P22" i="45" s="1"/>
  <c r="P23" i="45" s="1"/>
  <c r="P24" i="45" s="1"/>
  <c r="P25" i="45" s="1"/>
  <c r="P26" i="45" s="1"/>
  <c r="P27" i="45" s="1"/>
  <c r="P28" i="45" s="1"/>
  <c r="P29" i="45" s="1"/>
  <c r="P30" i="45" s="1"/>
  <c r="P31" i="45" s="1"/>
  <c r="P32" i="45" s="1"/>
  <c r="P33" i="45" s="1"/>
  <c r="P34" i="45" s="1"/>
  <c r="P35" i="45" s="1"/>
  <c r="P36" i="45" s="1"/>
  <c r="P37" i="45" s="1"/>
  <c r="P38" i="45" s="1"/>
  <c r="P39" i="45" s="1"/>
  <c r="P40" i="45" s="1"/>
  <c r="P41" i="45" s="1"/>
  <c r="P42" i="45" s="1"/>
  <c r="P43" i="45" s="1"/>
  <c r="P44" i="45" s="1"/>
  <c r="P45" i="45" s="1"/>
  <c r="P46" i="45" s="1"/>
  <c r="P47" i="45" s="1"/>
  <c r="P48" i="45" s="1"/>
  <c r="P49" i="45" s="1"/>
  <c r="P50" i="45" s="1"/>
  <c r="P51" i="45" s="1"/>
  <c r="P52" i="45" s="1"/>
  <c r="P53" i="45" s="1"/>
  <c r="P54" i="45" s="1"/>
  <c r="P55" i="45" s="1"/>
  <c r="P56" i="45" s="1"/>
  <c r="P57" i="45" s="1"/>
  <c r="P58" i="45" s="1"/>
  <c r="P59" i="45" s="1"/>
  <c r="P60" i="45" s="1"/>
  <c r="P61" i="45" s="1"/>
  <c r="P62" i="45" s="1"/>
  <c r="P63" i="45" s="1"/>
  <c r="P64" i="45" s="1"/>
  <c r="P65" i="45" s="1"/>
  <c r="P66" i="45" s="1"/>
  <c r="P67" i="45" s="1"/>
  <c r="P68" i="45" s="1"/>
  <c r="P69" i="45" s="1"/>
  <c r="P70" i="45" s="1"/>
  <c r="P71" i="45" s="1"/>
  <c r="P72" i="45" s="1"/>
  <c r="P73" i="45" s="1"/>
  <c r="P74" i="45" s="1"/>
  <c r="Z4" i="45"/>
  <c r="Z5" i="45" s="1"/>
  <c r="Z6" i="45" s="1"/>
  <c r="Z7" i="45" s="1"/>
  <c r="Z8" i="45" s="1"/>
  <c r="Z9" i="45" s="1"/>
  <c r="Z10" i="45" s="1"/>
  <c r="Z11" i="45" s="1"/>
  <c r="Z12" i="45" s="1"/>
  <c r="Z13" i="45" s="1"/>
  <c r="Z14" i="45" s="1"/>
  <c r="Z15" i="45" s="1"/>
  <c r="Z16" i="45" s="1"/>
  <c r="Z17" i="45" s="1"/>
  <c r="Z18" i="45" s="1"/>
  <c r="Z19" i="45" s="1"/>
  <c r="Z20" i="45" s="1"/>
  <c r="Z21" i="45" s="1"/>
  <c r="Z22" i="45" s="1"/>
  <c r="Z23" i="45" s="1"/>
  <c r="Z24" i="45" s="1"/>
  <c r="Z25" i="45" s="1"/>
  <c r="Z26" i="45" s="1"/>
  <c r="Z27" i="45" s="1"/>
  <c r="Z28" i="45" s="1"/>
  <c r="Z29" i="45" s="1"/>
  <c r="Z30" i="45" s="1"/>
  <c r="Z31" i="45" s="1"/>
  <c r="Z32" i="45" s="1"/>
  <c r="Z33" i="45" s="1"/>
  <c r="Z34" i="45" s="1"/>
  <c r="Z35" i="45" s="1"/>
  <c r="Z36" i="45" s="1"/>
  <c r="Z37" i="45" s="1"/>
  <c r="Z38" i="45" s="1"/>
  <c r="Z39" i="45" s="1"/>
  <c r="Z40" i="45" s="1"/>
  <c r="Z41" i="45" s="1"/>
  <c r="Z42" i="45" s="1"/>
  <c r="Z43" i="45" s="1"/>
  <c r="Z44" i="45" s="1"/>
  <c r="Z45" i="45" s="1"/>
  <c r="Z46" i="45" s="1"/>
  <c r="Z47" i="45" s="1"/>
  <c r="Z48" i="45" s="1"/>
  <c r="Z49" i="45" s="1"/>
  <c r="Z50" i="45" s="1"/>
  <c r="Z51" i="45" s="1"/>
  <c r="Z52" i="45" s="1"/>
  <c r="Z53" i="45" s="1"/>
  <c r="Z54" i="45" s="1"/>
  <c r="Z55" i="45" s="1"/>
  <c r="Z56" i="45" s="1"/>
  <c r="Z57" i="45" s="1"/>
  <c r="Z58" i="45" s="1"/>
  <c r="Z59" i="45" s="1"/>
  <c r="Z60" i="45" s="1"/>
  <c r="Z61" i="45" s="1"/>
  <c r="Z62" i="45" s="1"/>
  <c r="Z63" i="45" s="1"/>
  <c r="Z64" i="45" s="1"/>
  <c r="Z65" i="45" s="1"/>
  <c r="Z66" i="45" s="1"/>
  <c r="Z67" i="45" s="1"/>
  <c r="Z68" i="45" s="1"/>
  <c r="Z69" i="45" s="1"/>
  <c r="Z70" i="45" s="1"/>
  <c r="Z71" i="45" s="1"/>
  <c r="Z72" i="45" s="1"/>
  <c r="Z73" i="45" s="1"/>
  <c r="Z74" i="45" s="1"/>
  <c r="M3" i="45"/>
  <c r="M4" i="45" s="1"/>
  <c r="M5" i="45" s="1"/>
  <c r="M6" i="45" s="1"/>
  <c r="M7" i="45" s="1"/>
  <c r="M8" i="45" s="1"/>
  <c r="M9" i="45" s="1"/>
  <c r="M10" i="45" s="1"/>
  <c r="M11" i="45" s="1"/>
  <c r="M12" i="45" s="1"/>
  <c r="M13" i="45" s="1"/>
  <c r="M14" i="45" s="1"/>
  <c r="M15" i="45" s="1"/>
  <c r="M16" i="45" s="1"/>
  <c r="M17" i="45" s="1"/>
  <c r="M18" i="45" s="1"/>
  <c r="M19" i="45" s="1"/>
  <c r="M20" i="45" s="1"/>
  <c r="M21" i="45" s="1"/>
  <c r="M22" i="45" s="1"/>
  <c r="M23" i="45" s="1"/>
  <c r="M24" i="45" s="1"/>
  <c r="M25" i="45" s="1"/>
  <c r="M26" i="45" s="1"/>
  <c r="M27" i="45" s="1"/>
  <c r="M28" i="45" s="1"/>
  <c r="M29" i="45" s="1"/>
  <c r="M30" i="45" s="1"/>
  <c r="M31" i="45" s="1"/>
  <c r="M32" i="45" s="1"/>
  <c r="M33" i="45" s="1"/>
  <c r="M34" i="45" s="1"/>
  <c r="M35" i="45" s="1"/>
  <c r="M36" i="45" s="1"/>
  <c r="M37" i="45" s="1"/>
  <c r="M38" i="45" s="1"/>
  <c r="M39" i="45" s="1"/>
  <c r="M40" i="45" s="1"/>
  <c r="M41" i="45" s="1"/>
  <c r="M42" i="45" s="1"/>
  <c r="M43" i="45" s="1"/>
  <c r="M44" i="45" s="1"/>
  <c r="M45" i="45" s="1"/>
  <c r="M46" i="45" s="1"/>
  <c r="M47" i="45" s="1"/>
  <c r="M48" i="45" s="1"/>
  <c r="M49" i="45" s="1"/>
  <c r="M50" i="45" s="1"/>
  <c r="M51" i="45" s="1"/>
  <c r="M52" i="45" s="1"/>
  <c r="M53" i="45" s="1"/>
  <c r="M54" i="45" s="1"/>
  <c r="M55" i="45" s="1"/>
  <c r="M56" i="45" s="1"/>
  <c r="M57" i="45" s="1"/>
  <c r="M58" i="45" s="1"/>
  <c r="M59" i="45" s="1"/>
  <c r="M60" i="45" s="1"/>
  <c r="M61" i="45" s="1"/>
  <c r="M62" i="45" s="1"/>
  <c r="M63" i="45" s="1"/>
  <c r="M64" i="45" s="1"/>
  <c r="M65" i="45" s="1"/>
  <c r="M66" i="45" s="1"/>
  <c r="M67" i="45" s="1"/>
  <c r="M68" i="45" s="1"/>
  <c r="M69" i="45" s="1"/>
  <c r="M70" i="45" s="1"/>
  <c r="M71" i="45" s="1"/>
  <c r="M72" i="45" s="1"/>
  <c r="M73" i="45" s="1"/>
  <c r="M74" i="45" s="1"/>
  <c r="X5" i="31"/>
  <c r="W30" i="23" s="1"/>
  <c r="G3" i="45"/>
  <c r="G4" i="45" s="1"/>
  <c r="G5" i="45" s="1"/>
  <c r="G6" i="45" s="1"/>
  <c r="G7" i="45" s="1"/>
  <c r="G8" i="45" s="1"/>
  <c r="G9" i="45" s="1"/>
  <c r="G10" i="45" s="1"/>
  <c r="G11" i="45" s="1"/>
  <c r="G12" i="45" s="1"/>
  <c r="G13" i="45" s="1"/>
  <c r="G14" i="45" s="1"/>
  <c r="G15" i="45" s="1"/>
  <c r="G16" i="45" s="1"/>
  <c r="G17" i="45" s="1"/>
  <c r="G18" i="45" s="1"/>
  <c r="G19" i="45" s="1"/>
  <c r="G20" i="45" s="1"/>
  <c r="G21" i="45" s="1"/>
  <c r="G22" i="45" s="1"/>
  <c r="G23" i="45" s="1"/>
  <c r="G24" i="45" s="1"/>
  <c r="G25" i="45" s="1"/>
  <c r="G26" i="45" s="1"/>
  <c r="G27" i="45" s="1"/>
  <c r="G28" i="45" s="1"/>
  <c r="G29" i="45" s="1"/>
  <c r="G30" i="45" s="1"/>
  <c r="G31" i="45" s="1"/>
  <c r="G32" i="45" s="1"/>
  <c r="G33" i="45" s="1"/>
  <c r="G34" i="45" s="1"/>
  <c r="G35" i="45" s="1"/>
  <c r="G36" i="45" s="1"/>
  <c r="G37" i="45" s="1"/>
  <c r="G38" i="45" s="1"/>
  <c r="G39" i="45" s="1"/>
  <c r="G40" i="45" s="1"/>
  <c r="G41" i="45" s="1"/>
  <c r="G42" i="45" s="1"/>
  <c r="G43" i="45" s="1"/>
  <c r="G44" i="45" s="1"/>
  <c r="G45" i="45" s="1"/>
  <c r="G46" i="45" s="1"/>
  <c r="G47" i="45" s="1"/>
  <c r="G48" i="45" s="1"/>
  <c r="G49" i="45" s="1"/>
  <c r="G50" i="45" s="1"/>
  <c r="G51" i="45" s="1"/>
  <c r="G52" i="45" s="1"/>
  <c r="G53" i="45" s="1"/>
  <c r="G54" i="45" s="1"/>
  <c r="G55" i="45" s="1"/>
  <c r="G56" i="45" s="1"/>
  <c r="G57" i="45" s="1"/>
  <c r="G58" i="45" s="1"/>
  <c r="G59" i="45" s="1"/>
  <c r="G60" i="45" s="1"/>
  <c r="G61" i="45" s="1"/>
  <c r="G62" i="45" s="1"/>
  <c r="G63" i="45" s="1"/>
  <c r="G64" i="45" s="1"/>
  <c r="G65" i="45" s="1"/>
  <c r="G66" i="45" s="1"/>
  <c r="G67" i="45" s="1"/>
  <c r="G68" i="45" s="1"/>
  <c r="G69" i="45" s="1"/>
  <c r="G70" i="45" s="1"/>
  <c r="G71" i="45" s="1"/>
  <c r="G72" i="45" s="1"/>
  <c r="G73" i="45" s="1"/>
  <c r="G74" i="45" s="1"/>
  <c r="V3" i="45"/>
  <c r="V4" i="45" s="1"/>
  <c r="V5" i="45" s="1"/>
  <c r="V6" i="45" s="1"/>
  <c r="V7" i="45" s="1"/>
  <c r="V8" i="45" s="1"/>
  <c r="V9" i="45" s="1"/>
  <c r="V10" i="45" s="1"/>
  <c r="V11" i="45" s="1"/>
  <c r="V12" i="45" s="1"/>
  <c r="V13" i="45" s="1"/>
  <c r="V14" i="45" s="1"/>
  <c r="V15" i="45" s="1"/>
  <c r="V16" i="45" s="1"/>
  <c r="V17" i="45" s="1"/>
  <c r="V18" i="45" s="1"/>
  <c r="V19" i="45" s="1"/>
  <c r="V20" i="45" s="1"/>
  <c r="V21" i="45" s="1"/>
  <c r="V22" i="45" s="1"/>
  <c r="V23" i="45" s="1"/>
  <c r="V24" i="45" s="1"/>
  <c r="V25" i="45" s="1"/>
  <c r="V26" i="45" s="1"/>
  <c r="V27" i="45" s="1"/>
  <c r="V28" i="45" s="1"/>
  <c r="V29" i="45" s="1"/>
  <c r="V30" i="45" s="1"/>
  <c r="V31" i="45" s="1"/>
  <c r="V32" i="45" s="1"/>
  <c r="V33" i="45" s="1"/>
  <c r="V34" i="45" s="1"/>
  <c r="V35" i="45" s="1"/>
  <c r="V36" i="45" s="1"/>
  <c r="V37" i="45" s="1"/>
  <c r="V38" i="45" s="1"/>
  <c r="V39" i="45" s="1"/>
  <c r="V40" i="45" s="1"/>
  <c r="V41" i="45" s="1"/>
  <c r="V42" i="45" s="1"/>
  <c r="V43" i="45" s="1"/>
  <c r="V44" i="45" s="1"/>
  <c r="V45" i="45" s="1"/>
  <c r="V46" i="45" s="1"/>
  <c r="V47" i="45" s="1"/>
  <c r="V48" i="45" s="1"/>
  <c r="V49" i="45" s="1"/>
  <c r="V50" i="45" s="1"/>
  <c r="V51" i="45" s="1"/>
  <c r="V52" i="45" s="1"/>
  <c r="V53" i="45" s="1"/>
  <c r="V54" i="45" s="1"/>
  <c r="V55" i="45" s="1"/>
  <c r="V56" i="45" s="1"/>
  <c r="V57" i="45" s="1"/>
  <c r="V58" i="45" s="1"/>
  <c r="V59" i="45" s="1"/>
  <c r="V60" i="45" s="1"/>
  <c r="V61" i="45" s="1"/>
  <c r="V62" i="45" s="1"/>
  <c r="V63" i="45" s="1"/>
  <c r="V64" i="45" s="1"/>
  <c r="V65" i="45" s="1"/>
  <c r="V66" i="45" s="1"/>
  <c r="V67" i="45" s="1"/>
  <c r="V68" i="45" s="1"/>
  <c r="V69" i="45" s="1"/>
  <c r="V70" i="45" s="1"/>
  <c r="V71" i="45" s="1"/>
  <c r="V72" i="45" s="1"/>
  <c r="V73" i="45" s="1"/>
  <c r="V74" i="45" s="1"/>
  <c r="X5" i="25"/>
  <c r="V26" i="1" s="1"/>
  <c r="R4" i="45"/>
  <c r="R5" i="45" s="1"/>
  <c r="R6" i="45" s="1"/>
  <c r="R7" i="45" s="1"/>
  <c r="R8" i="45" s="1"/>
  <c r="R9" i="45" s="1"/>
  <c r="R10" i="45" s="1"/>
  <c r="R11" i="45" s="1"/>
  <c r="R12" i="45" s="1"/>
  <c r="R13" i="45" s="1"/>
  <c r="R14" i="45" s="1"/>
  <c r="R15" i="45" s="1"/>
  <c r="R16" i="45" s="1"/>
  <c r="R17" i="45" s="1"/>
  <c r="R18" i="45" s="1"/>
  <c r="R19" i="45" s="1"/>
  <c r="R20" i="45" s="1"/>
  <c r="R21" i="45" s="1"/>
  <c r="R22" i="45" s="1"/>
  <c r="R23" i="45" s="1"/>
  <c r="R24" i="45" s="1"/>
  <c r="R25" i="45" s="1"/>
  <c r="R26" i="45" s="1"/>
  <c r="R27" i="45" s="1"/>
  <c r="R28" i="45" s="1"/>
  <c r="R29" i="45" s="1"/>
  <c r="R30" i="45" s="1"/>
  <c r="R31" i="45" s="1"/>
  <c r="R32" i="45" s="1"/>
  <c r="R33" i="45" s="1"/>
  <c r="R34" i="45" s="1"/>
  <c r="R35" i="45" s="1"/>
  <c r="R36" i="45" s="1"/>
  <c r="R37" i="45" s="1"/>
  <c r="R38" i="45" s="1"/>
  <c r="R39" i="45" s="1"/>
  <c r="R40" i="45" s="1"/>
  <c r="R41" i="45" s="1"/>
  <c r="R42" i="45" s="1"/>
  <c r="R43" i="45" s="1"/>
  <c r="R44" i="45" s="1"/>
  <c r="R45" i="45" s="1"/>
  <c r="R46" i="45" s="1"/>
  <c r="R47" i="45" s="1"/>
  <c r="R48" i="45" s="1"/>
  <c r="R49" i="45" s="1"/>
  <c r="R50" i="45" s="1"/>
  <c r="R51" i="45" s="1"/>
  <c r="R52" i="45" s="1"/>
  <c r="R53" i="45" s="1"/>
  <c r="R54" i="45" s="1"/>
  <c r="R55" i="45" s="1"/>
  <c r="R56" i="45" s="1"/>
  <c r="R57" i="45" s="1"/>
  <c r="R58" i="45" s="1"/>
  <c r="R59" i="45" s="1"/>
  <c r="R60" i="45" s="1"/>
  <c r="R61" i="45" s="1"/>
  <c r="R62" i="45" s="1"/>
  <c r="R63" i="45" s="1"/>
  <c r="R64" i="45" s="1"/>
  <c r="R65" i="45" s="1"/>
  <c r="R66" i="45" s="1"/>
  <c r="R67" i="45" s="1"/>
  <c r="R68" i="45" s="1"/>
  <c r="R69" i="45" s="1"/>
  <c r="R70" i="45" s="1"/>
  <c r="R71" i="45" s="1"/>
  <c r="R72" i="45" s="1"/>
  <c r="R73" i="45" s="1"/>
  <c r="R74" i="45" s="1"/>
  <c r="X3" i="45"/>
  <c r="X4" i="45" s="1"/>
  <c r="X5" i="45" s="1"/>
  <c r="X6" i="45" s="1"/>
  <c r="X7" i="45" s="1"/>
  <c r="X8" i="45" s="1"/>
  <c r="X9" i="45" s="1"/>
  <c r="X10" i="45" s="1"/>
  <c r="X11" i="45" s="1"/>
  <c r="X12" i="45" s="1"/>
  <c r="X13" i="45" s="1"/>
  <c r="X14" i="45" s="1"/>
  <c r="X15" i="45" s="1"/>
  <c r="X16" i="45" s="1"/>
  <c r="X17" i="45" s="1"/>
  <c r="X18" i="45" s="1"/>
  <c r="X19" i="45" s="1"/>
  <c r="X20" i="45" s="1"/>
  <c r="X21" i="45" s="1"/>
  <c r="X22" i="45" s="1"/>
  <c r="X23" i="45" s="1"/>
  <c r="X24" i="45" s="1"/>
  <c r="X25" i="45" s="1"/>
  <c r="X26" i="45" s="1"/>
  <c r="X27" i="45" s="1"/>
  <c r="X28" i="45" s="1"/>
  <c r="X29" i="45" s="1"/>
  <c r="X30" i="45" s="1"/>
  <c r="X31" i="45" s="1"/>
  <c r="X32" i="45" s="1"/>
  <c r="X33" i="45" s="1"/>
  <c r="X34" i="45" s="1"/>
  <c r="X35" i="45" s="1"/>
  <c r="X36" i="45" s="1"/>
  <c r="X37" i="45" s="1"/>
  <c r="X38" i="45" s="1"/>
  <c r="X39" i="45" s="1"/>
  <c r="X40" i="45" s="1"/>
  <c r="X41" i="45" s="1"/>
  <c r="X42" i="45" s="1"/>
  <c r="X43" i="45" s="1"/>
  <c r="X44" i="45" s="1"/>
  <c r="X45" i="45" s="1"/>
  <c r="X46" i="45" s="1"/>
  <c r="X47" i="45" s="1"/>
  <c r="X48" i="45" s="1"/>
  <c r="X49" i="45" s="1"/>
  <c r="X50" i="45" s="1"/>
  <c r="X51" i="45" s="1"/>
  <c r="X52" i="45" s="1"/>
  <c r="X53" i="45" s="1"/>
  <c r="X54" i="45" s="1"/>
  <c r="X55" i="45" s="1"/>
  <c r="X56" i="45" s="1"/>
  <c r="X57" i="45" s="1"/>
  <c r="X58" i="45" s="1"/>
  <c r="X59" i="45" s="1"/>
  <c r="X60" i="45" s="1"/>
  <c r="X61" i="45" s="1"/>
  <c r="X62" i="45" s="1"/>
  <c r="X63" i="45" s="1"/>
  <c r="X64" i="45" s="1"/>
  <c r="X65" i="45" s="1"/>
  <c r="X66" i="45" s="1"/>
  <c r="X67" i="45" s="1"/>
  <c r="X68" i="45" s="1"/>
  <c r="X69" i="45" s="1"/>
  <c r="X70" i="45" s="1"/>
  <c r="X71" i="45" s="1"/>
  <c r="X72" i="45" s="1"/>
  <c r="X73" i="45" s="1"/>
  <c r="X74" i="45" s="1"/>
  <c r="X5" i="12"/>
  <c r="W12" i="23" s="1"/>
  <c r="X5" i="5"/>
  <c r="W4" i="23" s="1"/>
  <c r="AC3" i="45"/>
  <c r="AC4" i="45" s="1"/>
  <c r="AC5" i="45" s="1"/>
  <c r="AC6" i="45" s="1"/>
  <c r="AC7" i="45" s="1"/>
  <c r="AC8" i="45" s="1"/>
  <c r="AC9" i="45" s="1"/>
  <c r="AC10" i="45" s="1"/>
  <c r="AC11" i="45" s="1"/>
  <c r="AC12" i="45" s="1"/>
  <c r="AC13" i="45" s="1"/>
  <c r="AC14" i="45" s="1"/>
  <c r="AC15" i="45" s="1"/>
  <c r="AC16" i="45" s="1"/>
  <c r="AC17" i="45" s="1"/>
  <c r="AC18" i="45" s="1"/>
  <c r="AC19" i="45" s="1"/>
  <c r="AC20" i="45" s="1"/>
  <c r="AC21" i="45" s="1"/>
  <c r="AC22" i="45" s="1"/>
  <c r="AC23" i="45" s="1"/>
  <c r="AC24" i="45" s="1"/>
  <c r="AC25" i="45" s="1"/>
  <c r="AC26" i="45" s="1"/>
  <c r="AC27" i="45" s="1"/>
  <c r="AC28" i="45" s="1"/>
  <c r="AC29" i="45" s="1"/>
  <c r="AC30" i="45" s="1"/>
  <c r="AC31" i="45" s="1"/>
  <c r="AC32" i="45" s="1"/>
  <c r="AC33" i="45" s="1"/>
  <c r="AC34" i="45" s="1"/>
  <c r="AC35" i="45" s="1"/>
  <c r="AC36" i="45" s="1"/>
  <c r="AC37" i="45" s="1"/>
  <c r="AC38" i="45" s="1"/>
  <c r="AC39" i="45" s="1"/>
  <c r="AC40" i="45" s="1"/>
  <c r="AC41" i="45" s="1"/>
  <c r="AC42" i="45" s="1"/>
  <c r="AC43" i="45" s="1"/>
  <c r="AC44" i="45" s="1"/>
  <c r="AC45" i="45" s="1"/>
  <c r="AC46" i="45" s="1"/>
  <c r="AC47" i="45" s="1"/>
  <c r="AC48" i="45" s="1"/>
  <c r="AC49" i="45" s="1"/>
  <c r="AC50" i="45" s="1"/>
  <c r="AC51" i="45" s="1"/>
  <c r="AC52" i="45" s="1"/>
  <c r="AC53" i="45" s="1"/>
  <c r="AC54" i="45" s="1"/>
  <c r="AC55" i="45" s="1"/>
  <c r="AC56" i="45" s="1"/>
  <c r="AC57" i="45" s="1"/>
  <c r="AC58" i="45" s="1"/>
  <c r="AC59" i="45" s="1"/>
  <c r="AC60" i="45" s="1"/>
  <c r="AC61" i="45" s="1"/>
  <c r="AC62" i="45" s="1"/>
  <c r="AC63" i="45" s="1"/>
  <c r="AC64" i="45" s="1"/>
  <c r="AC65" i="45" s="1"/>
  <c r="AC66" i="45" s="1"/>
  <c r="AC67" i="45" s="1"/>
  <c r="AC68" i="45" s="1"/>
  <c r="AC69" i="45" s="1"/>
  <c r="AC70" i="45" s="1"/>
  <c r="AC71" i="45" s="1"/>
  <c r="AC72" i="45" s="1"/>
  <c r="AC73" i="45" s="1"/>
  <c r="AC74" i="45" s="1"/>
  <c r="Y3" i="45"/>
  <c r="Y4" i="45" s="1"/>
  <c r="Y5" i="45" s="1"/>
  <c r="Y6" i="45" s="1"/>
  <c r="Y7" i="45" s="1"/>
  <c r="Y8" i="45" s="1"/>
  <c r="Y9" i="45" s="1"/>
  <c r="Y10" i="45" s="1"/>
  <c r="Y11" i="45" s="1"/>
  <c r="Y12" i="45" s="1"/>
  <c r="Y13" i="45" s="1"/>
  <c r="Y14" i="45" s="1"/>
  <c r="Y15" i="45" s="1"/>
  <c r="Y16" i="45" s="1"/>
  <c r="Y17" i="45" s="1"/>
  <c r="Y18" i="45" s="1"/>
  <c r="Y19" i="45" s="1"/>
  <c r="Y20" i="45" s="1"/>
  <c r="Y21" i="45" s="1"/>
  <c r="Y22" i="45" s="1"/>
  <c r="Y23" i="45" s="1"/>
  <c r="Y24" i="45" s="1"/>
  <c r="Y25" i="45" s="1"/>
  <c r="Y26" i="45" s="1"/>
  <c r="Y27" i="45" s="1"/>
  <c r="Y28" i="45" s="1"/>
  <c r="Y29" i="45" s="1"/>
  <c r="Y30" i="45" s="1"/>
  <c r="Y31" i="45" s="1"/>
  <c r="Y32" i="45" s="1"/>
  <c r="Y33" i="45" s="1"/>
  <c r="Y34" i="45" s="1"/>
  <c r="Y35" i="45" s="1"/>
  <c r="Y36" i="45" s="1"/>
  <c r="Y37" i="45" s="1"/>
  <c r="Y38" i="45" s="1"/>
  <c r="Y39" i="45" s="1"/>
  <c r="Y40" i="45" s="1"/>
  <c r="Y41" i="45" s="1"/>
  <c r="Y42" i="45" s="1"/>
  <c r="Y43" i="45" s="1"/>
  <c r="Y44" i="45" s="1"/>
  <c r="Y45" i="45" s="1"/>
  <c r="Y46" i="45" s="1"/>
  <c r="Y47" i="45" s="1"/>
  <c r="Y48" i="45" s="1"/>
  <c r="Y49" i="45" s="1"/>
  <c r="Y50" i="45" s="1"/>
  <c r="Y51" i="45" s="1"/>
  <c r="Y52" i="45" s="1"/>
  <c r="Y53" i="45" s="1"/>
  <c r="Y54" i="45" s="1"/>
  <c r="Y55" i="45" s="1"/>
  <c r="Y56" i="45" s="1"/>
  <c r="Y57" i="45" s="1"/>
  <c r="Y58" i="45" s="1"/>
  <c r="Y59" i="45" s="1"/>
  <c r="Y60" i="45" s="1"/>
  <c r="Y61" i="45" s="1"/>
  <c r="Y62" i="45" s="1"/>
  <c r="Y63" i="45" s="1"/>
  <c r="Y64" i="45" s="1"/>
  <c r="Y65" i="45" s="1"/>
  <c r="Y66" i="45" s="1"/>
  <c r="Y67" i="45" s="1"/>
  <c r="Y68" i="45" s="1"/>
  <c r="Y69" i="45" s="1"/>
  <c r="Y70" i="45" s="1"/>
  <c r="Y71" i="45" s="1"/>
  <c r="Y72" i="45" s="1"/>
  <c r="Y73" i="45" s="1"/>
  <c r="Y74" i="45" s="1"/>
  <c r="X5" i="28"/>
  <c r="V29" i="1" s="1"/>
  <c r="X5" i="11"/>
  <c r="W11" i="23" s="1"/>
  <c r="V39" i="1"/>
  <c r="X5" i="26"/>
  <c r="V27" i="1" s="1"/>
  <c r="X5" i="15"/>
  <c r="W16" i="23" s="1"/>
  <c r="X5" i="16"/>
  <c r="W19" i="23" s="1"/>
  <c r="X5" i="21"/>
  <c r="W22" i="23" s="1"/>
  <c r="X5" i="3"/>
  <c r="W3" i="23" s="1"/>
  <c r="X5" i="19"/>
  <c r="W26" i="23" s="1"/>
  <c r="X5" i="27"/>
  <c r="W24" i="23" s="1"/>
  <c r="X5" i="29"/>
  <c r="W27" i="23" s="1"/>
  <c r="X5" i="17"/>
  <c r="W28" i="23" s="1"/>
  <c r="X5" i="32"/>
  <c r="W20" i="23" s="1"/>
  <c r="X5" i="4"/>
  <c r="W5" i="23" s="1"/>
  <c r="X5" i="9"/>
  <c r="W7" i="23" s="1"/>
  <c r="X5" i="6"/>
  <c r="W6" i="23" s="1"/>
  <c r="X5" i="22"/>
  <c r="W23" i="23" s="1"/>
  <c r="X5" i="10"/>
  <c r="W9" i="23" s="1"/>
  <c r="X5" i="14"/>
  <c r="W25" i="23" s="1"/>
  <c r="X5" i="8"/>
  <c r="W8" i="23" s="1"/>
  <c r="X5" i="20"/>
  <c r="W15" i="23" s="1"/>
  <c r="X5" i="7"/>
  <c r="W10" i="23" s="1"/>
  <c r="X5" i="24"/>
  <c r="W18" i="23" s="1"/>
  <c r="X5" i="13"/>
  <c r="W14" i="23" s="1"/>
  <c r="W41" i="23"/>
  <c r="V42" i="1"/>
  <c r="W30" i="1"/>
  <c r="Z30" i="1" s="1"/>
  <c r="X27" i="23"/>
  <c r="Z27" i="23" s="1"/>
  <c r="AA3" i="45"/>
  <c r="AA4" i="45" s="1"/>
  <c r="AA5" i="45" s="1"/>
  <c r="AA6" i="45" s="1"/>
  <c r="AA7" i="45" s="1"/>
  <c r="AA8" i="45" s="1"/>
  <c r="AA9" i="45" s="1"/>
  <c r="AA10" i="45" s="1"/>
  <c r="AA11" i="45" s="1"/>
  <c r="AA12" i="45" s="1"/>
  <c r="AA13" i="45" s="1"/>
  <c r="AA14" i="45" s="1"/>
  <c r="AA15" i="45" s="1"/>
  <c r="AA16" i="45" s="1"/>
  <c r="AA17" i="45" s="1"/>
  <c r="AA18" i="45" s="1"/>
  <c r="AA19" i="45" s="1"/>
  <c r="AA20" i="45" s="1"/>
  <c r="AA21" i="45" s="1"/>
  <c r="AA22" i="45" s="1"/>
  <c r="AA23" i="45" s="1"/>
  <c r="AA24" i="45" s="1"/>
  <c r="AA25" i="45" s="1"/>
  <c r="AA26" i="45" s="1"/>
  <c r="AA27" i="45" s="1"/>
  <c r="AA28" i="45" s="1"/>
  <c r="AA29" i="45" s="1"/>
  <c r="AA30" i="45" s="1"/>
  <c r="AA31" i="45" s="1"/>
  <c r="AA32" i="45" s="1"/>
  <c r="AA33" i="45" s="1"/>
  <c r="AA34" i="45" s="1"/>
  <c r="AA35" i="45" s="1"/>
  <c r="AA36" i="45" s="1"/>
  <c r="AA37" i="45" s="1"/>
  <c r="AA38" i="45" s="1"/>
  <c r="AA39" i="45" s="1"/>
  <c r="AA40" i="45" s="1"/>
  <c r="AA41" i="45" s="1"/>
  <c r="AA42" i="45" s="1"/>
  <c r="AA43" i="45" s="1"/>
  <c r="AA44" i="45" s="1"/>
  <c r="AA45" i="45" s="1"/>
  <c r="AA46" i="45" s="1"/>
  <c r="AA47" i="45" s="1"/>
  <c r="AA48" i="45" s="1"/>
  <c r="AA49" i="45" s="1"/>
  <c r="AA50" i="45" s="1"/>
  <c r="AA51" i="45" s="1"/>
  <c r="AA52" i="45" s="1"/>
  <c r="AA53" i="45" s="1"/>
  <c r="AA54" i="45" s="1"/>
  <c r="AA55" i="45" s="1"/>
  <c r="AA56" i="45" s="1"/>
  <c r="AA57" i="45" s="1"/>
  <c r="AA58" i="45" s="1"/>
  <c r="AA59" i="45" s="1"/>
  <c r="AA60" i="45" s="1"/>
  <c r="AA61" i="45" s="1"/>
  <c r="AA62" i="45" s="1"/>
  <c r="AA63" i="45" s="1"/>
  <c r="AA64" i="45" s="1"/>
  <c r="AA65" i="45" s="1"/>
  <c r="AA66" i="45" s="1"/>
  <c r="AA67" i="45" s="1"/>
  <c r="AA68" i="45" s="1"/>
  <c r="AA69" i="45" s="1"/>
  <c r="AA70" i="45" s="1"/>
  <c r="AA71" i="45" s="1"/>
  <c r="AA72" i="45" s="1"/>
  <c r="AA73" i="45" s="1"/>
  <c r="AA74" i="45" s="1"/>
  <c r="V44" i="1"/>
  <c r="W35" i="23"/>
  <c r="W39" i="23"/>
  <c r="V38" i="1"/>
  <c r="W5" i="1"/>
  <c r="Z5" i="1" s="1"/>
  <c r="X5" i="30"/>
  <c r="I3" i="45"/>
  <c r="I4" i="45" s="1"/>
  <c r="I5" i="45" s="1"/>
  <c r="I6" i="45" s="1"/>
  <c r="I7" i="45" s="1"/>
  <c r="I8" i="45" s="1"/>
  <c r="I9" i="45" s="1"/>
  <c r="I10" i="45" s="1"/>
  <c r="I11" i="45" s="1"/>
  <c r="I12" i="45" s="1"/>
  <c r="I13" i="45" s="1"/>
  <c r="I14" i="45" s="1"/>
  <c r="I15" i="45" s="1"/>
  <c r="I16" i="45" s="1"/>
  <c r="I17" i="45" s="1"/>
  <c r="I18" i="45" s="1"/>
  <c r="I19" i="45" s="1"/>
  <c r="I20" i="45" s="1"/>
  <c r="I21" i="45" s="1"/>
  <c r="I22" i="45" s="1"/>
  <c r="I23" i="45" s="1"/>
  <c r="I24" i="45" s="1"/>
  <c r="I25" i="45" s="1"/>
  <c r="I26" i="45" s="1"/>
  <c r="I27" i="45" s="1"/>
  <c r="I28" i="45" s="1"/>
  <c r="I29" i="45" s="1"/>
  <c r="I30" i="45" s="1"/>
  <c r="I31" i="45" s="1"/>
  <c r="I32" i="45" s="1"/>
  <c r="I33" i="45" s="1"/>
  <c r="I34" i="45" s="1"/>
  <c r="I35" i="45" s="1"/>
  <c r="I36" i="45" s="1"/>
  <c r="I37" i="45" s="1"/>
  <c r="I38" i="45" s="1"/>
  <c r="I39" i="45" s="1"/>
  <c r="I40" i="45" s="1"/>
  <c r="I41" i="45" s="1"/>
  <c r="I42" i="45" s="1"/>
  <c r="I43" i="45" s="1"/>
  <c r="I44" i="45" s="1"/>
  <c r="I45" i="45" s="1"/>
  <c r="I46" i="45" s="1"/>
  <c r="I47" i="45" s="1"/>
  <c r="I48" i="45" s="1"/>
  <c r="I49" i="45" s="1"/>
  <c r="I50" i="45" s="1"/>
  <c r="I51" i="45" s="1"/>
  <c r="I52" i="45" s="1"/>
  <c r="I53" i="45" s="1"/>
  <c r="I54" i="45" s="1"/>
  <c r="I55" i="45" s="1"/>
  <c r="I56" i="45" s="1"/>
  <c r="I57" i="45" s="1"/>
  <c r="I58" i="45" s="1"/>
  <c r="I59" i="45" s="1"/>
  <c r="I60" i="45" s="1"/>
  <c r="I61" i="45" s="1"/>
  <c r="I62" i="45" s="1"/>
  <c r="I63" i="45" s="1"/>
  <c r="I64" i="45" s="1"/>
  <c r="I65" i="45" s="1"/>
  <c r="I66" i="45" s="1"/>
  <c r="I67" i="45" s="1"/>
  <c r="I68" i="45" s="1"/>
  <c r="I69" i="45" s="1"/>
  <c r="I70" i="45" s="1"/>
  <c r="I71" i="45" s="1"/>
  <c r="I72" i="45" s="1"/>
  <c r="I73" i="45" s="1"/>
  <c r="I74" i="45" s="1"/>
  <c r="O4" i="45"/>
  <c r="O5" i="45" s="1"/>
  <c r="O6" i="45" s="1"/>
  <c r="O7" i="45" s="1"/>
  <c r="O8" i="45" s="1"/>
  <c r="O9" i="45" s="1"/>
  <c r="O10" i="45" s="1"/>
  <c r="O11" i="45" s="1"/>
  <c r="O12" i="45" s="1"/>
  <c r="O13" i="45" s="1"/>
  <c r="O14" i="45" s="1"/>
  <c r="O15" i="45" s="1"/>
  <c r="O16" i="45" s="1"/>
  <c r="O17" i="45" s="1"/>
  <c r="O18" i="45" s="1"/>
  <c r="O19" i="45" s="1"/>
  <c r="O20" i="45" s="1"/>
  <c r="O21" i="45" s="1"/>
  <c r="O22" i="45" s="1"/>
  <c r="O23" i="45" s="1"/>
  <c r="O24" i="45" s="1"/>
  <c r="O25" i="45" s="1"/>
  <c r="O26" i="45" s="1"/>
  <c r="O27" i="45" s="1"/>
  <c r="O28" i="45" s="1"/>
  <c r="O29" i="45" s="1"/>
  <c r="O30" i="45" s="1"/>
  <c r="O31" i="45" s="1"/>
  <c r="O32" i="45" s="1"/>
  <c r="O33" i="45" s="1"/>
  <c r="O34" i="45" s="1"/>
  <c r="O35" i="45" s="1"/>
  <c r="O36" i="45" s="1"/>
  <c r="O37" i="45" s="1"/>
  <c r="O38" i="45" s="1"/>
  <c r="O39" i="45" s="1"/>
  <c r="O40" i="45" s="1"/>
  <c r="O41" i="45" s="1"/>
  <c r="O42" i="45" s="1"/>
  <c r="O43" i="45" s="1"/>
  <c r="O44" i="45" s="1"/>
  <c r="O45" i="45" s="1"/>
  <c r="O46" i="45" s="1"/>
  <c r="O47" i="45" s="1"/>
  <c r="O48" i="45" s="1"/>
  <c r="O49" i="45" s="1"/>
  <c r="O50" i="45" s="1"/>
  <c r="O51" i="45" s="1"/>
  <c r="O52" i="45" s="1"/>
  <c r="O53" i="45" s="1"/>
  <c r="O54" i="45" s="1"/>
  <c r="O55" i="45" s="1"/>
  <c r="O56" i="45" s="1"/>
  <c r="O57" i="45" s="1"/>
  <c r="O58" i="45" s="1"/>
  <c r="O59" i="45" s="1"/>
  <c r="O60" i="45" s="1"/>
  <c r="O61" i="45" s="1"/>
  <c r="O62" i="45" s="1"/>
  <c r="O63" i="45" s="1"/>
  <c r="O64" i="45" s="1"/>
  <c r="O65" i="45" s="1"/>
  <c r="O66" i="45" s="1"/>
  <c r="O67" i="45" s="1"/>
  <c r="O68" i="45" s="1"/>
  <c r="O69" i="45" s="1"/>
  <c r="O70" i="45" s="1"/>
  <c r="O71" i="45" s="1"/>
  <c r="O72" i="45" s="1"/>
  <c r="O73" i="45" s="1"/>
  <c r="O74" i="45" s="1"/>
  <c r="F3" i="45"/>
  <c r="F4" i="45" s="1"/>
  <c r="F5" i="45" s="1"/>
  <c r="F6" i="45" s="1"/>
  <c r="F7" i="45" s="1"/>
  <c r="F8" i="45" s="1"/>
  <c r="F9" i="45" s="1"/>
  <c r="F10" i="45" s="1"/>
  <c r="F11" i="45" s="1"/>
  <c r="F12" i="45" s="1"/>
  <c r="F13" i="45" s="1"/>
  <c r="F14" i="45" s="1"/>
  <c r="F15" i="45" s="1"/>
  <c r="F16" i="45" s="1"/>
  <c r="F17" i="45" s="1"/>
  <c r="F18" i="45" s="1"/>
  <c r="F19" i="45" s="1"/>
  <c r="F20" i="45" s="1"/>
  <c r="F21" i="45" s="1"/>
  <c r="F22" i="45" s="1"/>
  <c r="F23" i="45" s="1"/>
  <c r="F24" i="45" s="1"/>
  <c r="F25" i="45" s="1"/>
  <c r="F26" i="45" s="1"/>
  <c r="F27" i="45" s="1"/>
  <c r="F28" i="45" s="1"/>
  <c r="F29" i="45" s="1"/>
  <c r="F30" i="45" s="1"/>
  <c r="F31" i="45" s="1"/>
  <c r="F32" i="45" s="1"/>
  <c r="F33" i="45" s="1"/>
  <c r="F34" i="45" s="1"/>
  <c r="F35" i="45" s="1"/>
  <c r="F36" i="45" s="1"/>
  <c r="F37" i="45" s="1"/>
  <c r="F38" i="45" s="1"/>
  <c r="F39" i="45" s="1"/>
  <c r="F40" i="45" s="1"/>
  <c r="F41" i="45" s="1"/>
  <c r="F42" i="45" s="1"/>
  <c r="F43" i="45" s="1"/>
  <c r="F44" i="45" s="1"/>
  <c r="F45" i="45" s="1"/>
  <c r="F46" i="45" s="1"/>
  <c r="F47" i="45" s="1"/>
  <c r="F48" i="45" s="1"/>
  <c r="F49" i="45" s="1"/>
  <c r="F50" i="45" s="1"/>
  <c r="F51" i="45" s="1"/>
  <c r="F52" i="45" s="1"/>
  <c r="F53" i="45" s="1"/>
  <c r="F54" i="45" s="1"/>
  <c r="F55" i="45" s="1"/>
  <c r="F56" i="45" s="1"/>
  <c r="F57" i="45" s="1"/>
  <c r="F58" i="45" s="1"/>
  <c r="F59" i="45" s="1"/>
  <c r="F60" i="45" s="1"/>
  <c r="F61" i="45" s="1"/>
  <c r="F62" i="45" s="1"/>
  <c r="F63" i="45" s="1"/>
  <c r="F64" i="45" s="1"/>
  <c r="F65" i="45" s="1"/>
  <c r="F66" i="45" s="1"/>
  <c r="F67" i="45" s="1"/>
  <c r="F68" i="45" s="1"/>
  <c r="F69" i="45" s="1"/>
  <c r="F70" i="45" s="1"/>
  <c r="F71" i="45" s="1"/>
  <c r="F72" i="45" s="1"/>
  <c r="F73" i="45" s="1"/>
  <c r="F74" i="45" s="1"/>
  <c r="K3" i="45"/>
  <c r="K4" i="45" s="1"/>
  <c r="K5" i="45" s="1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D3" i="45"/>
  <c r="D4" i="45" s="1"/>
  <c r="D5" i="45" s="1"/>
  <c r="D6" i="45" s="1"/>
  <c r="D7" i="45" s="1"/>
  <c r="D8" i="45" s="1"/>
  <c r="D9" i="45" s="1"/>
  <c r="D10" i="45" s="1"/>
  <c r="D11" i="45" s="1"/>
  <c r="D12" i="45" s="1"/>
  <c r="D13" i="45" s="1"/>
  <c r="D14" i="45" s="1"/>
  <c r="D15" i="45" s="1"/>
  <c r="D16" i="45" s="1"/>
  <c r="D17" i="45" s="1"/>
  <c r="D18" i="45" s="1"/>
  <c r="D19" i="45" s="1"/>
  <c r="D20" i="45" s="1"/>
  <c r="D21" i="45" s="1"/>
  <c r="D22" i="45" s="1"/>
  <c r="D23" i="45" s="1"/>
  <c r="D24" i="45" s="1"/>
  <c r="D25" i="45" s="1"/>
  <c r="D26" i="45" s="1"/>
  <c r="D27" i="45" s="1"/>
  <c r="D28" i="45" s="1"/>
  <c r="D29" i="45" s="1"/>
  <c r="D30" i="45" s="1"/>
  <c r="D31" i="45" s="1"/>
  <c r="D32" i="45" s="1"/>
  <c r="D33" i="45" s="1"/>
  <c r="D34" i="45" s="1"/>
  <c r="D35" i="45" s="1"/>
  <c r="D36" i="45" s="1"/>
  <c r="D37" i="45" s="1"/>
  <c r="D38" i="45" s="1"/>
  <c r="D39" i="45" s="1"/>
  <c r="D40" i="45" s="1"/>
  <c r="D41" i="45" s="1"/>
  <c r="D42" i="45" s="1"/>
  <c r="D43" i="45" s="1"/>
  <c r="D44" i="45" s="1"/>
  <c r="D45" i="45" s="1"/>
  <c r="D46" i="45" s="1"/>
  <c r="D47" i="45" s="1"/>
  <c r="D48" i="45" s="1"/>
  <c r="D49" i="45" s="1"/>
  <c r="D50" i="45" s="1"/>
  <c r="D51" i="45" s="1"/>
  <c r="D52" i="45" s="1"/>
  <c r="D53" i="45" s="1"/>
  <c r="D54" i="45" s="1"/>
  <c r="D55" i="45" s="1"/>
  <c r="D56" i="45" s="1"/>
  <c r="D57" i="45" s="1"/>
  <c r="D58" i="45" s="1"/>
  <c r="D59" i="45" s="1"/>
  <c r="D60" i="45" s="1"/>
  <c r="D61" i="45" s="1"/>
  <c r="D62" i="45" s="1"/>
  <c r="D63" i="45" s="1"/>
  <c r="D64" i="45" s="1"/>
  <c r="D65" i="45" s="1"/>
  <c r="D66" i="45" s="1"/>
  <c r="D67" i="45" s="1"/>
  <c r="D68" i="45" s="1"/>
  <c r="D69" i="45" s="1"/>
  <c r="D70" i="45" s="1"/>
  <c r="D71" i="45" s="1"/>
  <c r="D72" i="45" s="1"/>
  <c r="D73" i="45" s="1"/>
  <c r="D74" i="45" s="1"/>
  <c r="W36" i="23"/>
  <c r="V35" i="1"/>
  <c r="W34" i="23"/>
  <c r="V34" i="1"/>
  <c r="X23" i="23"/>
  <c r="Z23" i="23" s="1"/>
  <c r="W24" i="1"/>
  <c r="Z24" i="1" s="1"/>
  <c r="X30" i="23"/>
  <c r="Z30" i="23" s="1"/>
  <c r="W32" i="1"/>
  <c r="Z32" i="1" s="1"/>
  <c r="V41" i="1"/>
  <c r="W40" i="23"/>
  <c r="X31" i="23"/>
  <c r="Z31" i="23" s="1"/>
  <c r="W31" i="1"/>
  <c r="Z31" i="1" s="1"/>
  <c r="X32" i="23"/>
  <c r="Z32" i="23" s="1"/>
  <c r="W27" i="1"/>
  <c r="Z27" i="1" s="1"/>
  <c r="V37" i="1"/>
  <c r="W21" i="23"/>
  <c r="V40" i="1"/>
  <c r="W38" i="23"/>
  <c r="W26" i="1"/>
  <c r="Z26" i="1" s="1"/>
  <c r="X29" i="23"/>
  <c r="Z29" i="23" s="1"/>
  <c r="X20" i="23"/>
  <c r="Z20" i="23" s="1"/>
  <c r="W33" i="1"/>
  <c r="Z33" i="1" s="1"/>
  <c r="W28" i="1"/>
  <c r="Z28" i="1" s="1"/>
  <c r="X24" i="23"/>
  <c r="Z24" i="23" s="1"/>
  <c r="S3" i="45"/>
  <c r="S4" i="45" s="1"/>
  <c r="S5" i="45" s="1"/>
  <c r="S6" i="45" s="1"/>
  <c r="S7" i="45" s="1"/>
  <c r="S8" i="45" s="1"/>
  <c r="S9" i="45" s="1"/>
  <c r="S10" i="45" s="1"/>
  <c r="S11" i="45" s="1"/>
  <c r="S12" i="45" s="1"/>
  <c r="S13" i="45" s="1"/>
  <c r="S14" i="45" s="1"/>
  <c r="S15" i="45" s="1"/>
  <c r="S16" i="45" s="1"/>
  <c r="S17" i="45" s="1"/>
  <c r="S18" i="45" s="1"/>
  <c r="S19" i="45" s="1"/>
  <c r="S20" i="45" s="1"/>
  <c r="S21" i="45" s="1"/>
  <c r="S22" i="45" s="1"/>
  <c r="S23" i="45" s="1"/>
  <c r="S24" i="45" s="1"/>
  <c r="S25" i="45" s="1"/>
  <c r="S26" i="45" s="1"/>
  <c r="S27" i="45" s="1"/>
  <c r="S28" i="45" s="1"/>
  <c r="S29" i="45" s="1"/>
  <c r="S30" i="45" s="1"/>
  <c r="S31" i="45" s="1"/>
  <c r="S32" i="45" s="1"/>
  <c r="S33" i="45" s="1"/>
  <c r="S34" i="45" s="1"/>
  <c r="S35" i="45" s="1"/>
  <c r="S36" i="45" s="1"/>
  <c r="S37" i="45" s="1"/>
  <c r="S38" i="45" s="1"/>
  <c r="S39" i="45" s="1"/>
  <c r="S40" i="45" s="1"/>
  <c r="S41" i="45" s="1"/>
  <c r="S42" i="45" s="1"/>
  <c r="S43" i="45" s="1"/>
  <c r="S44" i="45" s="1"/>
  <c r="S45" i="45" s="1"/>
  <c r="S46" i="45" s="1"/>
  <c r="S47" i="45" s="1"/>
  <c r="S48" i="45" s="1"/>
  <c r="S49" i="45" s="1"/>
  <c r="S50" i="45" s="1"/>
  <c r="S51" i="45" s="1"/>
  <c r="S52" i="45" s="1"/>
  <c r="S53" i="45" s="1"/>
  <c r="S54" i="45" s="1"/>
  <c r="S55" i="45" s="1"/>
  <c r="S56" i="45" s="1"/>
  <c r="S57" i="45" s="1"/>
  <c r="S58" i="45" s="1"/>
  <c r="S59" i="45" s="1"/>
  <c r="S60" i="45" s="1"/>
  <c r="S61" i="45" s="1"/>
  <c r="S62" i="45" s="1"/>
  <c r="S63" i="45" s="1"/>
  <c r="S64" i="45" s="1"/>
  <c r="S65" i="45" s="1"/>
  <c r="S66" i="45" s="1"/>
  <c r="S67" i="45" s="1"/>
  <c r="S68" i="45" s="1"/>
  <c r="S69" i="45" s="1"/>
  <c r="S70" i="45" s="1"/>
  <c r="S71" i="45" s="1"/>
  <c r="S72" i="45" s="1"/>
  <c r="S73" i="45" s="1"/>
  <c r="S74" i="45" s="1"/>
  <c r="V43" i="1"/>
  <c r="W37" i="23"/>
  <c r="H3" i="45"/>
  <c r="H4" i="45" s="1"/>
  <c r="H5" i="45" s="1"/>
  <c r="H6" i="45" s="1"/>
  <c r="H7" i="45" s="1"/>
  <c r="H8" i="45" s="1"/>
  <c r="H9" i="45" s="1"/>
  <c r="H10" i="45" s="1"/>
  <c r="H11" i="45" s="1"/>
  <c r="H12" i="45" s="1"/>
  <c r="H13" i="45" s="1"/>
  <c r="H14" i="45" s="1"/>
  <c r="H15" i="45" s="1"/>
  <c r="H16" i="45" s="1"/>
  <c r="H17" i="45" s="1"/>
  <c r="H18" i="45" s="1"/>
  <c r="H19" i="45" s="1"/>
  <c r="H20" i="45" s="1"/>
  <c r="H21" i="45" s="1"/>
  <c r="H22" i="45" s="1"/>
  <c r="H23" i="45" s="1"/>
  <c r="H24" i="45" s="1"/>
  <c r="H25" i="45" s="1"/>
  <c r="H26" i="45" s="1"/>
  <c r="H27" i="45" s="1"/>
  <c r="H28" i="45" s="1"/>
  <c r="H29" i="45" s="1"/>
  <c r="H30" i="45" s="1"/>
  <c r="H31" i="45" s="1"/>
  <c r="H32" i="45" s="1"/>
  <c r="H33" i="45" s="1"/>
  <c r="H34" i="45" s="1"/>
  <c r="H35" i="45" s="1"/>
  <c r="H36" i="45" s="1"/>
  <c r="H37" i="45" s="1"/>
  <c r="H38" i="45" s="1"/>
  <c r="H39" i="45" s="1"/>
  <c r="H40" i="45" s="1"/>
  <c r="H41" i="45" s="1"/>
  <c r="H42" i="45" s="1"/>
  <c r="H43" i="45" s="1"/>
  <c r="H44" i="45" s="1"/>
  <c r="H45" i="45" s="1"/>
  <c r="H46" i="45" s="1"/>
  <c r="H47" i="45" s="1"/>
  <c r="H48" i="45" s="1"/>
  <c r="H49" i="45" s="1"/>
  <c r="H50" i="45" s="1"/>
  <c r="H51" i="45" s="1"/>
  <c r="H52" i="45" s="1"/>
  <c r="H53" i="45" s="1"/>
  <c r="H54" i="45" s="1"/>
  <c r="H55" i="45" s="1"/>
  <c r="H56" i="45" s="1"/>
  <c r="H57" i="45" s="1"/>
  <c r="H58" i="45" s="1"/>
  <c r="H59" i="45" s="1"/>
  <c r="H60" i="45" s="1"/>
  <c r="H61" i="45" s="1"/>
  <c r="H62" i="45" s="1"/>
  <c r="H63" i="45" s="1"/>
  <c r="H64" i="45" s="1"/>
  <c r="H65" i="45" s="1"/>
  <c r="H66" i="45" s="1"/>
  <c r="H67" i="45" s="1"/>
  <c r="H68" i="45" s="1"/>
  <c r="H69" i="45" s="1"/>
  <c r="H70" i="45" s="1"/>
  <c r="H71" i="45" s="1"/>
  <c r="H72" i="45" s="1"/>
  <c r="H73" i="45" s="1"/>
  <c r="H74" i="45" s="1"/>
  <c r="X18" i="23"/>
  <c r="Z18" i="23" s="1"/>
  <c r="W25" i="1"/>
  <c r="Z25" i="1" s="1"/>
  <c r="W29" i="1"/>
  <c r="Z29" i="1" s="1"/>
  <c r="X17" i="23"/>
  <c r="Z17" i="23" s="1"/>
  <c r="Q4" i="45"/>
  <c r="Q5" i="45" s="1"/>
  <c r="Q6" i="45" s="1"/>
  <c r="Q7" i="45" s="1"/>
  <c r="Q8" i="45" s="1"/>
  <c r="Q9" i="45" s="1"/>
  <c r="Q10" i="45" s="1"/>
  <c r="Q11" i="45" s="1"/>
  <c r="Q12" i="45" s="1"/>
  <c r="Q13" i="45" s="1"/>
  <c r="Q14" i="45" s="1"/>
  <c r="Q15" i="45" s="1"/>
  <c r="Q16" i="45" s="1"/>
  <c r="Q17" i="45" s="1"/>
  <c r="Q18" i="45" s="1"/>
  <c r="Q19" i="45" s="1"/>
  <c r="Q20" i="45" s="1"/>
  <c r="Q21" i="45" s="1"/>
  <c r="Q22" i="45" s="1"/>
  <c r="Q23" i="45" s="1"/>
  <c r="Q24" i="45" s="1"/>
  <c r="Q25" i="45" s="1"/>
  <c r="Q26" i="45" s="1"/>
  <c r="Q27" i="45" s="1"/>
  <c r="Q28" i="45" s="1"/>
  <c r="Q29" i="45" s="1"/>
  <c r="Q30" i="45" s="1"/>
  <c r="Q31" i="45" s="1"/>
  <c r="Q32" i="45" s="1"/>
  <c r="Q33" i="45" s="1"/>
  <c r="Q34" i="45" s="1"/>
  <c r="Q35" i="45" s="1"/>
  <c r="Q36" i="45" s="1"/>
  <c r="Q37" i="45" s="1"/>
  <c r="Q38" i="45" s="1"/>
  <c r="Q39" i="45" s="1"/>
  <c r="Q40" i="45" s="1"/>
  <c r="Q41" i="45" s="1"/>
  <c r="Q42" i="45" s="1"/>
  <c r="Q43" i="45" s="1"/>
  <c r="Q44" i="45" s="1"/>
  <c r="Q45" i="45" s="1"/>
  <c r="Q46" i="45" s="1"/>
  <c r="Q47" i="45" s="1"/>
  <c r="Q48" i="45" s="1"/>
  <c r="Q49" i="45" s="1"/>
  <c r="Q50" i="45" s="1"/>
  <c r="Q51" i="45" s="1"/>
  <c r="Q52" i="45" s="1"/>
  <c r="Q53" i="45" s="1"/>
  <c r="Q54" i="45" s="1"/>
  <c r="Q55" i="45" s="1"/>
  <c r="Q56" i="45" s="1"/>
  <c r="Q57" i="45" s="1"/>
  <c r="Q58" i="45" s="1"/>
  <c r="Q59" i="45" s="1"/>
  <c r="Q60" i="45" s="1"/>
  <c r="Q61" i="45" s="1"/>
  <c r="Q62" i="45" s="1"/>
  <c r="Q63" i="45" s="1"/>
  <c r="Q64" i="45" s="1"/>
  <c r="Q65" i="45" s="1"/>
  <c r="Q66" i="45" s="1"/>
  <c r="Q67" i="45" s="1"/>
  <c r="Q68" i="45" s="1"/>
  <c r="Q69" i="45" s="1"/>
  <c r="Q70" i="45" s="1"/>
  <c r="Q71" i="45" s="1"/>
  <c r="Q72" i="45" s="1"/>
  <c r="Q73" i="45" s="1"/>
  <c r="Q74" i="45" s="1"/>
  <c r="X5" i="18"/>
  <c r="W13" i="23" s="1"/>
  <c r="T3" i="45"/>
  <c r="T4" i="45" s="1"/>
  <c r="T5" i="45" s="1"/>
  <c r="T6" i="45" s="1"/>
  <c r="T7" i="45" s="1"/>
  <c r="T8" i="45" s="1"/>
  <c r="T9" i="45" s="1"/>
  <c r="T10" i="45" s="1"/>
  <c r="T11" i="45" s="1"/>
  <c r="T12" i="45" s="1"/>
  <c r="T13" i="45" s="1"/>
  <c r="T14" i="45" s="1"/>
  <c r="T15" i="45" s="1"/>
  <c r="T16" i="45" s="1"/>
  <c r="T17" i="45" s="1"/>
  <c r="T18" i="45" s="1"/>
  <c r="T19" i="45" s="1"/>
  <c r="T20" i="45" s="1"/>
  <c r="T21" i="45" s="1"/>
  <c r="T22" i="45" s="1"/>
  <c r="T23" i="45" s="1"/>
  <c r="T24" i="45" s="1"/>
  <c r="T25" i="45" s="1"/>
  <c r="T26" i="45" s="1"/>
  <c r="T27" i="45" s="1"/>
  <c r="T28" i="45" s="1"/>
  <c r="T29" i="45" s="1"/>
  <c r="T30" i="45" s="1"/>
  <c r="T31" i="45" s="1"/>
  <c r="T32" i="45" s="1"/>
  <c r="T33" i="45" s="1"/>
  <c r="T34" i="45" s="1"/>
  <c r="T35" i="45" s="1"/>
  <c r="T36" i="45" s="1"/>
  <c r="T37" i="45" s="1"/>
  <c r="T38" i="45" s="1"/>
  <c r="T39" i="45" s="1"/>
  <c r="T40" i="45" s="1"/>
  <c r="T41" i="45" s="1"/>
  <c r="T42" i="45" s="1"/>
  <c r="T43" i="45" s="1"/>
  <c r="T44" i="45" s="1"/>
  <c r="T45" i="45" s="1"/>
  <c r="T46" i="45" s="1"/>
  <c r="T47" i="45" s="1"/>
  <c r="T48" i="45" s="1"/>
  <c r="T49" i="45" s="1"/>
  <c r="T50" i="45" s="1"/>
  <c r="T51" i="45" s="1"/>
  <c r="T52" i="45" s="1"/>
  <c r="T53" i="45" s="1"/>
  <c r="T54" i="45" s="1"/>
  <c r="T55" i="45" s="1"/>
  <c r="T56" i="45" s="1"/>
  <c r="T57" i="45" s="1"/>
  <c r="T58" i="45" s="1"/>
  <c r="T59" i="45" s="1"/>
  <c r="T60" i="45" s="1"/>
  <c r="T61" i="45" s="1"/>
  <c r="T62" i="45" s="1"/>
  <c r="T63" i="45" s="1"/>
  <c r="T64" i="45" s="1"/>
  <c r="T65" i="45" s="1"/>
  <c r="T66" i="45" s="1"/>
  <c r="T67" i="45" s="1"/>
  <c r="T68" i="45" s="1"/>
  <c r="T69" i="45" s="1"/>
  <c r="T70" i="45" s="1"/>
  <c r="T71" i="45" s="1"/>
  <c r="T72" i="45" s="1"/>
  <c r="T73" i="45" s="1"/>
  <c r="T74" i="45" s="1"/>
  <c r="C3" i="45"/>
  <c r="C4" i="45" s="1"/>
  <c r="C5" i="45" s="1"/>
  <c r="C6" i="45" s="1"/>
  <c r="C7" i="45" s="1"/>
  <c r="C8" i="45" s="1"/>
  <c r="C9" i="45" s="1"/>
  <c r="C10" i="45" s="1"/>
  <c r="C11" i="45" s="1"/>
  <c r="C12" i="45" s="1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C37" i="45" s="1"/>
  <c r="C38" i="45" s="1"/>
  <c r="C39" i="45" s="1"/>
  <c r="C40" i="45" s="1"/>
  <c r="C41" i="45" s="1"/>
  <c r="C42" i="45" s="1"/>
  <c r="C43" i="45" s="1"/>
  <c r="C44" i="45" s="1"/>
  <c r="C45" i="45" s="1"/>
  <c r="C46" i="45" s="1"/>
  <c r="C47" i="45" s="1"/>
  <c r="C48" i="45" s="1"/>
  <c r="C49" i="45" s="1"/>
  <c r="C50" i="45" s="1"/>
  <c r="C51" i="45" s="1"/>
  <c r="C52" i="45" s="1"/>
  <c r="C53" i="45" s="1"/>
  <c r="C54" i="45" s="1"/>
  <c r="C55" i="45" s="1"/>
  <c r="C56" i="45" s="1"/>
  <c r="C57" i="45" s="1"/>
  <c r="C58" i="45" s="1"/>
  <c r="C59" i="45" s="1"/>
  <c r="C60" i="45" s="1"/>
  <c r="C61" i="45" s="1"/>
  <c r="C62" i="45" s="1"/>
  <c r="C63" i="45" s="1"/>
  <c r="C64" i="45" s="1"/>
  <c r="C65" i="45" s="1"/>
  <c r="C66" i="45" s="1"/>
  <c r="C67" i="45" s="1"/>
  <c r="C68" i="45" s="1"/>
  <c r="C69" i="45" s="1"/>
  <c r="C70" i="45" s="1"/>
  <c r="C71" i="45" s="1"/>
  <c r="C72" i="45" s="1"/>
  <c r="C73" i="45" s="1"/>
  <c r="C74" i="45" s="1"/>
  <c r="AB4" i="45"/>
  <c r="AB5" i="45" s="1"/>
  <c r="AB6" i="45" s="1"/>
  <c r="AB7" i="45" s="1"/>
  <c r="AB8" i="45" s="1"/>
  <c r="AB9" i="45" s="1"/>
  <c r="AB10" i="45" s="1"/>
  <c r="AB11" i="45" s="1"/>
  <c r="AB12" i="45" s="1"/>
  <c r="AB13" i="45" s="1"/>
  <c r="AB14" i="45" s="1"/>
  <c r="AB15" i="45" s="1"/>
  <c r="AB16" i="45" s="1"/>
  <c r="AB17" i="45" s="1"/>
  <c r="AB18" i="45" s="1"/>
  <c r="AB19" i="45" s="1"/>
  <c r="AB20" i="45" s="1"/>
  <c r="AB21" i="45" s="1"/>
  <c r="AB22" i="45" s="1"/>
  <c r="AB23" i="45" s="1"/>
  <c r="AB24" i="45" s="1"/>
  <c r="AB25" i="45" s="1"/>
  <c r="AB26" i="45" s="1"/>
  <c r="AB27" i="45" s="1"/>
  <c r="AB28" i="45" s="1"/>
  <c r="AB29" i="45" s="1"/>
  <c r="AB30" i="45" s="1"/>
  <c r="AB31" i="45" s="1"/>
  <c r="AB32" i="45" s="1"/>
  <c r="AB33" i="45" s="1"/>
  <c r="AB34" i="45" s="1"/>
  <c r="AB35" i="45" s="1"/>
  <c r="AB36" i="45" s="1"/>
  <c r="AB37" i="45" s="1"/>
  <c r="AB38" i="45" s="1"/>
  <c r="AB39" i="45" s="1"/>
  <c r="AB40" i="45" s="1"/>
  <c r="AB41" i="45" s="1"/>
  <c r="AB42" i="45" s="1"/>
  <c r="AB43" i="45" s="1"/>
  <c r="AB44" i="45" s="1"/>
  <c r="AB45" i="45" s="1"/>
  <c r="AB46" i="45" s="1"/>
  <c r="AB47" i="45" s="1"/>
  <c r="AB48" i="45" s="1"/>
  <c r="AB49" i="45" s="1"/>
  <c r="AB50" i="45" s="1"/>
  <c r="AB51" i="45" s="1"/>
  <c r="AB52" i="45" s="1"/>
  <c r="AB53" i="45" s="1"/>
  <c r="AB54" i="45" s="1"/>
  <c r="AB55" i="45" s="1"/>
  <c r="AB56" i="45" s="1"/>
  <c r="AB57" i="45" s="1"/>
  <c r="AB58" i="45" s="1"/>
  <c r="AB59" i="45" s="1"/>
  <c r="AB60" i="45" s="1"/>
  <c r="AB61" i="45" s="1"/>
  <c r="AB62" i="45" s="1"/>
  <c r="AB63" i="45" s="1"/>
  <c r="AB64" i="45" s="1"/>
  <c r="AB65" i="45" s="1"/>
  <c r="AB66" i="45" s="1"/>
  <c r="AB67" i="45" s="1"/>
  <c r="AB68" i="45" s="1"/>
  <c r="AB69" i="45" s="1"/>
  <c r="AB70" i="45" s="1"/>
  <c r="AB71" i="45" s="1"/>
  <c r="AB72" i="45" s="1"/>
  <c r="AB73" i="45" s="1"/>
  <c r="AB74" i="45" s="1"/>
  <c r="E3" i="45"/>
  <c r="E4" i="45" s="1"/>
  <c r="E5" i="45" s="1"/>
  <c r="E6" i="45" s="1"/>
  <c r="E7" i="45" s="1"/>
  <c r="E8" i="45" s="1"/>
  <c r="E9" i="45" s="1"/>
  <c r="E10" i="45" s="1"/>
  <c r="E11" i="45" s="1"/>
  <c r="E12" i="45" s="1"/>
  <c r="E13" i="45" s="1"/>
  <c r="E14" i="45" s="1"/>
  <c r="E15" i="45" s="1"/>
  <c r="E16" i="45" s="1"/>
  <c r="E17" i="45" s="1"/>
  <c r="E18" i="45" s="1"/>
  <c r="E19" i="45" s="1"/>
  <c r="E20" i="45" s="1"/>
  <c r="E21" i="45" s="1"/>
  <c r="E22" i="45" s="1"/>
  <c r="E23" i="45" s="1"/>
  <c r="E24" i="45" s="1"/>
  <c r="E25" i="45" s="1"/>
  <c r="E26" i="45" s="1"/>
  <c r="E27" i="45" s="1"/>
  <c r="E28" i="45" s="1"/>
  <c r="E29" i="45" s="1"/>
  <c r="E30" i="45" s="1"/>
  <c r="E31" i="45" s="1"/>
  <c r="E32" i="45" s="1"/>
  <c r="E33" i="45" s="1"/>
  <c r="E34" i="45" s="1"/>
  <c r="E35" i="45" s="1"/>
  <c r="E36" i="45" s="1"/>
  <c r="E37" i="45" s="1"/>
  <c r="E38" i="45" s="1"/>
  <c r="E39" i="45" s="1"/>
  <c r="E40" i="45" s="1"/>
  <c r="E41" i="45" s="1"/>
  <c r="E42" i="45" s="1"/>
  <c r="E43" i="45" s="1"/>
  <c r="E44" i="45" s="1"/>
  <c r="E45" i="45" s="1"/>
  <c r="E46" i="45" s="1"/>
  <c r="E47" i="45" s="1"/>
  <c r="E48" i="45" s="1"/>
  <c r="E49" i="45" s="1"/>
  <c r="E50" i="45" s="1"/>
  <c r="E51" i="45" s="1"/>
  <c r="E52" i="45" s="1"/>
  <c r="E53" i="45" s="1"/>
  <c r="E54" i="45" s="1"/>
  <c r="E55" i="45" s="1"/>
  <c r="E56" i="45" s="1"/>
  <c r="E57" i="45" s="1"/>
  <c r="E58" i="45" s="1"/>
  <c r="E59" i="45" s="1"/>
  <c r="E60" i="45" s="1"/>
  <c r="E61" i="45" s="1"/>
  <c r="E62" i="45" s="1"/>
  <c r="E63" i="45" s="1"/>
  <c r="E64" i="45" s="1"/>
  <c r="E65" i="45" s="1"/>
  <c r="E66" i="45" s="1"/>
  <c r="E67" i="45" s="1"/>
  <c r="E68" i="45" s="1"/>
  <c r="E69" i="45" s="1"/>
  <c r="E70" i="45" s="1"/>
  <c r="E71" i="45" s="1"/>
  <c r="E72" i="45" s="1"/>
  <c r="E73" i="45" s="1"/>
  <c r="E74" i="45" s="1"/>
  <c r="W4" i="45"/>
  <c r="W5" i="45" s="1"/>
  <c r="W6" i="45" s="1"/>
  <c r="W7" i="45" s="1"/>
  <c r="W8" i="45" s="1"/>
  <c r="W9" i="45" s="1"/>
  <c r="W10" i="45" s="1"/>
  <c r="W11" i="45" s="1"/>
  <c r="W12" i="45" s="1"/>
  <c r="W13" i="45" s="1"/>
  <c r="W14" i="45" s="1"/>
  <c r="W15" i="45" s="1"/>
  <c r="W16" i="45" s="1"/>
  <c r="W17" i="45" s="1"/>
  <c r="W18" i="45" s="1"/>
  <c r="W19" i="45" s="1"/>
  <c r="W20" i="45" s="1"/>
  <c r="W21" i="45" s="1"/>
  <c r="W22" i="45" s="1"/>
  <c r="W23" i="45" s="1"/>
  <c r="W24" i="45" s="1"/>
  <c r="W25" i="45" s="1"/>
  <c r="W26" i="45" s="1"/>
  <c r="W27" i="45" s="1"/>
  <c r="W28" i="45" s="1"/>
  <c r="W29" i="45" s="1"/>
  <c r="W30" i="45" s="1"/>
  <c r="W31" i="45" s="1"/>
  <c r="W32" i="45" s="1"/>
  <c r="W33" i="45" s="1"/>
  <c r="W34" i="45" s="1"/>
  <c r="W35" i="45" s="1"/>
  <c r="W36" i="45" s="1"/>
  <c r="W37" i="45" s="1"/>
  <c r="W38" i="45" s="1"/>
  <c r="W39" i="45" s="1"/>
  <c r="W40" i="45" s="1"/>
  <c r="W41" i="45" s="1"/>
  <c r="W42" i="45" s="1"/>
  <c r="W43" i="45" s="1"/>
  <c r="W44" i="45" s="1"/>
  <c r="W45" i="45" s="1"/>
  <c r="W46" i="45" s="1"/>
  <c r="W47" i="45" s="1"/>
  <c r="W48" i="45" s="1"/>
  <c r="W49" i="45" s="1"/>
  <c r="W50" i="45" s="1"/>
  <c r="W51" i="45" s="1"/>
  <c r="W52" i="45" s="1"/>
  <c r="W53" i="45" s="1"/>
  <c r="W54" i="45" s="1"/>
  <c r="W55" i="45" s="1"/>
  <c r="W56" i="45" s="1"/>
  <c r="W57" i="45" s="1"/>
  <c r="W58" i="45" s="1"/>
  <c r="W59" i="45" s="1"/>
  <c r="W60" i="45" s="1"/>
  <c r="W61" i="45" s="1"/>
  <c r="W62" i="45" s="1"/>
  <c r="W63" i="45" s="1"/>
  <c r="W64" i="45" s="1"/>
  <c r="W65" i="45" s="1"/>
  <c r="W66" i="45" s="1"/>
  <c r="W67" i="45" s="1"/>
  <c r="W68" i="45" s="1"/>
  <c r="W69" i="45" s="1"/>
  <c r="W70" i="45" s="1"/>
  <c r="W71" i="45" s="1"/>
  <c r="W72" i="45" s="1"/>
  <c r="W73" i="45" s="1"/>
  <c r="W74" i="45" s="1"/>
  <c r="F10" i="43"/>
  <c r="E11" i="43"/>
  <c r="F14" i="42"/>
  <c r="E15" i="42"/>
  <c r="F11" i="39"/>
  <c r="E12" i="39"/>
  <c r="F10" i="38"/>
  <c r="E11" i="38"/>
  <c r="F10" i="36"/>
  <c r="E11" i="36"/>
  <c r="F10" i="35"/>
  <c r="E11" i="35"/>
  <c r="F11" i="34"/>
  <c r="E12" i="34"/>
  <c r="F11" i="33"/>
  <c r="E12" i="33"/>
  <c r="F9" i="32"/>
  <c r="E10" i="32"/>
  <c r="F10" i="26"/>
  <c r="E11" i="26"/>
  <c r="E10" i="12"/>
  <c r="F9" i="12"/>
  <c r="E10" i="9"/>
  <c r="F9" i="9"/>
  <c r="E10" i="31"/>
  <c r="F9" i="31"/>
  <c r="F9" i="30"/>
  <c r="E10" i="30"/>
  <c r="F10" i="29"/>
  <c r="E11" i="29"/>
  <c r="F10" i="27"/>
  <c r="E11" i="27"/>
  <c r="E10" i="25"/>
  <c r="F9" i="25"/>
  <c r="W7" i="1"/>
  <c r="Z7" i="1" s="1"/>
  <c r="W20" i="1"/>
  <c r="Z20" i="1" s="1"/>
  <c r="W10" i="1"/>
  <c r="Z10" i="1" s="1"/>
  <c r="W16" i="1"/>
  <c r="Z16" i="1" s="1"/>
  <c r="W11" i="1"/>
  <c r="Z11" i="1" s="1"/>
  <c r="W12" i="1"/>
  <c r="Z12" i="1" s="1"/>
  <c r="W15" i="1"/>
  <c r="Z15" i="1" s="1"/>
  <c r="W22" i="1"/>
  <c r="Z22" i="1" s="1"/>
  <c r="W19" i="1"/>
  <c r="Z19" i="1" s="1"/>
  <c r="W9" i="1"/>
  <c r="Z9" i="1" s="1"/>
  <c r="W21" i="1"/>
  <c r="Z21" i="1" s="1"/>
  <c r="W17" i="1"/>
  <c r="Z17" i="1" s="1"/>
  <c r="W6" i="1"/>
  <c r="Z6" i="1" s="1"/>
  <c r="W8" i="1"/>
  <c r="Z8" i="1" s="1"/>
  <c r="W23" i="1"/>
  <c r="Z23" i="1" s="1"/>
  <c r="W13" i="1"/>
  <c r="Z13" i="1" s="1"/>
  <c r="W18" i="1"/>
  <c r="Z18" i="1" s="1"/>
  <c r="W14" i="1"/>
  <c r="Z14" i="1" s="1"/>
  <c r="E10" i="22"/>
  <c r="F9" i="22"/>
  <c r="E12" i="20"/>
  <c r="F11" i="20"/>
  <c r="E11" i="19"/>
  <c r="F10" i="19"/>
  <c r="E12" i="18"/>
  <c r="F11" i="18"/>
  <c r="F11" i="17"/>
  <c r="E12" i="17"/>
  <c r="E14" i="16"/>
  <c r="F13" i="16"/>
  <c r="F11" i="15"/>
  <c r="E12" i="15"/>
  <c r="E11" i="14"/>
  <c r="F10" i="14"/>
  <c r="E12" i="13"/>
  <c r="F11" i="13"/>
  <c r="E11" i="11"/>
  <c r="F10" i="11"/>
  <c r="E11" i="10"/>
  <c r="F10" i="10"/>
  <c r="E12" i="8"/>
  <c r="F11" i="8"/>
  <c r="E10" i="7"/>
  <c r="F9" i="7"/>
  <c r="E11" i="6"/>
  <c r="F10" i="6"/>
  <c r="F10" i="5"/>
  <c r="E11" i="5"/>
  <c r="E11" i="4"/>
  <c r="F10" i="4"/>
  <c r="E10" i="3"/>
  <c r="F9" i="3"/>
  <c r="E10" i="2"/>
  <c r="F9" i="2"/>
  <c r="E12" i="28" l="1"/>
  <c r="E11" i="21"/>
  <c r="F10" i="21"/>
  <c r="AA17" i="1"/>
  <c r="AA9" i="1"/>
  <c r="AA37" i="1"/>
  <c r="AA20" i="1"/>
  <c r="AA25" i="1"/>
  <c r="AA33" i="1"/>
  <c r="AA27" i="1"/>
  <c r="AA24" i="1"/>
  <c r="AA40" i="1"/>
  <c r="AA18" i="1"/>
  <c r="AA19" i="1"/>
  <c r="AA7" i="1"/>
  <c r="AA42" i="1"/>
  <c r="AA13" i="1"/>
  <c r="AA22" i="1"/>
  <c r="AA31" i="1"/>
  <c r="AA41" i="1"/>
  <c r="AA15" i="1"/>
  <c r="AA26" i="1"/>
  <c r="AA30" i="1"/>
  <c r="AA8" i="1"/>
  <c r="AA12" i="1"/>
  <c r="AA5" i="1"/>
  <c r="AA44" i="1"/>
  <c r="AA14" i="1"/>
  <c r="AA23" i="1"/>
  <c r="AA6" i="1"/>
  <c r="AA11" i="1"/>
  <c r="AA35" i="1"/>
  <c r="AA36" i="1"/>
  <c r="AA16" i="1"/>
  <c r="AA32" i="1"/>
  <c r="AA43" i="1"/>
  <c r="AA38" i="1"/>
  <c r="AA21" i="1"/>
  <c r="AA10" i="1"/>
  <c r="AA29" i="1"/>
  <c r="AA28" i="1"/>
  <c r="AA34" i="1"/>
  <c r="AA39" i="1"/>
  <c r="F11" i="40"/>
  <c r="E12" i="40"/>
  <c r="Y20" i="1"/>
  <c r="F12" i="41"/>
  <c r="E13" i="41"/>
  <c r="F12" i="37"/>
  <c r="E13" i="37"/>
  <c r="V14" i="1"/>
  <c r="V12" i="1"/>
  <c r="Y16" i="1"/>
  <c r="Y37" i="1"/>
  <c r="Y40" i="1"/>
  <c r="Y18" i="1"/>
  <c r="Y9" i="1"/>
  <c r="Y10" i="1"/>
  <c r="Y27" i="1"/>
  <c r="W29" i="23"/>
  <c r="Y31" i="1"/>
  <c r="Y39" i="1"/>
  <c r="Y29" i="1"/>
  <c r="Y24" i="1"/>
  <c r="Y43" i="1"/>
  <c r="Y23" i="1"/>
  <c r="Y22" i="1"/>
  <c r="Y7" i="1"/>
  <c r="Y8" i="1"/>
  <c r="Y26" i="1"/>
  <c r="Y38" i="1"/>
  <c r="Y41" i="1"/>
  <c r="Y28" i="1"/>
  <c r="Y33" i="1"/>
  <c r="Y35" i="1"/>
  <c r="Y13" i="1"/>
  <c r="Y19" i="1"/>
  <c r="Y15" i="1"/>
  <c r="Y6" i="1"/>
  <c r="Y12" i="1"/>
  <c r="Y30" i="1"/>
  <c r="Y36" i="1"/>
  <c r="Y32" i="1"/>
  <c r="Y34" i="1"/>
  <c r="Y14" i="1"/>
  <c r="Y21" i="1"/>
  <c r="Y25" i="1"/>
  <c r="Y17" i="1"/>
  <c r="Y11" i="1"/>
  <c r="Y5" i="1"/>
  <c r="Y44" i="1"/>
  <c r="Y42" i="1"/>
  <c r="V28" i="1"/>
  <c r="V13" i="1"/>
  <c r="V9" i="1"/>
  <c r="V32" i="1"/>
  <c r="V18" i="1"/>
  <c r="W32" i="23"/>
  <c r="V8" i="1"/>
  <c r="V17" i="1"/>
  <c r="V5" i="1"/>
  <c r="V24" i="1"/>
  <c r="V15" i="1"/>
  <c r="V23" i="1"/>
  <c r="V7" i="1"/>
  <c r="V6" i="1"/>
  <c r="W17" i="23"/>
  <c r="V25" i="1"/>
  <c r="V11" i="1"/>
  <c r="V21" i="1"/>
  <c r="V22" i="1"/>
  <c r="V33" i="1"/>
  <c r="V30" i="1"/>
  <c r="V16" i="1"/>
  <c r="V19" i="1"/>
  <c r="V10" i="1"/>
  <c r="W31" i="23"/>
  <c r="V31" i="1"/>
  <c r="V20" i="1"/>
  <c r="F11" i="43"/>
  <c r="E12" i="43"/>
  <c r="F15" i="42"/>
  <c r="E16" i="42"/>
  <c r="E13" i="39"/>
  <c r="F12" i="39"/>
  <c r="F11" i="38"/>
  <c r="E12" i="38"/>
  <c r="F11" i="36"/>
  <c r="E12" i="36"/>
  <c r="F11" i="35"/>
  <c r="E12" i="35"/>
  <c r="E13" i="34"/>
  <c r="F12" i="34"/>
  <c r="F12" i="33"/>
  <c r="E13" i="33"/>
  <c r="F10" i="32"/>
  <c r="E11" i="32"/>
  <c r="F11" i="26"/>
  <c r="E12" i="26"/>
  <c r="E11" i="12"/>
  <c r="F10" i="12"/>
  <c r="E11" i="9"/>
  <c r="F10" i="9"/>
  <c r="E11" i="31"/>
  <c r="F10" i="31"/>
  <c r="F10" i="30"/>
  <c r="E11" i="30"/>
  <c r="E12" i="29"/>
  <c r="F11" i="29"/>
  <c r="E13" i="28"/>
  <c r="F12" i="28"/>
  <c r="F11" i="27"/>
  <c r="E12" i="27"/>
  <c r="F10" i="25"/>
  <c r="E11" i="25"/>
  <c r="E11" i="22"/>
  <c r="F10" i="22"/>
  <c r="E13" i="20"/>
  <c r="F12" i="20"/>
  <c r="E12" i="19"/>
  <c r="F11" i="19"/>
  <c r="F12" i="18"/>
  <c r="E13" i="18"/>
  <c r="E13" i="17"/>
  <c r="F12" i="17"/>
  <c r="E15" i="16"/>
  <c r="F14" i="16"/>
  <c r="F12" i="15"/>
  <c r="E13" i="15"/>
  <c r="E12" i="14"/>
  <c r="F11" i="14"/>
  <c r="F12" i="13"/>
  <c r="E13" i="13"/>
  <c r="E12" i="11"/>
  <c r="F11" i="11"/>
  <c r="E12" i="10"/>
  <c r="F11" i="10"/>
  <c r="F12" i="8"/>
  <c r="E13" i="8"/>
  <c r="E11" i="7"/>
  <c r="F10" i="7"/>
  <c r="F11" i="6"/>
  <c r="E12" i="6"/>
  <c r="E12" i="5"/>
  <c r="F11" i="5"/>
  <c r="F11" i="4"/>
  <c r="E12" i="4"/>
  <c r="E11" i="3"/>
  <c r="F10" i="3"/>
  <c r="E11" i="2"/>
  <c r="F10" i="2"/>
  <c r="E12" i="21" l="1"/>
  <c r="F11" i="21"/>
  <c r="E13" i="40"/>
  <c r="F12" i="40"/>
  <c r="E14" i="37"/>
  <c r="F13" i="37"/>
  <c r="E14" i="41"/>
  <c r="F13" i="41"/>
  <c r="E13" i="43"/>
  <c r="F12" i="43"/>
  <c r="F16" i="42"/>
  <c r="E17" i="42"/>
  <c r="E14" i="39"/>
  <c r="F13" i="39"/>
  <c r="E13" i="38"/>
  <c r="F12" i="38"/>
  <c r="F12" i="36"/>
  <c r="E13" i="36"/>
  <c r="F12" i="35"/>
  <c r="E13" i="35"/>
  <c r="E14" i="34"/>
  <c r="F13" i="34"/>
  <c r="F13" i="33"/>
  <c r="E14" i="33"/>
  <c r="F11" i="32"/>
  <c r="E12" i="32"/>
  <c r="E13" i="26"/>
  <c r="F12" i="26"/>
  <c r="E12" i="12"/>
  <c r="F11" i="12"/>
  <c r="E12" i="9"/>
  <c r="F11" i="9"/>
  <c r="F11" i="31"/>
  <c r="E12" i="31"/>
  <c r="F11" i="30"/>
  <c r="E12" i="30"/>
  <c r="F12" i="29"/>
  <c r="E13" i="29"/>
  <c r="F13" i="28"/>
  <c r="E14" i="28"/>
  <c r="E13" i="27"/>
  <c r="F12" i="27"/>
  <c r="F11" i="25"/>
  <c r="E12" i="25"/>
  <c r="E12" i="22"/>
  <c r="F11" i="22"/>
  <c r="F13" i="20"/>
  <c r="E14" i="20"/>
  <c r="F12" i="19"/>
  <c r="E13" i="19"/>
  <c r="E14" i="18"/>
  <c r="F13" i="18"/>
  <c r="F13" i="17"/>
  <c r="E14" i="17"/>
  <c r="E16" i="16"/>
  <c r="F15" i="16"/>
  <c r="E14" i="15"/>
  <c r="F13" i="15"/>
  <c r="F12" i="14"/>
  <c r="E13" i="14"/>
  <c r="E14" i="13"/>
  <c r="F13" i="13"/>
  <c r="E13" i="11"/>
  <c r="F12" i="11"/>
  <c r="F12" i="10"/>
  <c r="E13" i="10"/>
  <c r="E14" i="8"/>
  <c r="F13" i="8"/>
  <c r="E12" i="7"/>
  <c r="F11" i="7"/>
  <c r="F12" i="6"/>
  <c r="E13" i="6"/>
  <c r="F12" i="5"/>
  <c r="E13" i="5"/>
  <c r="E13" i="4"/>
  <c r="F12" i="4"/>
  <c r="E12" i="3"/>
  <c r="F11" i="3"/>
  <c r="E12" i="2"/>
  <c r="F11" i="2"/>
  <c r="F12" i="21" l="1"/>
  <c r="E13" i="21"/>
  <c r="F13" i="40"/>
  <c r="E14" i="40"/>
  <c r="E15" i="41"/>
  <c r="F14" i="41"/>
  <c r="F14" i="37"/>
  <c r="E15" i="37"/>
  <c r="E14" i="43"/>
  <c r="F13" i="43"/>
  <c r="E18" i="42"/>
  <c r="F17" i="42"/>
  <c r="F14" i="39"/>
  <c r="E15" i="39"/>
  <c r="E14" i="38"/>
  <c r="F13" i="38"/>
  <c r="F13" i="36"/>
  <c r="E14" i="36"/>
  <c r="F13" i="35"/>
  <c r="E14" i="35"/>
  <c r="F14" i="34"/>
  <c r="E15" i="34"/>
  <c r="F14" i="33"/>
  <c r="E15" i="33"/>
  <c r="F12" i="32"/>
  <c r="E13" i="32"/>
  <c r="E14" i="26"/>
  <c r="F13" i="26"/>
  <c r="E13" i="12"/>
  <c r="F12" i="12"/>
  <c r="F12" i="9"/>
  <c r="E13" i="9"/>
  <c r="E13" i="31"/>
  <c r="F12" i="31"/>
  <c r="F12" i="30"/>
  <c r="E13" i="30"/>
  <c r="E14" i="29"/>
  <c r="F13" i="29"/>
  <c r="E15" i="28"/>
  <c r="F14" i="28"/>
  <c r="F13" i="27"/>
  <c r="E14" i="27"/>
  <c r="F12" i="25"/>
  <c r="E13" i="25"/>
  <c r="F12" i="22"/>
  <c r="E13" i="22"/>
  <c r="E15" i="20"/>
  <c r="F14" i="20"/>
  <c r="E14" i="19"/>
  <c r="F13" i="19"/>
  <c r="E15" i="18"/>
  <c r="F14" i="18"/>
  <c r="E15" i="17"/>
  <c r="F14" i="17"/>
  <c r="E17" i="16"/>
  <c r="F16" i="16"/>
  <c r="E15" i="15"/>
  <c r="F14" i="15"/>
  <c r="E14" i="14"/>
  <c r="F13" i="14"/>
  <c r="E15" i="13"/>
  <c r="F14" i="13"/>
  <c r="F13" i="11"/>
  <c r="E14" i="11"/>
  <c r="E14" i="10"/>
  <c r="F13" i="10"/>
  <c r="E15" i="8"/>
  <c r="F14" i="8"/>
  <c r="F12" i="7"/>
  <c r="E13" i="7"/>
  <c r="E14" i="6"/>
  <c r="F13" i="6"/>
  <c r="E14" i="5"/>
  <c r="F13" i="5"/>
  <c r="E14" i="4"/>
  <c r="F13" i="4"/>
  <c r="F12" i="3"/>
  <c r="E13" i="3"/>
  <c r="E13" i="2"/>
  <c r="F12" i="2"/>
  <c r="E14" i="21" l="1"/>
  <c r="F13" i="21"/>
  <c r="F14" i="40"/>
  <c r="E15" i="40"/>
  <c r="F15" i="37"/>
  <c r="E16" i="37"/>
  <c r="F15" i="41"/>
  <c r="E16" i="41"/>
  <c r="F14" i="43"/>
  <c r="E15" i="43"/>
  <c r="E19" i="42"/>
  <c r="F18" i="42"/>
  <c r="F15" i="39"/>
  <c r="E16" i="39"/>
  <c r="F14" i="38"/>
  <c r="E15" i="38"/>
  <c r="F14" i="36"/>
  <c r="E15" i="36"/>
  <c r="F14" i="35"/>
  <c r="E15" i="35"/>
  <c r="F15" i="34"/>
  <c r="E16" i="34"/>
  <c r="F15" i="33"/>
  <c r="E16" i="33"/>
  <c r="F13" i="32"/>
  <c r="E14" i="32"/>
  <c r="F14" i="26"/>
  <c r="E15" i="26"/>
  <c r="E14" i="12"/>
  <c r="F13" i="12"/>
  <c r="F13" i="9"/>
  <c r="E14" i="9"/>
  <c r="E14" i="31"/>
  <c r="F13" i="31"/>
  <c r="F13" i="30"/>
  <c r="E14" i="30"/>
  <c r="F14" i="29"/>
  <c r="E15" i="29"/>
  <c r="E16" i="28"/>
  <c r="F15" i="28"/>
  <c r="E15" i="27"/>
  <c r="F14" i="27"/>
  <c r="E14" i="25"/>
  <c r="F13" i="25"/>
  <c r="E14" i="22"/>
  <c r="F13" i="22"/>
  <c r="F15" i="20"/>
  <c r="E16" i="20"/>
  <c r="E15" i="19"/>
  <c r="F14" i="19"/>
  <c r="F15" i="18"/>
  <c r="E16" i="18"/>
  <c r="F15" i="17"/>
  <c r="E16" i="17"/>
  <c r="F17" i="16"/>
  <c r="E18" i="16"/>
  <c r="F15" i="15"/>
  <c r="E16" i="15"/>
  <c r="E15" i="14"/>
  <c r="F14" i="14"/>
  <c r="F15" i="13"/>
  <c r="E16" i="13"/>
  <c r="E15" i="11"/>
  <c r="F14" i="11"/>
  <c r="E15" i="10"/>
  <c r="F14" i="10"/>
  <c r="F15" i="8"/>
  <c r="E16" i="8"/>
  <c r="F13" i="7"/>
  <c r="E14" i="7"/>
  <c r="F14" i="6"/>
  <c r="E15" i="6"/>
  <c r="E15" i="5"/>
  <c r="F14" i="5"/>
  <c r="F14" i="4"/>
  <c r="E15" i="4"/>
  <c r="E14" i="3"/>
  <c r="F13" i="3"/>
  <c r="F13" i="2"/>
  <c r="E14" i="2"/>
  <c r="E15" i="21" l="1"/>
  <c r="F14" i="21"/>
  <c r="E16" i="40"/>
  <c r="F15" i="40"/>
  <c r="F16" i="41"/>
  <c r="E17" i="41"/>
  <c r="E17" i="37"/>
  <c r="F16" i="37"/>
  <c r="F15" i="43"/>
  <c r="E16" i="43"/>
  <c r="F19" i="42"/>
  <c r="E20" i="42"/>
  <c r="F16" i="39"/>
  <c r="E17" i="39"/>
  <c r="F15" i="38"/>
  <c r="E16" i="38"/>
  <c r="F15" i="36"/>
  <c r="E16" i="36"/>
  <c r="F15" i="35"/>
  <c r="E16" i="35"/>
  <c r="F16" i="34"/>
  <c r="E17" i="34"/>
  <c r="F16" i="33"/>
  <c r="E17" i="33"/>
  <c r="F14" i="32"/>
  <c r="E15" i="32"/>
  <c r="F15" i="26"/>
  <c r="E16" i="26"/>
  <c r="E15" i="12"/>
  <c r="F14" i="12"/>
  <c r="E15" i="9"/>
  <c r="F14" i="9"/>
  <c r="F14" i="31"/>
  <c r="E15" i="31"/>
  <c r="F14" i="30"/>
  <c r="E15" i="30"/>
  <c r="E16" i="29"/>
  <c r="F15" i="29"/>
  <c r="F16" i="28"/>
  <c r="E17" i="28"/>
  <c r="E16" i="27"/>
  <c r="F15" i="27"/>
  <c r="F14" i="25"/>
  <c r="E15" i="25"/>
  <c r="F14" i="22"/>
  <c r="E15" i="22"/>
  <c r="E17" i="20"/>
  <c r="F16" i="20"/>
  <c r="F15" i="19"/>
  <c r="E16" i="19"/>
  <c r="E17" i="18"/>
  <c r="F16" i="18"/>
  <c r="E17" i="17"/>
  <c r="F16" i="17"/>
  <c r="E19" i="16"/>
  <c r="F18" i="16"/>
  <c r="F16" i="15"/>
  <c r="E17" i="15"/>
  <c r="E16" i="14"/>
  <c r="F15" i="14"/>
  <c r="E17" i="13"/>
  <c r="F16" i="13"/>
  <c r="F15" i="11"/>
  <c r="E16" i="11"/>
  <c r="F15" i="10"/>
  <c r="E16" i="10"/>
  <c r="E17" i="8"/>
  <c r="F16" i="8"/>
  <c r="E15" i="7"/>
  <c r="F14" i="7"/>
  <c r="E16" i="6"/>
  <c r="F15" i="6"/>
  <c r="F15" i="5"/>
  <c r="E16" i="5"/>
  <c r="E16" i="4"/>
  <c r="F15" i="4"/>
  <c r="E15" i="3"/>
  <c r="F14" i="3"/>
  <c r="E15" i="2"/>
  <c r="F14" i="2"/>
  <c r="E16" i="21" l="1"/>
  <c r="F15" i="21"/>
  <c r="E17" i="40"/>
  <c r="F16" i="40"/>
  <c r="E18" i="37"/>
  <c r="F17" i="37"/>
  <c r="E18" i="41"/>
  <c r="F17" i="41"/>
  <c r="F16" i="43"/>
  <c r="E17" i="43"/>
  <c r="F20" i="42"/>
  <c r="E21" i="42"/>
  <c r="F17" i="39"/>
  <c r="E18" i="39"/>
  <c r="F16" i="38"/>
  <c r="E17" i="38"/>
  <c r="F16" i="36"/>
  <c r="E17" i="36"/>
  <c r="F16" i="35"/>
  <c r="E17" i="35"/>
  <c r="E18" i="34"/>
  <c r="F17" i="34"/>
  <c r="F17" i="33"/>
  <c r="E18" i="33"/>
  <c r="F15" i="32"/>
  <c r="E16" i="32"/>
  <c r="E17" i="26"/>
  <c r="F16" i="26"/>
  <c r="F15" i="12"/>
  <c r="E16" i="12"/>
  <c r="F15" i="9"/>
  <c r="E16" i="9"/>
  <c r="F15" i="31"/>
  <c r="E16" i="31"/>
  <c r="F15" i="30"/>
  <c r="E16" i="30"/>
  <c r="F16" i="29"/>
  <c r="E17" i="29"/>
  <c r="F17" i="28"/>
  <c r="E18" i="28"/>
  <c r="E17" i="27"/>
  <c r="F16" i="27"/>
  <c r="F15" i="25"/>
  <c r="E16" i="25"/>
  <c r="F15" i="22"/>
  <c r="E16" i="22"/>
  <c r="E18" i="20"/>
  <c r="F17" i="20"/>
  <c r="E17" i="19"/>
  <c r="F16" i="19"/>
  <c r="E18" i="18"/>
  <c r="F17" i="18"/>
  <c r="E18" i="17"/>
  <c r="F17" i="17"/>
  <c r="E20" i="16"/>
  <c r="F19" i="16"/>
  <c r="E18" i="15"/>
  <c r="F17" i="15"/>
  <c r="E17" i="14"/>
  <c r="F16" i="14"/>
  <c r="E18" i="13"/>
  <c r="F17" i="13"/>
  <c r="F16" i="11"/>
  <c r="E17" i="11"/>
  <c r="F16" i="10"/>
  <c r="E17" i="10"/>
  <c r="E18" i="8"/>
  <c r="F17" i="8"/>
  <c r="F15" i="7"/>
  <c r="E16" i="7"/>
  <c r="F16" i="6"/>
  <c r="E17" i="6"/>
  <c r="E17" i="5"/>
  <c r="F16" i="5"/>
  <c r="E17" i="4"/>
  <c r="F16" i="4"/>
  <c r="F15" i="3"/>
  <c r="E16" i="3"/>
  <c r="E16" i="2"/>
  <c r="F15" i="2"/>
  <c r="F16" i="21" l="1"/>
  <c r="E17" i="21"/>
  <c r="E18" i="40"/>
  <c r="F17" i="40"/>
  <c r="F18" i="41"/>
  <c r="E19" i="41"/>
  <c r="F18" i="37"/>
  <c r="E19" i="37"/>
  <c r="F17" i="43"/>
  <c r="E18" i="43"/>
  <c r="F21" i="42"/>
  <c r="E22" i="42"/>
  <c r="F18" i="39"/>
  <c r="E19" i="39"/>
  <c r="F17" i="38"/>
  <c r="E18" i="38"/>
  <c r="F17" i="36"/>
  <c r="E18" i="36"/>
  <c r="F17" i="35"/>
  <c r="E18" i="35"/>
  <c r="F18" i="34"/>
  <c r="E19" i="34"/>
  <c r="F18" i="33"/>
  <c r="E19" i="33"/>
  <c r="F16" i="32"/>
  <c r="E17" i="32"/>
  <c r="F17" i="26"/>
  <c r="E18" i="26"/>
  <c r="E17" i="12"/>
  <c r="F16" i="12"/>
  <c r="E17" i="9"/>
  <c r="F16" i="9"/>
  <c r="E17" i="31"/>
  <c r="F16" i="31"/>
  <c r="F16" i="30"/>
  <c r="E17" i="30"/>
  <c r="E18" i="29"/>
  <c r="F17" i="29"/>
  <c r="F18" i="28"/>
  <c r="E19" i="28"/>
  <c r="F17" i="27"/>
  <c r="E18" i="27"/>
  <c r="F16" i="25"/>
  <c r="E17" i="25"/>
  <c r="E17" i="22"/>
  <c r="F16" i="22"/>
  <c r="E19" i="20"/>
  <c r="F18" i="20"/>
  <c r="E18" i="19"/>
  <c r="F17" i="19"/>
  <c r="E19" i="18"/>
  <c r="F18" i="18"/>
  <c r="F18" i="17"/>
  <c r="E19" i="17"/>
  <c r="F20" i="16"/>
  <c r="E21" i="16"/>
  <c r="E19" i="15"/>
  <c r="F18" i="15"/>
  <c r="F17" i="14"/>
  <c r="E18" i="14"/>
  <c r="E19" i="13"/>
  <c r="F18" i="13"/>
  <c r="E18" i="11"/>
  <c r="F17" i="11"/>
  <c r="E18" i="10"/>
  <c r="F17" i="10"/>
  <c r="E19" i="8"/>
  <c r="F18" i="8"/>
  <c r="E17" i="7"/>
  <c r="F16" i="7"/>
  <c r="F17" i="6"/>
  <c r="E18" i="6"/>
  <c r="F17" i="5"/>
  <c r="E18" i="5"/>
  <c r="E18" i="4"/>
  <c r="F17" i="4"/>
  <c r="E17" i="3"/>
  <c r="F16" i="3"/>
  <c r="E17" i="2"/>
  <c r="F16" i="2"/>
  <c r="E18" i="21" l="1"/>
  <c r="F17" i="21"/>
  <c r="F18" i="40"/>
  <c r="E19" i="40"/>
  <c r="F19" i="37"/>
  <c r="E20" i="37"/>
  <c r="F19" i="41"/>
  <c r="E20" i="41"/>
  <c r="F18" i="43"/>
  <c r="E19" i="43"/>
  <c r="F22" i="42"/>
  <c r="E23" i="42"/>
  <c r="F19" i="39"/>
  <c r="E20" i="39"/>
  <c r="F18" i="38"/>
  <c r="E19" i="38"/>
  <c r="F18" i="36"/>
  <c r="E19" i="36"/>
  <c r="F18" i="35"/>
  <c r="E19" i="35"/>
  <c r="F19" i="34"/>
  <c r="E20" i="34"/>
  <c r="F19" i="33"/>
  <c r="E20" i="33"/>
  <c r="F17" i="32"/>
  <c r="E18" i="32"/>
  <c r="F18" i="26"/>
  <c r="E19" i="26"/>
  <c r="E18" i="12"/>
  <c r="F17" i="12"/>
  <c r="E18" i="9"/>
  <c r="F17" i="9"/>
  <c r="E18" i="31"/>
  <c r="F17" i="31"/>
  <c r="F17" i="30"/>
  <c r="E18" i="30"/>
  <c r="E19" i="29"/>
  <c r="F18" i="29"/>
  <c r="F19" i="28"/>
  <c r="E20" i="28"/>
  <c r="F18" i="27"/>
  <c r="E19" i="27"/>
  <c r="E18" i="25"/>
  <c r="F17" i="25"/>
  <c r="E18" i="22"/>
  <c r="F17" i="22"/>
  <c r="E20" i="20"/>
  <c r="F19" i="20"/>
  <c r="E19" i="19"/>
  <c r="F18" i="19"/>
  <c r="E20" i="18"/>
  <c r="F19" i="18"/>
  <c r="F19" i="17"/>
  <c r="E20" i="17"/>
  <c r="E22" i="16"/>
  <c r="F21" i="16"/>
  <c r="E20" i="15"/>
  <c r="F19" i="15"/>
  <c r="F18" i="14"/>
  <c r="E19" i="14"/>
  <c r="E20" i="13"/>
  <c r="F19" i="13"/>
  <c r="E19" i="11"/>
  <c r="F18" i="11"/>
  <c r="E19" i="10"/>
  <c r="F18" i="10"/>
  <c r="E20" i="8"/>
  <c r="F19" i="8"/>
  <c r="E18" i="7"/>
  <c r="F17" i="7"/>
  <c r="E19" i="6"/>
  <c r="F18" i="6"/>
  <c r="F18" i="5"/>
  <c r="E19" i="5"/>
  <c r="E19" i="4"/>
  <c r="F18" i="4"/>
  <c r="E18" i="3"/>
  <c r="F17" i="3"/>
  <c r="E18" i="2"/>
  <c r="F17" i="2"/>
  <c r="F18" i="21" l="1"/>
  <c r="E19" i="21"/>
  <c r="E20" i="40"/>
  <c r="F19" i="40"/>
  <c r="F20" i="41"/>
  <c r="E21" i="41"/>
  <c r="E21" i="37"/>
  <c r="F20" i="37"/>
  <c r="F19" i="43"/>
  <c r="E20" i="43"/>
  <c r="F23" i="42"/>
  <c r="E24" i="42"/>
  <c r="E21" i="39"/>
  <c r="F20" i="39"/>
  <c r="F19" i="38"/>
  <c r="E20" i="38"/>
  <c r="F19" i="36"/>
  <c r="E20" i="36"/>
  <c r="F19" i="35"/>
  <c r="E20" i="35"/>
  <c r="E21" i="34"/>
  <c r="F20" i="34"/>
  <c r="F20" i="33"/>
  <c r="E21" i="33"/>
  <c r="F18" i="32"/>
  <c r="E19" i="32"/>
  <c r="F19" i="26"/>
  <c r="E20" i="26"/>
  <c r="E19" i="12"/>
  <c r="F18" i="12"/>
  <c r="E19" i="9"/>
  <c r="F18" i="9"/>
  <c r="F18" i="31"/>
  <c r="E19" i="31"/>
  <c r="F18" i="30"/>
  <c r="E19" i="30"/>
  <c r="E20" i="29"/>
  <c r="F19" i="29"/>
  <c r="E21" i="28"/>
  <c r="F20" i="28"/>
  <c r="F19" i="27"/>
  <c r="E20" i="27"/>
  <c r="F18" i="25"/>
  <c r="E19" i="25"/>
  <c r="E19" i="22"/>
  <c r="F18" i="22"/>
  <c r="F20" i="20"/>
  <c r="E21" i="20"/>
  <c r="E20" i="19"/>
  <c r="F19" i="19"/>
  <c r="F20" i="18"/>
  <c r="E21" i="18"/>
  <c r="E21" i="17"/>
  <c r="F20" i="17"/>
  <c r="E23" i="16"/>
  <c r="F22" i="16"/>
  <c r="F20" i="15"/>
  <c r="E21" i="15"/>
  <c r="F19" i="14"/>
  <c r="E20" i="14"/>
  <c r="F20" i="13"/>
  <c r="E21" i="13"/>
  <c r="E20" i="11"/>
  <c r="F19" i="11"/>
  <c r="E20" i="10"/>
  <c r="F19" i="10"/>
  <c r="F20" i="8"/>
  <c r="E21" i="8"/>
  <c r="E19" i="7"/>
  <c r="F18" i="7"/>
  <c r="F19" i="6"/>
  <c r="E20" i="6"/>
  <c r="F19" i="5"/>
  <c r="E20" i="5"/>
  <c r="F19" i="4"/>
  <c r="E20" i="4"/>
  <c r="E19" i="3"/>
  <c r="F18" i="3"/>
  <c r="E19" i="2"/>
  <c r="F18" i="2"/>
  <c r="F19" i="21" l="1"/>
  <c r="E20" i="21"/>
  <c r="F20" i="40"/>
  <c r="E21" i="40"/>
  <c r="E22" i="37"/>
  <c r="F21" i="37"/>
  <c r="E22" i="41"/>
  <c r="F21" i="41"/>
  <c r="E21" i="43"/>
  <c r="F20" i="43"/>
  <c r="F24" i="42"/>
  <c r="E25" i="42"/>
  <c r="E22" i="39"/>
  <c r="F21" i="39"/>
  <c r="E21" i="38"/>
  <c r="F20" i="38"/>
  <c r="F20" i="36"/>
  <c r="E21" i="36"/>
  <c r="F20" i="35"/>
  <c r="E21" i="35"/>
  <c r="E22" i="34"/>
  <c r="F21" i="34"/>
  <c r="F21" i="33"/>
  <c r="E22" i="33"/>
  <c r="F19" i="32"/>
  <c r="E20" i="32"/>
  <c r="E21" i="26"/>
  <c r="F20" i="26"/>
  <c r="E20" i="12"/>
  <c r="F19" i="12"/>
  <c r="E20" i="9"/>
  <c r="F19" i="9"/>
  <c r="F19" i="31"/>
  <c r="E20" i="31"/>
  <c r="F19" i="30"/>
  <c r="E20" i="30"/>
  <c r="F20" i="29"/>
  <c r="E21" i="29"/>
  <c r="F21" i="28"/>
  <c r="E22" i="28"/>
  <c r="E21" i="27"/>
  <c r="F20" i="27"/>
  <c r="F19" i="25"/>
  <c r="E20" i="25"/>
  <c r="E20" i="22"/>
  <c r="F19" i="22"/>
  <c r="E22" i="20"/>
  <c r="F21" i="20"/>
  <c r="F20" i="19"/>
  <c r="E21" i="19"/>
  <c r="E22" i="18"/>
  <c r="F21" i="18"/>
  <c r="E22" i="17"/>
  <c r="F21" i="17"/>
  <c r="E24" i="16"/>
  <c r="F23" i="16"/>
  <c r="E22" i="15"/>
  <c r="F21" i="15"/>
  <c r="F20" i="14"/>
  <c r="E21" i="14"/>
  <c r="E22" i="13"/>
  <c r="F21" i="13"/>
  <c r="E21" i="11"/>
  <c r="F20" i="11"/>
  <c r="F20" i="10"/>
  <c r="E21" i="10"/>
  <c r="F21" i="8"/>
  <c r="E22" i="8"/>
  <c r="E20" i="7"/>
  <c r="F19" i="7"/>
  <c r="F20" i="6"/>
  <c r="E21" i="6"/>
  <c r="F20" i="5"/>
  <c r="E21" i="5"/>
  <c r="E21" i="4"/>
  <c r="F20" i="4"/>
  <c r="E20" i="3"/>
  <c r="F19" i="3"/>
  <c r="F19" i="2"/>
  <c r="E20" i="2"/>
  <c r="E21" i="21" l="1"/>
  <c r="F20" i="21"/>
  <c r="F21" i="40"/>
  <c r="E22" i="40"/>
  <c r="E23" i="41"/>
  <c r="F22" i="41"/>
  <c r="F22" i="37"/>
  <c r="E23" i="37"/>
  <c r="E22" i="43"/>
  <c r="F21" i="43"/>
  <c r="E26" i="42"/>
  <c r="F25" i="42"/>
  <c r="F22" i="39"/>
  <c r="E23" i="39"/>
  <c r="E22" i="38"/>
  <c r="F21" i="38"/>
  <c r="F21" i="36"/>
  <c r="E22" i="36"/>
  <c r="F21" i="35"/>
  <c r="E22" i="35"/>
  <c r="F22" i="34"/>
  <c r="E23" i="34"/>
  <c r="F22" i="33"/>
  <c r="E23" i="33"/>
  <c r="F20" i="32"/>
  <c r="E21" i="32"/>
  <c r="E22" i="26"/>
  <c r="F21" i="26"/>
  <c r="F20" i="12"/>
  <c r="E21" i="12"/>
  <c r="F20" i="9"/>
  <c r="E21" i="9"/>
  <c r="E21" i="31"/>
  <c r="F20" i="31"/>
  <c r="F20" i="30"/>
  <c r="E21" i="30"/>
  <c r="E22" i="29"/>
  <c r="F21" i="29"/>
  <c r="E23" i="28"/>
  <c r="F22" i="28"/>
  <c r="F21" i="27"/>
  <c r="E22" i="27"/>
  <c r="F20" i="25"/>
  <c r="E21" i="25"/>
  <c r="F20" i="22"/>
  <c r="E21" i="22"/>
  <c r="E23" i="20"/>
  <c r="F22" i="20"/>
  <c r="E22" i="19"/>
  <c r="F21" i="19"/>
  <c r="E23" i="18"/>
  <c r="F22" i="18"/>
  <c r="F22" i="17"/>
  <c r="E23" i="17"/>
  <c r="E25" i="16"/>
  <c r="F24" i="16"/>
  <c r="E23" i="15"/>
  <c r="F22" i="15"/>
  <c r="E22" i="14"/>
  <c r="F21" i="14"/>
  <c r="E23" i="13"/>
  <c r="F22" i="13"/>
  <c r="E22" i="11"/>
  <c r="F21" i="11"/>
  <c r="E22" i="10"/>
  <c r="F21" i="10"/>
  <c r="E23" i="8"/>
  <c r="F22" i="8"/>
  <c r="F20" i="7"/>
  <c r="E21" i="7"/>
  <c r="E22" i="6"/>
  <c r="F21" i="6"/>
  <c r="E22" i="5"/>
  <c r="F21" i="5"/>
  <c r="E22" i="4"/>
  <c r="F21" i="4"/>
  <c r="F20" i="3"/>
  <c r="E21" i="3"/>
  <c r="E21" i="2"/>
  <c r="F20" i="2"/>
  <c r="E22" i="21" l="1"/>
  <c r="F21" i="21"/>
  <c r="E23" i="40"/>
  <c r="F22" i="40"/>
  <c r="F23" i="37"/>
  <c r="E24" i="37"/>
  <c r="F23" i="41"/>
  <c r="E24" i="41"/>
  <c r="F22" i="43"/>
  <c r="E23" i="43"/>
  <c r="E27" i="42"/>
  <c r="F26" i="42"/>
  <c r="F23" i="39"/>
  <c r="E24" i="39"/>
  <c r="F22" i="38"/>
  <c r="E23" i="38"/>
  <c r="F22" i="36"/>
  <c r="E23" i="36"/>
  <c r="F22" i="35"/>
  <c r="E23" i="35"/>
  <c r="F23" i="34"/>
  <c r="E24" i="34"/>
  <c r="F23" i="33"/>
  <c r="E24" i="33"/>
  <c r="F21" i="32"/>
  <c r="E22" i="32"/>
  <c r="F22" i="26"/>
  <c r="E23" i="26"/>
  <c r="E22" i="12"/>
  <c r="F21" i="12"/>
  <c r="E22" i="9"/>
  <c r="F21" i="9"/>
  <c r="E22" i="31"/>
  <c r="F21" i="31"/>
  <c r="F21" i="30"/>
  <c r="E22" i="30"/>
  <c r="F22" i="29"/>
  <c r="E23" i="29"/>
  <c r="E24" i="28"/>
  <c r="F23" i="28"/>
  <c r="F22" i="27"/>
  <c r="E23" i="27"/>
  <c r="E22" i="25"/>
  <c r="F21" i="25"/>
  <c r="E22" i="22"/>
  <c r="F21" i="22"/>
  <c r="F23" i="20"/>
  <c r="E24" i="20"/>
  <c r="E23" i="19"/>
  <c r="F22" i="19"/>
  <c r="F23" i="18"/>
  <c r="E24" i="18"/>
  <c r="F23" i="17"/>
  <c r="E24" i="17"/>
  <c r="F25" i="16"/>
  <c r="E26" i="16"/>
  <c r="F23" i="15"/>
  <c r="E24" i="15"/>
  <c r="E23" i="14"/>
  <c r="F22" i="14"/>
  <c r="F23" i="13"/>
  <c r="E24" i="13"/>
  <c r="E23" i="11"/>
  <c r="F22" i="11"/>
  <c r="E23" i="10"/>
  <c r="F22" i="10"/>
  <c r="F23" i="8"/>
  <c r="E24" i="8"/>
  <c r="E22" i="7"/>
  <c r="F21" i="7"/>
  <c r="F22" i="6"/>
  <c r="E23" i="6"/>
  <c r="E23" i="5"/>
  <c r="F22" i="5"/>
  <c r="F22" i="4"/>
  <c r="E23" i="4"/>
  <c r="F21" i="3"/>
  <c r="E22" i="3"/>
  <c r="F21" i="2"/>
  <c r="E22" i="2"/>
  <c r="E23" i="21" l="1"/>
  <c r="F22" i="21"/>
  <c r="E24" i="40"/>
  <c r="F23" i="40"/>
  <c r="F24" i="41"/>
  <c r="E25" i="41"/>
  <c r="F24" i="37"/>
  <c r="E25" i="37"/>
  <c r="F23" i="43"/>
  <c r="E24" i="43"/>
  <c r="F27" i="42"/>
  <c r="E28" i="42"/>
  <c r="F24" i="39"/>
  <c r="E25" i="39"/>
  <c r="F23" i="38"/>
  <c r="E24" i="38"/>
  <c r="F23" i="36"/>
  <c r="E24" i="36"/>
  <c r="F23" i="35"/>
  <c r="E24" i="35"/>
  <c r="F24" i="34"/>
  <c r="E25" i="34"/>
  <c r="F24" i="33"/>
  <c r="E25" i="33"/>
  <c r="F22" i="32"/>
  <c r="E23" i="32"/>
  <c r="F23" i="26"/>
  <c r="E24" i="26"/>
  <c r="E23" i="12"/>
  <c r="F22" i="12"/>
  <c r="E23" i="9"/>
  <c r="F22" i="9"/>
  <c r="E23" i="31"/>
  <c r="F22" i="31"/>
  <c r="F22" i="30"/>
  <c r="E23" i="30"/>
  <c r="E24" i="29"/>
  <c r="F23" i="29"/>
  <c r="F24" i="28"/>
  <c r="E25" i="28"/>
  <c r="E24" i="27"/>
  <c r="F23" i="27"/>
  <c r="F22" i="25"/>
  <c r="E23" i="25"/>
  <c r="F22" i="22"/>
  <c r="E23" i="22"/>
  <c r="F24" i="20"/>
  <c r="E25" i="20"/>
  <c r="F23" i="19"/>
  <c r="E24" i="19"/>
  <c r="E25" i="18"/>
  <c r="F24" i="18"/>
  <c r="F24" i="17"/>
  <c r="E25" i="17"/>
  <c r="E27" i="16"/>
  <c r="F26" i="16"/>
  <c r="F24" i="15"/>
  <c r="E25" i="15"/>
  <c r="E24" i="14"/>
  <c r="F23" i="14"/>
  <c r="E25" i="13"/>
  <c r="F24" i="13"/>
  <c r="F23" i="11"/>
  <c r="E24" i="11"/>
  <c r="F23" i="10"/>
  <c r="E24" i="10"/>
  <c r="E25" i="8"/>
  <c r="F24" i="8"/>
  <c r="E23" i="7"/>
  <c r="F22" i="7"/>
  <c r="E24" i="6"/>
  <c r="F23" i="6"/>
  <c r="F23" i="5"/>
  <c r="E24" i="5"/>
  <c r="E24" i="4"/>
  <c r="F23" i="4"/>
  <c r="E23" i="3"/>
  <c r="F22" i="3"/>
  <c r="E23" i="2"/>
  <c r="F22" i="2"/>
  <c r="E24" i="21" l="1"/>
  <c r="F23" i="21"/>
  <c r="F24" i="40"/>
  <c r="E25" i="40"/>
  <c r="E26" i="37"/>
  <c r="F25" i="37"/>
  <c r="E26" i="41"/>
  <c r="F25" i="41"/>
  <c r="F24" i="43"/>
  <c r="E25" i="43"/>
  <c r="F28" i="42"/>
  <c r="E29" i="42"/>
  <c r="F25" i="39"/>
  <c r="E26" i="39"/>
  <c r="F24" i="38"/>
  <c r="E25" i="38"/>
  <c r="F24" i="36"/>
  <c r="E25" i="36"/>
  <c r="F24" i="35"/>
  <c r="E25" i="35"/>
  <c r="E26" i="34"/>
  <c r="F25" i="34"/>
  <c r="F25" i="33"/>
  <c r="E26" i="33"/>
  <c r="F23" i="32"/>
  <c r="E24" i="32"/>
  <c r="E25" i="26"/>
  <c r="F24" i="26"/>
  <c r="F23" i="12"/>
  <c r="E24" i="12"/>
  <c r="F23" i="9"/>
  <c r="E24" i="9"/>
  <c r="F23" i="31"/>
  <c r="E24" i="31"/>
  <c r="F23" i="30"/>
  <c r="E24" i="30"/>
  <c r="F24" i="29"/>
  <c r="E25" i="29"/>
  <c r="F25" i="28"/>
  <c r="E26" i="28"/>
  <c r="E25" i="27"/>
  <c r="F24" i="27"/>
  <c r="F23" i="25"/>
  <c r="E24" i="25"/>
  <c r="F23" i="22"/>
  <c r="E24" i="22"/>
  <c r="E26" i="20"/>
  <c r="F25" i="20"/>
  <c r="E25" i="19"/>
  <c r="F24" i="19"/>
  <c r="E26" i="18"/>
  <c r="F25" i="18"/>
  <c r="E26" i="17"/>
  <c r="F25" i="17"/>
  <c r="E28" i="16"/>
  <c r="F27" i="16"/>
  <c r="E26" i="15"/>
  <c r="F25" i="15"/>
  <c r="E25" i="14"/>
  <c r="F24" i="14"/>
  <c r="E26" i="13"/>
  <c r="F25" i="13"/>
  <c r="F24" i="11"/>
  <c r="E25" i="11"/>
  <c r="F24" i="10"/>
  <c r="E25" i="10"/>
  <c r="E26" i="8"/>
  <c r="F25" i="8"/>
  <c r="F23" i="7"/>
  <c r="E24" i="7"/>
  <c r="F24" i="6"/>
  <c r="E25" i="6"/>
  <c r="F24" i="5"/>
  <c r="E25" i="5"/>
  <c r="E25" i="4"/>
  <c r="F24" i="4"/>
  <c r="F23" i="3"/>
  <c r="E24" i="3"/>
  <c r="F23" i="2"/>
  <c r="E24" i="2"/>
  <c r="E25" i="21" l="1"/>
  <c r="F24" i="21"/>
  <c r="E26" i="40"/>
  <c r="F25" i="40"/>
  <c r="F26" i="41"/>
  <c r="E27" i="41"/>
  <c r="F26" i="37"/>
  <c r="E27" i="37"/>
  <c r="F25" i="43"/>
  <c r="E26" i="43"/>
  <c r="F29" i="42"/>
  <c r="E30" i="42"/>
  <c r="F26" i="39"/>
  <c r="E27" i="39"/>
  <c r="F25" i="38"/>
  <c r="E26" i="38"/>
  <c r="F25" i="36"/>
  <c r="E26" i="36"/>
  <c r="F25" i="35"/>
  <c r="E26" i="35"/>
  <c r="F26" i="34"/>
  <c r="E27" i="34"/>
  <c r="F26" i="33"/>
  <c r="E27" i="33"/>
  <c r="F24" i="32"/>
  <c r="E25" i="32"/>
  <c r="F25" i="26"/>
  <c r="E26" i="26"/>
  <c r="E25" i="12"/>
  <c r="F24" i="12"/>
  <c r="E25" i="9"/>
  <c r="F24" i="9"/>
  <c r="E25" i="31"/>
  <c r="F24" i="31"/>
  <c r="F24" i="30"/>
  <c r="E25" i="30"/>
  <c r="E26" i="29"/>
  <c r="F25" i="29"/>
  <c r="F26" i="28"/>
  <c r="E27" i="28"/>
  <c r="F25" i="27"/>
  <c r="E26" i="27"/>
  <c r="F24" i="25"/>
  <c r="E25" i="25"/>
  <c r="E25" i="22"/>
  <c r="F24" i="22"/>
  <c r="F26" i="20"/>
  <c r="E27" i="20"/>
  <c r="E26" i="19"/>
  <c r="F25" i="19"/>
  <c r="E27" i="18"/>
  <c r="F26" i="18"/>
  <c r="E27" i="17"/>
  <c r="F26" i="17"/>
  <c r="F28" i="16"/>
  <c r="E29" i="16"/>
  <c r="E27" i="15"/>
  <c r="F26" i="15"/>
  <c r="E26" i="14"/>
  <c r="F25" i="14"/>
  <c r="F26" i="13"/>
  <c r="E27" i="13"/>
  <c r="E26" i="11"/>
  <c r="F25" i="11"/>
  <c r="E26" i="10"/>
  <c r="F25" i="10"/>
  <c r="F26" i="8"/>
  <c r="E27" i="8"/>
  <c r="F24" i="7"/>
  <c r="E25" i="7"/>
  <c r="F25" i="6"/>
  <c r="E26" i="6"/>
  <c r="F25" i="5"/>
  <c r="E26" i="5"/>
  <c r="E26" i="4"/>
  <c r="F25" i="4"/>
  <c r="E25" i="3"/>
  <c r="F24" i="3"/>
  <c r="F24" i="2"/>
  <c r="E25" i="2"/>
  <c r="F25" i="21" l="1"/>
  <c r="E26" i="21"/>
  <c r="F26" i="40"/>
  <c r="E27" i="40"/>
  <c r="F27" i="37"/>
  <c r="E28" i="37"/>
  <c r="F27" i="41"/>
  <c r="E28" i="41"/>
  <c r="F26" i="43"/>
  <c r="E27" i="43"/>
  <c r="F30" i="42"/>
  <c r="E31" i="42"/>
  <c r="F27" i="39"/>
  <c r="E28" i="39"/>
  <c r="F26" i="38"/>
  <c r="E27" i="38"/>
  <c r="F26" i="36"/>
  <c r="E27" i="36"/>
  <c r="F26" i="35"/>
  <c r="E27" i="35"/>
  <c r="F27" i="34"/>
  <c r="E28" i="34"/>
  <c r="F27" i="33"/>
  <c r="E28" i="33"/>
  <c r="F25" i="32"/>
  <c r="E26" i="32"/>
  <c r="F26" i="26"/>
  <c r="E27" i="26"/>
  <c r="E26" i="12"/>
  <c r="F25" i="12"/>
  <c r="E26" i="9"/>
  <c r="F25" i="9"/>
  <c r="E26" i="31"/>
  <c r="F25" i="31"/>
  <c r="F25" i="30"/>
  <c r="E26" i="30"/>
  <c r="F26" i="29"/>
  <c r="E27" i="29"/>
  <c r="F27" i="28"/>
  <c r="E28" i="28"/>
  <c r="F26" i="27"/>
  <c r="E27" i="27"/>
  <c r="E26" i="25"/>
  <c r="F25" i="25"/>
  <c r="E26" i="22"/>
  <c r="F25" i="22"/>
  <c r="E28" i="20"/>
  <c r="F27" i="20"/>
  <c r="E27" i="19"/>
  <c r="F26" i="19"/>
  <c r="E28" i="18"/>
  <c r="F27" i="18"/>
  <c r="F27" i="17"/>
  <c r="E28" i="17"/>
  <c r="E30" i="16"/>
  <c r="F29" i="16"/>
  <c r="E28" i="15"/>
  <c r="F27" i="15"/>
  <c r="F26" i="14"/>
  <c r="E27" i="14"/>
  <c r="F27" i="13"/>
  <c r="E28" i="13"/>
  <c r="F26" i="11"/>
  <c r="E27" i="11"/>
  <c r="E27" i="10"/>
  <c r="F26" i="10"/>
  <c r="E28" i="8"/>
  <c r="F27" i="8"/>
  <c r="E26" i="7"/>
  <c r="F25" i="7"/>
  <c r="E27" i="6"/>
  <c r="F26" i="6"/>
  <c r="E27" i="5"/>
  <c r="F26" i="5"/>
  <c r="E27" i="4"/>
  <c r="F26" i="4"/>
  <c r="E26" i="3"/>
  <c r="F25" i="3"/>
  <c r="E26" i="2"/>
  <c r="F25" i="2"/>
  <c r="E27" i="21" l="1"/>
  <c r="F26" i="21"/>
  <c r="F27" i="40"/>
  <c r="E28" i="40"/>
  <c r="F28" i="41"/>
  <c r="E29" i="41"/>
  <c r="E29" i="37"/>
  <c r="F28" i="37"/>
  <c r="F27" i="43"/>
  <c r="E28" i="43"/>
  <c r="E32" i="42"/>
  <c r="F31" i="42"/>
  <c r="E29" i="39"/>
  <c r="F28" i="39"/>
  <c r="F27" i="38"/>
  <c r="E28" i="38"/>
  <c r="F27" i="36"/>
  <c r="E28" i="36"/>
  <c r="F27" i="35"/>
  <c r="E28" i="35"/>
  <c r="E29" i="34"/>
  <c r="F28" i="34"/>
  <c r="F28" i="33"/>
  <c r="E29" i="33"/>
  <c r="F26" i="32"/>
  <c r="E27" i="32"/>
  <c r="F27" i="26"/>
  <c r="E28" i="26"/>
  <c r="E27" i="12"/>
  <c r="F26" i="12"/>
  <c r="E27" i="9"/>
  <c r="F26" i="9"/>
  <c r="F26" i="31"/>
  <c r="E27" i="31"/>
  <c r="F26" i="30"/>
  <c r="E27" i="30"/>
  <c r="E28" i="29"/>
  <c r="F27" i="29"/>
  <c r="F28" i="28"/>
  <c r="E29" i="28"/>
  <c r="F27" i="27"/>
  <c r="E28" i="27"/>
  <c r="F26" i="25"/>
  <c r="E27" i="25"/>
  <c r="E27" i="22"/>
  <c r="F26" i="22"/>
  <c r="E29" i="20"/>
  <c r="F28" i="20"/>
  <c r="F27" i="19"/>
  <c r="E28" i="19"/>
  <c r="F28" i="18"/>
  <c r="E29" i="18"/>
  <c r="F28" i="17"/>
  <c r="E29" i="17"/>
  <c r="E31" i="16"/>
  <c r="F30" i="16"/>
  <c r="F28" i="15"/>
  <c r="E29" i="15"/>
  <c r="E28" i="14"/>
  <c r="F27" i="14"/>
  <c r="F28" i="13"/>
  <c r="E29" i="13"/>
  <c r="E28" i="11"/>
  <c r="F27" i="11"/>
  <c r="E28" i="10"/>
  <c r="F27" i="10"/>
  <c r="F28" i="8"/>
  <c r="E29" i="8"/>
  <c r="E27" i="7"/>
  <c r="F26" i="7"/>
  <c r="F27" i="6"/>
  <c r="E28" i="6"/>
  <c r="F27" i="5"/>
  <c r="E28" i="5"/>
  <c r="F27" i="4"/>
  <c r="E28" i="4"/>
  <c r="E27" i="3"/>
  <c r="F26" i="3"/>
  <c r="E27" i="2"/>
  <c r="F26" i="2"/>
  <c r="F27" i="21" l="1"/>
  <c r="E28" i="21"/>
  <c r="F28" i="40"/>
  <c r="E29" i="40"/>
  <c r="E30" i="37"/>
  <c r="F29" i="37"/>
  <c r="E30" i="41"/>
  <c r="F29" i="41"/>
  <c r="E29" i="43"/>
  <c r="F28" i="43"/>
  <c r="F32" i="42"/>
  <c r="E33" i="42"/>
  <c r="E30" i="39"/>
  <c r="F29" i="39"/>
  <c r="E29" i="38"/>
  <c r="F28" i="38"/>
  <c r="F28" i="36"/>
  <c r="E29" i="36"/>
  <c r="F28" i="35"/>
  <c r="E29" i="35"/>
  <c r="E30" i="34"/>
  <c r="F29" i="34"/>
  <c r="F29" i="33"/>
  <c r="E30" i="33"/>
  <c r="F27" i="32"/>
  <c r="E28" i="32"/>
  <c r="E29" i="26"/>
  <c r="F28" i="26"/>
  <c r="E28" i="12"/>
  <c r="F27" i="12"/>
  <c r="F27" i="9"/>
  <c r="E28" i="9"/>
  <c r="F27" i="31"/>
  <c r="E28" i="31"/>
  <c r="F27" i="30"/>
  <c r="E28" i="30"/>
  <c r="F28" i="29"/>
  <c r="E29" i="29"/>
  <c r="F29" i="28"/>
  <c r="E30" i="28"/>
  <c r="E29" i="27"/>
  <c r="F28" i="27"/>
  <c r="F27" i="25"/>
  <c r="E28" i="25"/>
  <c r="F27" i="22"/>
  <c r="E28" i="22"/>
  <c r="F29" i="20"/>
  <c r="E30" i="20"/>
  <c r="F28" i="19"/>
  <c r="E29" i="19"/>
  <c r="F29" i="18"/>
  <c r="E30" i="18"/>
  <c r="E30" i="17"/>
  <c r="F29" i="17"/>
  <c r="E32" i="16"/>
  <c r="F31" i="16"/>
  <c r="E30" i="15"/>
  <c r="F29" i="15"/>
  <c r="F28" i="14"/>
  <c r="E29" i="14"/>
  <c r="E30" i="13"/>
  <c r="F29" i="13"/>
  <c r="F28" i="11"/>
  <c r="E29" i="11"/>
  <c r="E29" i="10"/>
  <c r="F28" i="10"/>
  <c r="E30" i="8"/>
  <c r="F29" i="8"/>
  <c r="E28" i="7"/>
  <c r="F27" i="7"/>
  <c r="E29" i="6"/>
  <c r="F28" i="6"/>
  <c r="F28" i="5"/>
  <c r="E29" i="5"/>
  <c r="E29" i="4"/>
  <c r="F28" i="4"/>
  <c r="E28" i="3"/>
  <c r="F27" i="3"/>
  <c r="E28" i="2"/>
  <c r="F27" i="2"/>
  <c r="F28" i="21" l="1"/>
  <c r="E29" i="21"/>
  <c r="E30" i="40"/>
  <c r="F29" i="40"/>
  <c r="E31" i="41"/>
  <c r="F30" i="41"/>
  <c r="F30" i="37"/>
  <c r="E31" i="37"/>
  <c r="E30" i="43"/>
  <c r="F29" i="43"/>
  <c r="E34" i="42"/>
  <c r="F33" i="42"/>
  <c r="F30" i="39"/>
  <c r="E31" i="39"/>
  <c r="E30" i="38"/>
  <c r="F29" i="38"/>
  <c r="F29" i="36"/>
  <c r="E30" i="36"/>
  <c r="F29" i="35"/>
  <c r="E30" i="35"/>
  <c r="F30" i="34"/>
  <c r="E31" i="34"/>
  <c r="F30" i="33"/>
  <c r="E31" i="33"/>
  <c r="F28" i="32"/>
  <c r="E29" i="32"/>
  <c r="E30" i="26"/>
  <c r="F29" i="26"/>
  <c r="F28" i="12"/>
  <c r="E29" i="12"/>
  <c r="E29" i="9"/>
  <c r="F28" i="9"/>
  <c r="E29" i="31"/>
  <c r="F28" i="31"/>
  <c r="F28" i="30"/>
  <c r="E29" i="30"/>
  <c r="E30" i="29"/>
  <c r="F29" i="29"/>
  <c r="E31" i="28"/>
  <c r="F30" i="28"/>
  <c r="F29" i="27"/>
  <c r="E30" i="27"/>
  <c r="F28" i="25"/>
  <c r="E29" i="25"/>
  <c r="F28" i="22"/>
  <c r="E29" i="22"/>
  <c r="E31" i="20"/>
  <c r="F30" i="20"/>
  <c r="E30" i="19"/>
  <c r="F29" i="19"/>
  <c r="E31" i="18"/>
  <c r="F30" i="18"/>
  <c r="F30" i="17"/>
  <c r="E31" i="17"/>
  <c r="E33" i="16"/>
  <c r="F32" i="16"/>
  <c r="E31" i="15"/>
  <c r="F30" i="15"/>
  <c r="E30" i="14"/>
  <c r="F29" i="14"/>
  <c r="E31" i="13"/>
  <c r="F30" i="13"/>
  <c r="F29" i="11"/>
  <c r="E30" i="11"/>
  <c r="F29" i="10"/>
  <c r="E30" i="10"/>
  <c r="E31" i="8"/>
  <c r="F30" i="8"/>
  <c r="F28" i="7"/>
  <c r="E29" i="7"/>
  <c r="E30" i="6"/>
  <c r="F29" i="6"/>
  <c r="E30" i="5"/>
  <c r="F29" i="5"/>
  <c r="E30" i="4"/>
  <c r="F29" i="4"/>
  <c r="F28" i="3"/>
  <c r="E29" i="3"/>
  <c r="F28" i="2"/>
  <c r="E29" i="2"/>
  <c r="E30" i="21" l="1"/>
  <c r="F29" i="21"/>
  <c r="E31" i="40"/>
  <c r="F30" i="40"/>
  <c r="F31" i="37"/>
  <c r="E32" i="37"/>
  <c r="F31" i="41"/>
  <c r="E32" i="41"/>
  <c r="F30" i="43"/>
  <c r="E31" i="43"/>
  <c r="E35" i="42"/>
  <c r="F34" i="42"/>
  <c r="F31" i="39"/>
  <c r="E32" i="39"/>
  <c r="F30" i="38"/>
  <c r="E31" i="38"/>
  <c r="F30" i="36"/>
  <c r="E31" i="36"/>
  <c r="F30" i="35"/>
  <c r="E31" i="35"/>
  <c r="F31" i="34"/>
  <c r="E32" i="34"/>
  <c r="F31" i="33"/>
  <c r="E32" i="33"/>
  <c r="F29" i="32"/>
  <c r="E30" i="32"/>
  <c r="F30" i="26"/>
  <c r="E31" i="26"/>
  <c r="F29" i="12"/>
  <c r="E30" i="12"/>
  <c r="E30" i="9"/>
  <c r="F29" i="9"/>
  <c r="E30" i="31"/>
  <c r="F29" i="31"/>
  <c r="F29" i="30"/>
  <c r="E30" i="30"/>
  <c r="E31" i="29"/>
  <c r="F30" i="29"/>
  <c r="E32" i="28"/>
  <c r="F31" i="28"/>
  <c r="F30" i="27"/>
  <c r="E31" i="27"/>
  <c r="E30" i="25"/>
  <c r="F29" i="25"/>
  <c r="E30" i="22"/>
  <c r="F29" i="22"/>
  <c r="F31" i="20"/>
  <c r="E32" i="20"/>
  <c r="F30" i="19"/>
  <c r="E31" i="19"/>
  <c r="F31" i="18"/>
  <c r="E32" i="18"/>
  <c r="F31" i="17"/>
  <c r="E32" i="17"/>
  <c r="F33" i="16"/>
  <c r="E34" i="16"/>
  <c r="F31" i="15"/>
  <c r="E32" i="15"/>
  <c r="E31" i="14"/>
  <c r="F30" i="14"/>
  <c r="F31" i="13"/>
  <c r="E32" i="13"/>
  <c r="E31" i="11"/>
  <c r="F30" i="11"/>
  <c r="E31" i="10"/>
  <c r="F30" i="10"/>
  <c r="F31" i="8"/>
  <c r="E32" i="8"/>
  <c r="F29" i="7"/>
  <c r="E30" i="7"/>
  <c r="F30" i="6"/>
  <c r="E31" i="6"/>
  <c r="E31" i="5"/>
  <c r="F30" i="5"/>
  <c r="F30" i="4"/>
  <c r="E31" i="4"/>
  <c r="F29" i="3"/>
  <c r="E30" i="3"/>
  <c r="E30" i="2"/>
  <c r="F29" i="2"/>
  <c r="E31" i="21" l="1"/>
  <c r="F30" i="21"/>
  <c r="F31" i="40"/>
  <c r="E32" i="40"/>
  <c r="F32" i="41"/>
  <c r="E33" i="41"/>
  <c r="F32" i="37"/>
  <c r="E33" i="37"/>
  <c r="F31" i="43"/>
  <c r="E32" i="43"/>
  <c r="F35" i="42"/>
  <c r="E36" i="42"/>
  <c r="F32" i="39"/>
  <c r="E33" i="39"/>
  <c r="F31" i="38"/>
  <c r="E32" i="38"/>
  <c r="F31" i="36"/>
  <c r="E32" i="36"/>
  <c r="F31" i="35"/>
  <c r="E32" i="35"/>
  <c r="F32" i="34"/>
  <c r="E33" i="34"/>
  <c r="F32" i="33"/>
  <c r="E33" i="33"/>
  <c r="F30" i="32"/>
  <c r="E31" i="32"/>
  <c r="E32" i="26"/>
  <c r="F31" i="26"/>
  <c r="F30" i="12"/>
  <c r="E31" i="12"/>
  <c r="E31" i="9"/>
  <c r="F30" i="9"/>
  <c r="E31" i="31"/>
  <c r="F30" i="31"/>
  <c r="F30" i="30"/>
  <c r="E31" i="30"/>
  <c r="E32" i="29"/>
  <c r="F31" i="29"/>
  <c r="F32" i="28"/>
  <c r="E33" i="28"/>
  <c r="E32" i="27"/>
  <c r="F31" i="27"/>
  <c r="F30" i="25"/>
  <c r="E31" i="25"/>
  <c r="F30" i="22"/>
  <c r="E31" i="22"/>
  <c r="F32" i="20"/>
  <c r="E33" i="20"/>
  <c r="F31" i="19"/>
  <c r="E32" i="19"/>
  <c r="E33" i="18"/>
  <c r="F32" i="18"/>
  <c r="F32" i="17"/>
  <c r="E33" i="17"/>
  <c r="E35" i="16"/>
  <c r="F34" i="16"/>
  <c r="F32" i="15"/>
  <c r="E33" i="15"/>
  <c r="E32" i="14"/>
  <c r="F31" i="14"/>
  <c r="E33" i="13"/>
  <c r="F32" i="13"/>
  <c r="F31" i="11"/>
  <c r="E32" i="11"/>
  <c r="F31" i="10"/>
  <c r="E32" i="10"/>
  <c r="E33" i="8"/>
  <c r="F32" i="8"/>
  <c r="E31" i="7"/>
  <c r="F30" i="7"/>
  <c r="E32" i="6"/>
  <c r="F31" i="6"/>
  <c r="E32" i="5"/>
  <c r="F31" i="5"/>
  <c r="E32" i="4"/>
  <c r="F31" i="4"/>
  <c r="E31" i="3"/>
  <c r="F30" i="3"/>
  <c r="E31" i="2"/>
  <c r="F30" i="2"/>
  <c r="E32" i="21" l="1"/>
  <c r="F31" i="21"/>
  <c r="F32" i="40"/>
  <c r="E33" i="40"/>
  <c r="E34" i="37"/>
  <c r="F33" i="37"/>
  <c r="E34" i="41"/>
  <c r="F33" i="41"/>
  <c r="F32" i="43"/>
  <c r="E33" i="43"/>
  <c r="F36" i="42"/>
  <c r="E37" i="42"/>
  <c r="F33" i="39"/>
  <c r="E34" i="39"/>
  <c r="F32" i="38"/>
  <c r="E33" i="38"/>
  <c r="F32" i="36"/>
  <c r="E33" i="36"/>
  <c r="F32" i="35"/>
  <c r="E33" i="35"/>
  <c r="E34" i="34"/>
  <c r="F33" i="34"/>
  <c r="F33" i="33"/>
  <c r="E34" i="33"/>
  <c r="F31" i="32"/>
  <c r="E32" i="32"/>
  <c r="F32" i="26"/>
  <c r="E33" i="26"/>
  <c r="F31" i="12"/>
  <c r="E32" i="12"/>
  <c r="F31" i="9"/>
  <c r="E32" i="9"/>
  <c r="F31" i="31"/>
  <c r="E32" i="31"/>
  <c r="F31" i="30"/>
  <c r="E32" i="30"/>
  <c r="F32" i="29"/>
  <c r="E33" i="29"/>
  <c r="F33" i="28"/>
  <c r="E34" i="28"/>
  <c r="E33" i="27"/>
  <c r="F32" i="27"/>
  <c r="F31" i="25"/>
  <c r="E32" i="25"/>
  <c r="F31" i="22"/>
  <c r="E32" i="22"/>
  <c r="E34" i="20"/>
  <c r="F33" i="20"/>
  <c r="F32" i="19"/>
  <c r="E33" i="19"/>
  <c r="E34" i="18"/>
  <c r="F33" i="18"/>
  <c r="E34" i="17"/>
  <c r="F33" i="17"/>
  <c r="E36" i="16"/>
  <c r="F35" i="16"/>
  <c r="E34" i="15"/>
  <c r="F33" i="15"/>
  <c r="E33" i="14"/>
  <c r="F32" i="14"/>
  <c r="E34" i="13"/>
  <c r="F33" i="13"/>
  <c r="E33" i="11"/>
  <c r="F32" i="11"/>
  <c r="E33" i="10"/>
  <c r="F32" i="10"/>
  <c r="E34" i="8"/>
  <c r="F33" i="8"/>
  <c r="F31" i="7"/>
  <c r="E32" i="7"/>
  <c r="F32" i="6"/>
  <c r="E33" i="6"/>
  <c r="E33" i="5"/>
  <c r="F32" i="5"/>
  <c r="E33" i="4"/>
  <c r="F32" i="4"/>
  <c r="F31" i="3"/>
  <c r="E32" i="3"/>
  <c r="F31" i="2"/>
  <c r="E32" i="2"/>
  <c r="F32" i="21" l="1"/>
  <c r="E33" i="21"/>
  <c r="F33" i="40"/>
  <c r="E34" i="40"/>
  <c r="F34" i="41"/>
  <c r="E35" i="41"/>
  <c r="F34" i="37"/>
  <c r="E35" i="37"/>
  <c r="F33" i="43"/>
  <c r="E34" i="43"/>
  <c r="F37" i="42"/>
  <c r="E38" i="42"/>
  <c r="F34" i="39"/>
  <c r="E35" i="39"/>
  <c r="F33" i="38"/>
  <c r="E34" i="38"/>
  <c r="F33" i="36"/>
  <c r="E34" i="36"/>
  <c r="F33" i="35"/>
  <c r="E34" i="35"/>
  <c r="F34" i="34"/>
  <c r="E35" i="34"/>
  <c r="F34" i="33"/>
  <c r="E35" i="33"/>
  <c r="F32" i="32"/>
  <c r="E33" i="32"/>
  <c r="F33" i="26"/>
  <c r="E34" i="26"/>
  <c r="E33" i="12"/>
  <c r="F32" i="12"/>
  <c r="F32" i="9"/>
  <c r="E33" i="9"/>
  <c r="E33" i="31"/>
  <c r="F32" i="31"/>
  <c r="F32" i="30"/>
  <c r="E33" i="30"/>
  <c r="E34" i="29"/>
  <c r="F33" i="29"/>
  <c r="F34" i="28"/>
  <c r="E35" i="28"/>
  <c r="F33" i="27"/>
  <c r="E34" i="27"/>
  <c r="F32" i="25"/>
  <c r="E33" i="25"/>
  <c r="E33" i="22"/>
  <c r="F32" i="22"/>
  <c r="F34" i="20"/>
  <c r="E35" i="20"/>
  <c r="E34" i="19"/>
  <c r="F33" i="19"/>
  <c r="E35" i="18"/>
  <c r="F34" i="18"/>
  <c r="E35" i="17"/>
  <c r="F34" i="17"/>
  <c r="F36" i="16"/>
  <c r="E37" i="16"/>
  <c r="E35" i="15"/>
  <c r="F34" i="15"/>
  <c r="E34" i="14"/>
  <c r="F33" i="14"/>
  <c r="F34" i="13"/>
  <c r="E35" i="13"/>
  <c r="E34" i="11"/>
  <c r="F33" i="11"/>
  <c r="E34" i="10"/>
  <c r="F33" i="10"/>
  <c r="E35" i="8"/>
  <c r="F34" i="8"/>
  <c r="E33" i="7"/>
  <c r="F32" i="7"/>
  <c r="F33" i="6"/>
  <c r="E34" i="6"/>
  <c r="F33" i="5"/>
  <c r="E34" i="5"/>
  <c r="E34" i="4"/>
  <c r="F33" i="4"/>
  <c r="F32" i="3"/>
  <c r="E33" i="3"/>
  <c r="E33" i="2"/>
  <c r="F32" i="2"/>
  <c r="F33" i="21" l="1"/>
  <c r="E34" i="21"/>
  <c r="E35" i="40"/>
  <c r="F34" i="40"/>
  <c r="F35" i="37"/>
  <c r="E36" i="37"/>
  <c r="F35" i="41"/>
  <c r="E36" i="41"/>
  <c r="F34" i="43"/>
  <c r="E35" i="43"/>
  <c r="F38" i="42"/>
  <c r="E39" i="42"/>
  <c r="F35" i="39"/>
  <c r="E36" i="39"/>
  <c r="F34" i="38"/>
  <c r="E35" i="38"/>
  <c r="F34" i="36"/>
  <c r="E35" i="36"/>
  <c r="F34" i="35"/>
  <c r="E35" i="35"/>
  <c r="F35" i="34"/>
  <c r="E36" i="34"/>
  <c r="F35" i="33"/>
  <c r="E36" i="33"/>
  <c r="F33" i="32"/>
  <c r="E34" i="32"/>
  <c r="F34" i="26"/>
  <c r="E35" i="26"/>
  <c r="E34" i="12"/>
  <c r="F33" i="12"/>
  <c r="F33" i="9"/>
  <c r="E34" i="9"/>
  <c r="E34" i="31"/>
  <c r="F33" i="31"/>
  <c r="F33" i="30"/>
  <c r="E34" i="30"/>
  <c r="F34" i="29"/>
  <c r="E35" i="29"/>
  <c r="F35" i="28"/>
  <c r="E36" i="28"/>
  <c r="F34" i="27"/>
  <c r="E35" i="27"/>
  <c r="E34" i="25"/>
  <c r="F33" i="25"/>
  <c r="E34" i="22"/>
  <c r="F33" i="22"/>
  <c r="E36" i="20"/>
  <c r="F35" i="20"/>
  <c r="E35" i="19"/>
  <c r="F34" i="19"/>
  <c r="E36" i="18"/>
  <c r="F35" i="18"/>
  <c r="F35" i="17"/>
  <c r="E36" i="17"/>
  <c r="E38" i="16"/>
  <c r="F37" i="16"/>
  <c r="F35" i="15"/>
  <c r="E36" i="15"/>
  <c r="F34" i="14"/>
  <c r="E35" i="14"/>
  <c r="E36" i="13"/>
  <c r="F35" i="13"/>
  <c r="F34" i="11"/>
  <c r="E35" i="11"/>
  <c r="E35" i="10"/>
  <c r="F34" i="10"/>
  <c r="E36" i="8"/>
  <c r="F35" i="8"/>
  <c r="E34" i="7"/>
  <c r="F33" i="7"/>
  <c r="E35" i="6"/>
  <c r="F34" i="6"/>
  <c r="E35" i="5"/>
  <c r="F34" i="5"/>
  <c r="E35" i="4"/>
  <c r="F34" i="4"/>
  <c r="E34" i="3"/>
  <c r="F33" i="3"/>
  <c r="E34" i="2"/>
  <c r="F33" i="2"/>
  <c r="F34" i="21" l="1"/>
  <c r="E35" i="21"/>
  <c r="E36" i="40"/>
  <c r="F35" i="40"/>
  <c r="F36" i="41"/>
  <c r="E37" i="41"/>
  <c r="E37" i="37"/>
  <c r="F36" i="37"/>
  <c r="F35" i="43"/>
  <c r="E36" i="43"/>
  <c r="E40" i="42"/>
  <c r="F39" i="42"/>
  <c r="E37" i="39"/>
  <c r="F36" i="39"/>
  <c r="F35" i="38"/>
  <c r="E36" i="38"/>
  <c r="F35" i="36"/>
  <c r="E36" i="36"/>
  <c r="F35" i="35"/>
  <c r="E36" i="35"/>
  <c r="E37" i="34"/>
  <c r="F36" i="34"/>
  <c r="F36" i="33"/>
  <c r="E37" i="33"/>
  <c r="F34" i="32"/>
  <c r="E35" i="32"/>
  <c r="F35" i="26"/>
  <c r="E36" i="26"/>
  <c r="E35" i="12"/>
  <c r="F34" i="12"/>
  <c r="E35" i="9"/>
  <c r="F34" i="9"/>
  <c r="F34" i="31"/>
  <c r="E35" i="31"/>
  <c r="F34" i="30"/>
  <c r="E35" i="30"/>
  <c r="E36" i="29"/>
  <c r="F35" i="29"/>
  <c r="F36" i="28"/>
  <c r="E37" i="28"/>
  <c r="F35" i="27"/>
  <c r="E36" i="27"/>
  <c r="F34" i="25"/>
  <c r="E35" i="25"/>
  <c r="E35" i="22"/>
  <c r="F34" i="22"/>
  <c r="E37" i="20"/>
  <c r="F36" i="20"/>
  <c r="E36" i="19"/>
  <c r="F35" i="19"/>
  <c r="F36" i="18"/>
  <c r="E37" i="18"/>
  <c r="E37" i="17"/>
  <c r="F36" i="17"/>
  <c r="E39" i="16"/>
  <c r="F38" i="16"/>
  <c r="F36" i="15"/>
  <c r="E37" i="15"/>
  <c r="E36" i="14"/>
  <c r="F35" i="14"/>
  <c r="F36" i="13"/>
  <c r="E37" i="13"/>
  <c r="E36" i="11"/>
  <c r="F35" i="11"/>
  <c r="E36" i="10"/>
  <c r="F35" i="10"/>
  <c r="F36" i="8"/>
  <c r="E37" i="8"/>
  <c r="E35" i="7"/>
  <c r="F34" i="7"/>
  <c r="F35" i="6"/>
  <c r="E36" i="6"/>
  <c r="E36" i="5"/>
  <c r="F35" i="5"/>
  <c r="F35" i="4"/>
  <c r="E36" i="4"/>
  <c r="F34" i="3"/>
  <c r="E35" i="3"/>
  <c r="E35" i="2"/>
  <c r="F34" i="2"/>
  <c r="E36" i="21" l="1"/>
  <c r="F35" i="21"/>
  <c r="F36" i="40"/>
  <c r="E37" i="40"/>
  <c r="E38" i="37"/>
  <c r="F37" i="37"/>
  <c r="E38" i="41"/>
  <c r="F37" i="41"/>
  <c r="E37" i="43"/>
  <c r="F36" i="43"/>
  <c r="F40" i="42"/>
  <c r="E41" i="42"/>
  <c r="E38" i="39"/>
  <c r="F37" i="39"/>
  <c r="E37" i="38"/>
  <c r="F36" i="38"/>
  <c r="F36" i="36"/>
  <c r="E37" i="36"/>
  <c r="F36" i="35"/>
  <c r="E37" i="35"/>
  <c r="E38" i="34"/>
  <c r="F37" i="34"/>
  <c r="F37" i="33"/>
  <c r="E38" i="33"/>
  <c r="F35" i="32"/>
  <c r="E36" i="32"/>
  <c r="E37" i="26"/>
  <c r="F36" i="26"/>
  <c r="E36" i="12"/>
  <c r="F35" i="12"/>
  <c r="E36" i="9"/>
  <c r="F35" i="9"/>
  <c r="F35" i="31"/>
  <c r="E36" i="31"/>
  <c r="F35" i="30"/>
  <c r="E36" i="30"/>
  <c r="F36" i="29"/>
  <c r="E37" i="29"/>
  <c r="F37" i="28"/>
  <c r="E38" i="28"/>
  <c r="E37" i="27"/>
  <c r="F36" i="27"/>
  <c r="F35" i="25"/>
  <c r="E36" i="25"/>
  <c r="E36" i="22"/>
  <c r="F35" i="22"/>
  <c r="F37" i="20"/>
  <c r="E38" i="20"/>
  <c r="F36" i="19"/>
  <c r="E37" i="19"/>
  <c r="F37" i="18"/>
  <c r="E38" i="18"/>
  <c r="E38" i="17"/>
  <c r="F37" i="17"/>
  <c r="E40" i="16"/>
  <c r="F39" i="16"/>
  <c r="E38" i="15"/>
  <c r="F37" i="15"/>
  <c r="F36" i="14"/>
  <c r="E37" i="14"/>
  <c r="E38" i="13"/>
  <c r="F37" i="13"/>
  <c r="E37" i="11"/>
  <c r="F36" i="11"/>
  <c r="E37" i="10"/>
  <c r="F36" i="10"/>
  <c r="F37" i="8"/>
  <c r="E38" i="8"/>
  <c r="E36" i="7"/>
  <c r="F35" i="7"/>
  <c r="F36" i="6"/>
  <c r="E37" i="6"/>
  <c r="F36" i="5"/>
  <c r="E37" i="5"/>
  <c r="E37" i="4"/>
  <c r="F36" i="4"/>
  <c r="F35" i="3"/>
  <c r="E36" i="3"/>
  <c r="E36" i="2"/>
  <c r="F35" i="2"/>
  <c r="F36" i="21" l="1"/>
  <c r="E37" i="21"/>
  <c r="E38" i="40"/>
  <c r="F37" i="40"/>
  <c r="E39" i="41"/>
  <c r="F38" i="41"/>
  <c r="F38" i="37"/>
  <c r="E39" i="37"/>
  <c r="E38" i="43"/>
  <c r="F37" i="43"/>
  <c r="E42" i="42"/>
  <c r="F41" i="42"/>
  <c r="F38" i="39"/>
  <c r="E39" i="39"/>
  <c r="E38" i="38"/>
  <c r="F37" i="38"/>
  <c r="F37" i="36"/>
  <c r="E38" i="36"/>
  <c r="F37" i="35"/>
  <c r="E38" i="35"/>
  <c r="F38" i="34"/>
  <c r="E39" i="34"/>
  <c r="F38" i="33"/>
  <c r="E39" i="33"/>
  <c r="F36" i="32"/>
  <c r="E37" i="32"/>
  <c r="E38" i="26"/>
  <c r="F37" i="26"/>
  <c r="F36" i="12"/>
  <c r="E37" i="12"/>
  <c r="F36" i="9"/>
  <c r="E37" i="9"/>
  <c r="E37" i="31"/>
  <c r="F36" i="31"/>
  <c r="F36" i="30"/>
  <c r="E37" i="30"/>
  <c r="E38" i="29"/>
  <c r="F37" i="29"/>
  <c r="E39" i="28"/>
  <c r="F38" i="28"/>
  <c r="F37" i="27"/>
  <c r="E38" i="27"/>
  <c r="F36" i="25"/>
  <c r="E37" i="25"/>
  <c r="F36" i="22"/>
  <c r="E37" i="22"/>
  <c r="E39" i="20"/>
  <c r="F38" i="20"/>
  <c r="E38" i="19"/>
  <c r="F37" i="19"/>
  <c r="E39" i="18"/>
  <c r="F38" i="18"/>
  <c r="E39" i="17"/>
  <c r="F38" i="17"/>
  <c r="E41" i="16"/>
  <c r="F40" i="16"/>
  <c r="E39" i="15"/>
  <c r="F38" i="15"/>
  <c r="E38" i="14"/>
  <c r="F37" i="14"/>
  <c r="E39" i="13"/>
  <c r="F38" i="13"/>
  <c r="F37" i="11"/>
  <c r="E38" i="11"/>
  <c r="E38" i="10"/>
  <c r="F37" i="10"/>
  <c r="E39" i="8"/>
  <c r="F38" i="8"/>
  <c r="F36" i="7"/>
  <c r="E37" i="7"/>
  <c r="E38" i="6"/>
  <c r="F37" i="6"/>
  <c r="E38" i="5"/>
  <c r="F37" i="5"/>
  <c r="E38" i="4"/>
  <c r="F37" i="4"/>
  <c r="F36" i="3"/>
  <c r="E37" i="3"/>
  <c r="F36" i="2"/>
  <c r="E37" i="2"/>
  <c r="F37" i="21" l="1"/>
  <c r="E38" i="21"/>
  <c r="E39" i="40"/>
  <c r="F38" i="40"/>
  <c r="F39" i="37"/>
  <c r="E40" i="37"/>
  <c r="F39" i="41"/>
  <c r="E40" i="41"/>
  <c r="F38" i="43"/>
  <c r="E39" i="43"/>
  <c r="E43" i="42"/>
  <c r="F42" i="42"/>
  <c r="E40" i="39"/>
  <c r="F39" i="39"/>
  <c r="F38" i="38"/>
  <c r="E39" i="38"/>
  <c r="F38" i="36"/>
  <c r="E39" i="36"/>
  <c r="F38" i="35"/>
  <c r="E39" i="35"/>
  <c r="F39" i="34"/>
  <c r="E40" i="34"/>
  <c r="F39" i="33"/>
  <c r="E40" i="33"/>
  <c r="F37" i="32"/>
  <c r="E38" i="32"/>
  <c r="F38" i="26"/>
  <c r="E39" i="26"/>
  <c r="E38" i="12"/>
  <c r="F37" i="12"/>
  <c r="F37" i="9"/>
  <c r="E38" i="9"/>
  <c r="E38" i="31"/>
  <c r="F37" i="31"/>
  <c r="F37" i="30"/>
  <c r="E38" i="30"/>
  <c r="F38" i="29"/>
  <c r="E39" i="29"/>
  <c r="E40" i="28"/>
  <c r="F39" i="28"/>
  <c r="E39" i="27"/>
  <c r="F38" i="27"/>
  <c r="E38" i="25"/>
  <c r="F37" i="25"/>
  <c r="E38" i="22"/>
  <c r="F37" i="22"/>
  <c r="F39" i="20"/>
  <c r="E40" i="20"/>
  <c r="F38" i="19"/>
  <c r="E39" i="19"/>
  <c r="F39" i="18"/>
  <c r="E40" i="18"/>
  <c r="F39" i="17"/>
  <c r="E40" i="17"/>
  <c r="F41" i="16"/>
  <c r="E42" i="16"/>
  <c r="F39" i="15"/>
  <c r="E40" i="15"/>
  <c r="E39" i="14"/>
  <c r="F38" i="14"/>
  <c r="F39" i="13"/>
  <c r="E40" i="13"/>
  <c r="E39" i="11"/>
  <c r="F38" i="11"/>
  <c r="E39" i="10"/>
  <c r="F38" i="10"/>
  <c r="F39" i="8"/>
  <c r="E40" i="8"/>
  <c r="F37" i="7"/>
  <c r="E38" i="7"/>
  <c r="F38" i="6"/>
  <c r="E39" i="6"/>
  <c r="E39" i="5"/>
  <c r="F38" i="5"/>
  <c r="F38" i="4"/>
  <c r="E39" i="4"/>
  <c r="F37" i="3"/>
  <c r="E38" i="3"/>
  <c r="F37" i="2"/>
  <c r="E38" i="2"/>
  <c r="E39" i="21" l="1"/>
  <c r="F38" i="21"/>
  <c r="F39" i="40"/>
  <c r="E40" i="40"/>
  <c r="F40" i="41"/>
  <c r="E41" i="41"/>
  <c r="F40" i="37"/>
  <c r="E41" i="37"/>
  <c r="F39" i="43"/>
  <c r="E40" i="43"/>
  <c r="F43" i="42"/>
  <c r="E44" i="42"/>
  <c r="F40" i="39"/>
  <c r="E41" i="39"/>
  <c r="F39" i="38"/>
  <c r="E40" i="38"/>
  <c r="F39" i="36"/>
  <c r="E40" i="36"/>
  <c r="F39" i="35"/>
  <c r="E40" i="35"/>
  <c r="F40" i="34"/>
  <c r="E41" i="34"/>
  <c r="F40" i="33"/>
  <c r="E41" i="33"/>
  <c r="F38" i="32"/>
  <c r="E39" i="32"/>
  <c r="F39" i="26"/>
  <c r="E40" i="26"/>
  <c r="E39" i="12"/>
  <c r="F38" i="12"/>
  <c r="E39" i="9"/>
  <c r="F38" i="9"/>
  <c r="E39" i="31"/>
  <c r="F38" i="31"/>
  <c r="F38" i="30"/>
  <c r="E39" i="30"/>
  <c r="E40" i="29"/>
  <c r="F39" i="29"/>
  <c r="F40" i="28"/>
  <c r="E41" i="28"/>
  <c r="E40" i="27"/>
  <c r="F39" i="27"/>
  <c r="F38" i="25"/>
  <c r="E39" i="25"/>
  <c r="F38" i="22"/>
  <c r="E39" i="22"/>
  <c r="F40" i="20"/>
  <c r="E41" i="20"/>
  <c r="F39" i="19"/>
  <c r="E40" i="19"/>
  <c r="E41" i="18"/>
  <c r="F40" i="18"/>
  <c r="E41" i="17"/>
  <c r="F40" i="17"/>
  <c r="E43" i="16"/>
  <c r="F42" i="16"/>
  <c r="F40" i="15"/>
  <c r="E41" i="15"/>
  <c r="F39" i="14"/>
  <c r="E40" i="14"/>
  <c r="F40" i="13"/>
  <c r="E41" i="13"/>
  <c r="F39" i="11"/>
  <c r="E40" i="11"/>
  <c r="F39" i="10"/>
  <c r="E40" i="10"/>
  <c r="E41" i="8"/>
  <c r="F40" i="8"/>
  <c r="E39" i="7"/>
  <c r="F38" i="7"/>
  <c r="E40" i="6"/>
  <c r="F39" i="6"/>
  <c r="E40" i="5"/>
  <c r="F39" i="5"/>
  <c r="E40" i="4"/>
  <c r="F39" i="4"/>
  <c r="E39" i="3"/>
  <c r="F38" i="3"/>
  <c r="F38" i="2"/>
  <c r="E39" i="2"/>
  <c r="E40" i="21" l="1"/>
  <c r="F39" i="21"/>
  <c r="F40" i="40"/>
  <c r="E41" i="40"/>
  <c r="E42" i="37"/>
  <c r="F41" i="37"/>
  <c r="F41" i="41"/>
  <c r="E42" i="41"/>
  <c r="F40" i="43"/>
  <c r="E41" i="43"/>
  <c r="F44" i="42"/>
  <c r="E45" i="42"/>
  <c r="F41" i="39"/>
  <c r="E42" i="39"/>
  <c r="F40" i="38"/>
  <c r="E41" i="38"/>
  <c r="F40" i="36"/>
  <c r="E41" i="36"/>
  <c r="F40" i="35"/>
  <c r="E41" i="35"/>
  <c r="E42" i="34"/>
  <c r="F41" i="34"/>
  <c r="F41" i="33"/>
  <c r="E42" i="33"/>
  <c r="E40" i="32"/>
  <c r="F39" i="32"/>
  <c r="F40" i="26"/>
  <c r="E41" i="26"/>
  <c r="F39" i="12"/>
  <c r="E40" i="12"/>
  <c r="E40" i="9"/>
  <c r="F39" i="9"/>
  <c r="F39" i="31"/>
  <c r="E40" i="31"/>
  <c r="F39" i="30"/>
  <c r="E40" i="30"/>
  <c r="F40" i="29"/>
  <c r="E41" i="29"/>
  <c r="F41" i="28"/>
  <c r="E42" i="28"/>
  <c r="E41" i="27"/>
  <c r="F40" i="27"/>
  <c r="F39" i="25"/>
  <c r="E40" i="25"/>
  <c r="F39" i="22"/>
  <c r="E40" i="22"/>
  <c r="E42" i="20"/>
  <c r="F41" i="20"/>
  <c r="E41" i="19"/>
  <c r="F40" i="19"/>
  <c r="E42" i="18"/>
  <c r="F41" i="18"/>
  <c r="E42" i="17"/>
  <c r="F41" i="17"/>
  <c r="E44" i="16"/>
  <c r="F43" i="16"/>
  <c r="E42" i="15"/>
  <c r="F41" i="15"/>
  <c r="E41" i="14"/>
  <c r="F40" i="14"/>
  <c r="E42" i="13"/>
  <c r="F41" i="13"/>
  <c r="E41" i="11"/>
  <c r="F40" i="11"/>
  <c r="F40" i="10"/>
  <c r="E41" i="10"/>
  <c r="E42" i="8"/>
  <c r="F41" i="8"/>
  <c r="F39" i="7"/>
  <c r="E40" i="7"/>
  <c r="F40" i="6"/>
  <c r="E41" i="6"/>
  <c r="E41" i="5"/>
  <c r="F40" i="5"/>
  <c r="E41" i="4"/>
  <c r="F40" i="4"/>
  <c r="F39" i="3"/>
  <c r="E40" i="3"/>
  <c r="F39" i="2"/>
  <c r="E40" i="2"/>
  <c r="E41" i="21" l="1"/>
  <c r="F40" i="21"/>
  <c r="F41" i="40"/>
  <c r="E42" i="40"/>
  <c r="E43" i="41"/>
  <c r="F42" i="41"/>
  <c r="F42" i="37"/>
  <c r="E43" i="37"/>
  <c r="F41" i="43"/>
  <c r="E42" i="43"/>
  <c r="F45" i="42"/>
  <c r="E46" i="42"/>
  <c r="F42" i="39"/>
  <c r="E43" i="39"/>
  <c r="F41" i="38"/>
  <c r="E42" i="38"/>
  <c r="F41" i="36"/>
  <c r="E42" i="36"/>
  <c r="F41" i="35"/>
  <c r="E42" i="35"/>
  <c r="F42" i="34"/>
  <c r="E43" i="34"/>
  <c r="F42" i="33"/>
  <c r="E43" i="33"/>
  <c r="F40" i="32"/>
  <c r="E41" i="32"/>
  <c r="F41" i="26"/>
  <c r="E42" i="26"/>
  <c r="E41" i="12"/>
  <c r="F40" i="12"/>
  <c r="E41" i="9"/>
  <c r="F40" i="9"/>
  <c r="E41" i="31"/>
  <c r="F40" i="31"/>
  <c r="F40" i="30"/>
  <c r="E41" i="30"/>
  <c r="E42" i="29"/>
  <c r="F41" i="29"/>
  <c r="F42" i="28"/>
  <c r="E43" i="28"/>
  <c r="F41" i="27"/>
  <c r="E42" i="27"/>
  <c r="F40" i="25"/>
  <c r="E41" i="25"/>
  <c r="E41" i="22"/>
  <c r="F40" i="22"/>
  <c r="F42" i="20"/>
  <c r="E43" i="20"/>
  <c r="E42" i="19"/>
  <c r="F41" i="19"/>
  <c r="E43" i="18"/>
  <c r="F42" i="18"/>
  <c r="E43" i="17"/>
  <c r="F42" i="17"/>
  <c r="F44" i="16"/>
  <c r="E45" i="16"/>
  <c r="E43" i="15"/>
  <c r="F42" i="15"/>
  <c r="F41" i="14"/>
  <c r="E42" i="14"/>
  <c r="F42" i="13"/>
  <c r="E43" i="13"/>
  <c r="E42" i="11"/>
  <c r="F41" i="11"/>
  <c r="E42" i="10"/>
  <c r="F41" i="10"/>
  <c r="F42" i="8"/>
  <c r="E43" i="8"/>
  <c r="E41" i="7"/>
  <c r="F40" i="7"/>
  <c r="F41" i="6"/>
  <c r="E42" i="6"/>
  <c r="F41" i="5"/>
  <c r="E42" i="5"/>
  <c r="F41" i="4"/>
  <c r="E42" i="4"/>
  <c r="F40" i="3"/>
  <c r="E41" i="3"/>
  <c r="F40" i="2"/>
  <c r="E41" i="2"/>
  <c r="F41" i="21" l="1"/>
  <c r="E42" i="21"/>
  <c r="E43" i="40"/>
  <c r="F42" i="40"/>
  <c r="F43" i="37"/>
  <c r="E44" i="37"/>
  <c r="E44" i="41"/>
  <c r="F43" i="41"/>
  <c r="F42" i="43"/>
  <c r="E43" i="43"/>
  <c r="F46" i="42"/>
  <c r="E47" i="42"/>
  <c r="F43" i="39"/>
  <c r="E44" i="39"/>
  <c r="F42" i="38"/>
  <c r="E43" i="38"/>
  <c r="F42" i="36"/>
  <c r="E43" i="36"/>
  <c r="F42" i="35"/>
  <c r="E43" i="35"/>
  <c r="F43" i="34"/>
  <c r="E44" i="34"/>
  <c r="F43" i="33"/>
  <c r="E44" i="33"/>
  <c r="E42" i="32"/>
  <c r="F41" i="32"/>
  <c r="F42" i="26"/>
  <c r="E43" i="26"/>
  <c r="E42" i="12"/>
  <c r="F41" i="12"/>
  <c r="E42" i="9"/>
  <c r="F41" i="9"/>
  <c r="E42" i="31"/>
  <c r="F41" i="31"/>
  <c r="F41" i="30"/>
  <c r="E42" i="30"/>
  <c r="F42" i="29"/>
  <c r="E43" i="29"/>
  <c r="F43" i="28"/>
  <c r="E44" i="28"/>
  <c r="F42" i="27"/>
  <c r="E43" i="27"/>
  <c r="F41" i="25"/>
  <c r="E42" i="25"/>
  <c r="E42" i="22"/>
  <c r="F41" i="22"/>
  <c r="E44" i="20"/>
  <c r="F43" i="20"/>
  <c r="E43" i="19"/>
  <c r="F42" i="19"/>
  <c r="E44" i="18"/>
  <c r="F43" i="18"/>
  <c r="F43" i="17"/>
  <c r="E44" i="17"/>
  <c r="E46" i="16"/>
  <c r="F45" i="16"/>
  <c r="E44" i="15"/>
  <c r="F43" i="15"/>
  <c r="F42" i="14"/>
  <c r="E43" i="14"/>
  <c r="E44" i="13"/>
  <c r="F43" i="13"/>
  <c r="E43" i="11"/>
  <c r="F42" i="11"/>
  <c r="E43" i="10"/>
  <c r="F42" i="10"/>
  <c r="E44" i="8"/>
  <c r="F43" i="8"/>
  <c r="E42" i="7"/>
  <c r="F41" i="7"/>
  <c r="E43" i="6"/>
  <c r="F42" i="6"/>
  <c r="F42" i="5"/>
  <c r="E43" i="5"/>
  <c r="E43" i="4"/>
  <c r="F42" i="4"/>
  <c r="E42" i="3"/>
  <c r="F41" i="3"/>
  <c r="E42" i="2"/>
  <c r="F41" i="2"/>
  <c r="E43" i="21" l="1"/>
  <c r="F42" i="21"/>
  <c r="E44" i="40"/>
  <c r="F43" i="40"/>
  <c r="F44" i="41"/>
  <c r="E45" i="41"/>
  <c r="E45" i="37"/>
  <c r="F44" i="37"/>
  <c r="F43" i="43"/>
  <c r="E44" i="43"/>
  <c r="E48" i="42"/>
  <c r="F47" i="42"/>
  <c r="E45" i="39"/>
  <c r="F44" i="39"/>
  <c r="F43" i="38"/>
  <c r="E44" i="38"/>
  <c r="F43" i="36"/>
  <c r="E44" i="36"/>
  <c r="F43" i="35"/>
  <c r="E44" i="35"/>
  <c r="E45" i="34"/>
  <c r="F44" i="34"/>
  <c r="F44" i="33"/>
  <c r="E45" i="33"/>
  <c r="F42" i="32"/>
  <c r="E43" i="32"/>
  <c r="E44" i="26"/>
  <c r="F43" i="26"/>
  <c r="E43" i="12"/>
  <c r="F42" i="12"/>
  <c r="E43" i="9"/>
  <c r="F42" i="9"/>
  <c r="F42" i="31"/>
  <c r="E43" i="31"/>
  <c r="F42" i="30"/>
  <c r="E43" i="30"/>
  <c r="E44" i="29"/>
  <c r="F43" i="29"/>
  <c r="E45" i="28"/>
  <c r="F44" i="28"/>
  <c r="F43" i="27"/>
  <c r="E44" i="27"/>
  <c r="F42" i="25"/>
  <c r="E43" i="25"/>
  <c r="E43" i="22"/>
  <c r="F42" i="22"/>
  <c r="E45" i="20"/>
  <c r="F44" i="20"/>
  <c r="E44" i="19"/>
  <c r="F43" i="19"/>
  <c r="F44" i="18"/>
  <c r="E45" i="18"/>
  <c r="E45" i="17"/>
  <c r="F44" i="17"/>
  <c r="E47" i="16"/>
  <c r="F46" i="16"/>
  <c r="F44" i="15"/>
  <c r="E45" i="15"/>
  <c r="E44" i="14"/>
  <c r="F43" i="14"/>
  <c r="F44" i="13"/>
  <c r="E45" i="13"/>
  <c r="E44" i="11"/>
  <c r="F43" i="11"/>
  <c r="E44" i="10"/>
  <c r="F43" i="10"/>
  <c r="F44" i="8"/>
  <c r="E45" i="8"/>
  <c r="E43" i="7"/>
  <c r="F42" i="7"/>
  <c r="F43" i="6"/>
  <c r="E44" i="6"/>
  <c r="E44" i="5"/>
  <c r="F43" i="5"/>
  <c r="F43" i="4"/>
  <c r="E44" i="4"/>
  <c r="F42" i="3"/>
  <c r="E43" i="3"/>
  <c r="E43" i="2"/>
  <c r="F42" i="2"/>
  <c r="E44" i="21" l="1"/>
  <c r="F43" i="21"/>
  <c r="F44" i="40"/>
  <c r="E45" i="40"/>
  <c r="E46" i="37"/>
  <c r="F45" i="37"/>
  <c r="E46" i="41"/>
  <c r="F45" i="41"/>
  <c r="E45" i="43"/>
  <c r="F44" i="43"/>
  <c r="F48" i="42"/>
  <c r="E49" i="42"/>
  <c r="E46" i="39"/>
  <c r="F45" i="39"/>
  <c r="E45" i="38"/>
  <c r="F44" i="38"/>
  <c r="F44" i="36"/>
  <c r="E45" i="36"/>
  <c r="F44" i="35"/>
  <c r="E45" i="35"/>
  <c r="E46" i="34"/>
  <c r="F45" i="34"/>
  <c r="F45" i="33"/>
  <c r="E46" i="33"/>
  <c r="E44" i="32"/>
  <c r="F43" i="32"/>
  <c r="E45" i="26"/>
  <c r="F44" i="26"/>
  <c r="E44" i="12"/>
  <c r="F43" i="12"/>
  <c r="E44" i="9"/>
  <c r="F43" i="9"/>
  <c r="F43" i="31"/>
  <c r="E44" i="31"/>
  <c r="F43" i="30"/>
  <c r="E44" i="30"/>
  <c r="F44" i="29"/>
  <c r="E45" i="29"/>
  <c r="F45" i="28"/>
  <c r="E46" i="28"/>
  <c r="E45" i="27"/>
  <c r="F44" i="27"/>
  <c r="F43" i="25"/>
  <c r="E44" i="25"/>
  <c r="E44" i="22"/>
  <c r="F43" i="22"/>
  <c r="F45" i="20"/>
  <c r="E46" i="20"/>
  <c r="F44" i="19"/>
  <c r="E45" i="19"/>
  <c r="E46" i="18"/>
  <c r="F45" i="18"/>
  <c r="E46" i="17"/>
  <c r="F45" i="17"/>
  <c r="E48" i="16"/>
  <c r="F47" i="16"/>
  <c r="E46" i="15"/>
  <c r="F45" i="15"/>
  <c r="F44" i="14"/>
  <c r="E45" i="14"/>
  <c r="E46" i="13"/>
  <c r="F45" i="13"/>
  <c r="E45" i="11"/>
  <c r="F44" i="11"/>
  <c r="F44" i="10"/>
  <c r="E45" i="10"/>
  <c r="F45" i="8"/>
  <c r="E46" i="8"/>
  <c r="E44" i="7"/>
  <c r="F43" i="7"/>
  <c r="F44" i="6"/>
  <c r="E45" i="6"/>
  <c r="F44" i="5"/>
  <c r="E45" i="5"/>
  <c r="E45" i="4"/>
  <c r="F44" i="4"/>
  <c r="E44" i="3"/>
  <c r="F43" i="3"/>
  <c r="E44" i="2"/>
  <c r="F43" i="2"/>
  <c r="E45" i="21" l="1"/>
  <c r="F44" i="21"/>
  <c r="E46" i="40"/>
  <c r="F45" i="40"/>
  <c r="E47" i="41"/>
  <c r="F46" i="41"/>
  <c r="F46" i="37"/>
  <c r="E47" i="37"/>
  <c r="E46" i="43"/>
  <c r="F45" i="43"/>
  <c r="E50" i="42"/>
  <c r="F49" i="42"/>
  <c r="F46" i="39"/>
  <c r="E47" i="39"/>
  <c r="E46" i="38"/>
  <c r="F45" i="38"/>
  <c r="F45" i="36"/>
  <c r="E46" i="36"/>
  <c r="F45" i="35"/>
  <c r="E46" i="35"/>
  <c r="F46" i="34"/>
  <c r="E47" i="34"/>
  <c r="F46" i="33"/>
  <c r="E47" i="33"/>
  <c r="F44" i="32"/>
  <c r="E45" i="32"/>
  <c r="E46" i="26"/>
  <c r="F45" i="26"/>
  <c r="F44" i="12"/>
  <c r="E45" i="12"/>
  <c r="E45" i="9"/>
  <c r="F44" i="9"/>
  <c r="E45" i="31"/>
  <c r="F44" i="31"/>
  <c r="F44" i="30"/>
  <c r="E45" i="30"/>
  <c r="E46" i="29"/>
  <c r="F45" i="29"/>
  <c r="E47" i="28"/>
  <c r="F46" i="28"/>
  <c r="F45" i="27"/>
  <c r="E46" i="27"/>
  <c r="F44" i="25"/>
  <c r="E45" i="25"/>
  <c r="F44" i="22"/>
  <c r="E45" i="22"/>
  <c r="E47" i="20"/>
  <c r="F46" i="20"/>
  <c r="E46" i="19"/>
  <c r="F45" i="19"/>
  <c r="E47" i="18"/>
  <c r="F46" i="18"/>
  <c r="F46" i="17"/>
  <c r="E47" i="17"/>
  <c r="E49" i="16"/>
  <c r="F48" i="16"/>
  <c r="E47" i="15"/>
  <c r="F46" i="15"/>
  <c r="E46" i="14"/>
  <c r="F45" i="14"/>
  <c r="F46" i="13"/>
  <c r="E47" i="13"/>
  <c r="F45" i="11"/>
  <c r="E46" i="11"/>
  <c r="E46" i="10"/>
  <c r="F45" i="10"/>
  <c r="E47" i="8"/>
  <c r="F46" i="8"/>
  <c r="F44" i="7"/>
  <c r="E45" i="7"/>
  <c r="E46" i="6"/>
  <c r="F45" i="6"/>
  <c r="E46" i="5"/>
  <c r="F45" i="5"/>
  <c r="E46" i="4"/>
  <c r="F45" i="4"/>
  <c r="F44" i="3"/>
  <c r="E45" i="3"/>
  <c r="F44" i="2"/>
  <c r="E45" i="2"/>
  <c r="E46" i="21" l="1"/>
  <c r="F45" i="21"/>
  <c r="F46" i="40"/>
  <c r="E47" i="40"/>
  <c r="F47" i="37"/>
  <c r="E48" i="37"/>
  <c r="F47" i="41"/>
  <c r="E48" i="41"/>
  <c r="F46" i="43"/>
  <c r="E47" i="43"/>
  <c r="E51" i="42"/>
  <c r="F50" i="42"/>
  <c r="E48" i="39"/>
  <c r="F47" i="39"/>
  <c r="F46" i="38"/>
  <c r="E47" i="38"/>
  <c r="F46" i="36"/>
  <c r="E47" i="36"/>
  <c r="F46" i="35"/>
  <c r="E47" i="35"/>
  <c r="F47" i="34"/>
  <c r="E48" i="34"/>
  <c r="F47" i="33"/>
  <c r="E48" i="33"/>
  <c r="F45" i="32"/>
  <c r="E46" i="32"/>
  <c r="F46" i="26"/>
  <c r="E47" i="26"/>
  <c r="F45" i="12"/>
  <c r="E46" i="12"/>
  <c r="F45" i="9"/>
  <c r="E46" i="9"/>
  <c r="E46" i="31"/>
  <c r="F45" i="31"/>
  <c r="F45" i="30"/>
  <c r="E46" i="30"/>
  <c r="F46" i="29"/>
  <c r="E47" i="29"/>
  <c r="E48" i="28"/>
  <c r="F47" i="28"/>
  <c r="E47" i="27"/>
  <c r="F46" i="27"/>
  <c r="F45" i="25"/>
  <c r="E46" i="25"/>
  <c r="E46" i="22"/>
  <c r="F45" i="22"/>
  <c r="F47" i="20"/>
  <c r="E48" i="20"/>
  <c r="F46" i="19"/>
  <c r="E47" i="19"/>
  <c r="F47" i="18"/>
  <c r="E48" i="18"/>
  <c r="F47" i="17"/>
  <c r="E48" i="17"/>
  <c r="F49" i="16"/>
  <c r="E50" i="16"/>
  <c r="F47" i="15"/>
  <c r="E48" i="15"/>
  <c r="E47" i="14"/>
  <c r="F46" i="14"/>
  <c r="F47" i="13"/>
  <c r="E48" i="13"/>
  <c r="E47" i="11"/>
  <c r="F46" i="11"/>
  <c r="E47" i="10"/>
  <c r="F46" i="10"/>
  <c r="F47" i="8"/>
  <c r="E48" i="8"/>
  <c r="E46" i="7"/>
  <c r="F45" i="7"/>
  <c r="E47" i="6"/>
  <c r="F46" i="6"/>
  <c r="E47" i="5"/>
  <c r="F46" i="5"/>
  <c r="F46" i="4"/>
  <c r="E47" i="4"/>
  <c r="F45" i="3"/>
  <c r="E46" i="3"/>
  <c r="E46" i="2"/>
  <c r="F45" i="2"/>
  <c r="F46" i="21" l="1"/>
  <c r="E47" i="21"/>
  <c r="F47" i="40"/>
  <c r="E48" i="40"/>
  <c r="F48" i="41"/>
  <c r="E49" i="41"/>
  <c r="F48" i="37"/>
  <c r="E49" i="37"/>
  <c r="F47" i="43"/>
  <c r="E48" i="43"/>
  <c r="F51" i="42"/>
  <c r="E52" i="42"/>
  <c r="F48" i="39"/>
  <c r="E49" i="39"/>
  <c r="F47" i="38"/>
  <c r="E48" i="38"/>
  <c r="F47" i="36"/>
  <c r="E48" i="36"/>
  <c r="F47" i="35"/>
  <c r="E48" i="35"/>
  <c r="F48" i="34"/>
  <c r="E49" i="34"/>
  <c r="F48" i="33"/>
  <c r="E49" i="33"/>
  <c r="F46" i="32"/>
  <c r="E47" i="32"/>
  <c r="F47" i="26"/>
  <c r="E48" i="26"/>
  <c r="E47" i="12"/>
  <c r="F46" i="12"/>
  <c r="F46" i="9"/>
  <c r="E47" i="9"/>
  <c r="E47" i="31"/>
  <c r="F46" i="31"/>
  <c r="F46" i="30"/>
  <c r="E47" i="30"/>
  <c r="E48" i="29"/>
  <c r="F47" i="29"/>
  <c r="F48" i="28"/>
  <c r="E49" i="28"/>
  <c r="E48" i="27"/>
  <c r="F47" i="27"/>
  <c r="F46" i="25"/>
  <c r="E47" i="25"/>
  <c r="F46" i="22"/>
  <c r="E47" i="22"/>
  <c r="F48" i="20"/>
  <c r="E49" i="20"/>
  <c r="F47" i="19"/>
  <c r="E48" i="19"/>
  <c r="E49" i="18"/>
  <c r="F48" i="18"/>
  <c r="F48" i="17"/>
  <c r="E49" i="17"/>
  <c r="E51" i="16"/>
  <c r="F50" i="16"/>
  <c r="F48" i="15"/>
  <c r="E49" i="15"/>
  <c r="E48" i="14"/>
  <c r="F47" i="14"/>
  <c r="E49" i="13"/>
  <c r="F48" i="13"/>
  <c r="F47" i="11"/>
  <c r="E48" i="11"/>
  <c r="F47" i="10"/>
  <c r="E48" i="10"/>
  <c r="E49" i="8"/>
  <c r="F48" i="8"/>
  <c r="E47" i="7"/>
  <c r="F46" i="7"/>
  <c r="E48" i="6"/>
  <c r="F47" i="6"/>
  <c r="E48" i="5"/>
  <c r="F47" i="5"/>
  <c r="E48" i="4"/>
  <c r="F47" i="4"/>
  <c r="E47" i="3"/>
  <c r="F46" i="3"/>
  <c r="E47" i="2"/>
  <c r="F46" i="2"/>
  <c r="F47" i="21" l="1"/>
  <c r="E48" i="21"/>
  <c r="F48" i="40"/>
  <c r="E49" i="40"/>
  <c r="E50" i="37"/>
  <c r="F49" i="37"/>
  <c r="F49" i="41"/>
  <c r="E50" i="41"/>
  <c r="F48" i="43"/>
  <c r="E49" i="43"/>
  <c r="F52" i="42"/>
  <c r="E53" i="42"/>
  <c r="F49" i="39"/>
  <c r="E50" i="39"/>
  <c r="F48" i="38"/>
  <c r="E49" i="38"/>
  <c r="F48" i="36"/>
  <c r="E49" i="36"/>
  <c r="F48" i="35"/>
  <c r="E49" i="35"/>
  <c r="E50" i="34"/>
  <c r="F49" i="34"/>
  <c r="F49" i="33"/>
  <c r="E50" i="33"/>
  <c r="F47" i="32"/>
  <c r="E48" i="32"/>
  <c r="F48" i="26"/>
  <c r="E49" i="26"/>
  <c r="F47" i="12"/>
  <c r="E48" i="12"/>
  <c r="E48" i="9"/>
  <c r="F47" i="9"/>
  <c r="F47" i="31"/>
  <c r="E48" i="31"/>
  <c r="F47" i="30"/>
  <c r="E48" i="30"/>
  <c r="F48" i="29"/>
  <c r="E49" i="29"/>
  <c r="F49" i="28"/>
  <c r="E50" i="28"/>
  <c r="E49" i="27"/>
  <c r="F48" i="27"/>
  <c r="F47" i="25"/>
  <c r="E48" i="25"/>
  <c r="F47" i="22"/>
  <c r="E48" i="22"/>
  <c r="E50" i="20"/>
  <c r="F49" i="20"/>
  <c r="E49" i="19"/>
  <c r="F48" i="19"/>
  <c r="E50" i="18"/>
  <c r="F49" i="18"/>
  <c r="E50" i="17"/>
  <c r="F49" i="17"/>
  <c r="E52" i="16"/>
  <c r="F51" i="16"/>
  <c r="E50" i="15"/>
  <c r="F49" i="15"/>
  <c r="E49" i="14"/>
  <c r="F48" i="14"/>
  <c r="E50" i="13"/>
  <c r="F49" i="13"/>
  <c r="F48" i="11"/>
  <c r="E49" i="11"/>
  <c r="F48" i="10"/>
  <c r="E49" i="10"/>
  <c r="E50" i="8"/>
  <c r="F49" i="8"/>
  <c r="F47" i="7"/>
  <c r="E48" i="7"/>
  <c r="F48" i="6"/>
  <c r="E49" i="6"/>
  <c r="E49" i="5"/>
  <c r="F48" i="5"/>
  <c r="E49" i="4"/>
  <c r="F48" i="4"/>
  <c r="F47" i="3"/>
  <c r="E48" i="3"/>
  <c r="F47" i="2"/>
  <c r="E48" i="2"/>
  <c r="F48" i="21" l="1"/>
  <c r="E49" i="21"/>
  <c r="E50" i="40"/>
  <c r="F49" i="40"/>
  <c r="E51" i="41"/>
  <c r="F50" i="41"/>
  <c r="F50" i="37"/>
  <c r="E51" i="37"/>
  <c r="F49" i="43"/>
  <c r="E50" i="43"/>
  <c r="F53" i="42"/>
  <c r="E54" i="42"/>
  <c r="F50" i="39"/>
  <c r="E51" i="39"/>
  <c r="F49" i="38"/>
  <c r="E50" i="38"/>
  <c r="F49" i="36"/>
  <c r="E50" i="36"/>
  <c r="F49" i="35"/>
  <c r="E50" i="35"/>
  <c r="F50" i="34"/>
  <c r="E51" i="34"/>
  <c r="F50" i="33"/>
  <c r="E51" i="33"/>
  <c r="F48" i="32"/>
  <c r="E49" i="32"/>
  <c r="F49" i="26"/>
  <c r="E50" i="26"/>
  <c r="E49" i="12"/>
  <c r="F48" i="12"/>
  <c r="E49" i="9"/>
  <c r="F48" i="9"/>
  <c r="E49" i="31"/>
  <c r="F48" i="31"/>
  <c r="F48" i="30"/>
  <c r="E49" i="30"/>
  <c r="E50" i="29"/>
  <c r="F49" i="29"/>
  <c r="F50" i="28"/>
  <c r="E51" i="28"/>
  <c r="F49" i="27"/>
  <c r="E50" i="27"/>
  <c r="F48" i="25"/>
  <c r="E49" i="25"/>
  <c r="E49" i="22"/>
  <c r="F48" i="22"/>
  <c r="E51" i="20"/>
  <c r="F50" i="20"/>
  <c r="E50" i="19"/>
  <c r="F49" i="19"/>
  <c r="F50" i="18"/>
  <c r="E51" i="18"/>
  <c r="E51" i="17"/>
  <c r="F50" i="17"/>
  <c r="F52" i="16"/>
  <c r="E53" i="16"/>
  <c r="E51" i="15"/>
  <c r="F50" i="15"/>
  <c r="F49" i="14"/>
  <c r="E50" i="14"/>
  <c r="F50" i="13"/>
  <c r="E51" i="13"/>
  <c r="E50" i="11"/>
  <c r="F49" i="11"/>
  <c r="E50" i="10"/>
  <c r="F49" i="10"/>
  <c r="E51" i="8"/>
  <c r="F50" i="8"/>
  <c r="F48" i="7"/>
  <c r="E49" i="7"/>
  <c r="E50" i="6"/>
  <c r="F49" i="6"/>
  <c r="F49" i="5"/>
  <c r="E50" i="5"/>
  <c r="E50" i="4"/>
  <c r="F49" i="4"/>
  <c r="F48" i="3"/>
  <c r="E49" i="3"/>
  <c r="E49" i="2"/>
  <c r="F48" i="2"/>
  <c r="F49" i="21" l="1"/>
  <c r="E50" i="21"/>
  <c r="F50" i="40"/>
  <c r="E51" i="40"/>
  <c r="F51" i="37"/>
  <c r="E52" i="37"/>
  <c r="F51" i="41"/>
  <c r="E52" i="41"/>
  <c r="F50" i="43"/>
  <c r="E51" i="43"/>
  <c r="F54" i="42"/>
  <c r="E55" i="42"/>
  <c r="F51" i="39"/>
  <c r="E52" i="39"/>
  <c r="F50" i="38"/>
  <c r="E51" i="38"/>
  <c r="F50" i="36"/>
  <c r="E51" i="36"/>
  <c r="F50" i="35"/>
  <c r="E51" i="35"/>
  <c r="F51" i="34"/>
  <c r="E52" i="34"/>
  <c r="F51" i="33"/>
  <c r="E52" i="33"/>
  <c r="F49" i="32"/>
  <c r="E50" i="32"/>
  <c r="F50" i="26"/>
  <c r="E51" i="26"/>
  <c r="E50" i="12"/>
  <c r="F49" i="12"/>
  <c r="E50" i="9"/>
  <c r="F49" i="9"/>
  <c r="E50" i="31"/>
  <c r="F49" i="31"/>
  <c r="F49" i="30"/>
  <c r="E50" i="30"/>
  <c r="F50" i="29"/>
  <c r="E51" i="29"/>
  <c r="F51" i="28"/>
  <c r="E52" i="28"/>
  <c r="F50" i="27"/>
  <c r="E51" i="27"/>
  <c r="F49" i="25"/>
  <c r="E50" i="25"/>
  <c r="E50" i="22"/>
  <c r="F49" i="22"/>
  <c r="E52" i="20"/>
  <c r="F51" i="20"/>
  <c r="E51" i="19"/>
  <c r="F50" i="19"/>
  <c r="E52" i="18"/>
  <c r="F51" i="18"/>
  <c r="F51" i="17"/>
  <c r="E52" i="17"/>
  <c r="E54" i="16"/>
  <c r="F53" i="16"/>
  <c r="E52" i="15"/>
  <c r="F51" i="15"/>
  <c r="F50" i="14"/>
  <c r="E51" i="14"/>
  <c r="E52" i="13"/>
  <c r="F51" i="13"/>
  <c r="F50" i="11"/>
  <c r="E51" i="11"/>
  <c r="E51" i="10"/>
  <c r="F50" i="10"/>
  <c r="E52" i="8"/>
  <c r="F51" i="8"/>
  <c r="E50" i="7"/>
  <c r="F49" i="7"/>
  <c r="E51" i="6"/>
  <c r="F50" i="6"/>
  <c r="E51" i="5"/>
  <c r="F50" i="5"/>
  <c r="E51" i="4"/>
  <c r="F50" i="4"/>
  <c r="E50" i="3"/>
  <c r="F49" i="3"/>
  <c r="E50" i="2"/>
  <c r="F49" i="2"/>
  <c r="F50" i="21" l="1"/>
  <c r="E51" i="21"/>
  <c r="E52" i="40"/>
  <c r="F51" i="40"/>
  <c r="F52" i="41"/>
  <c r="E53" i="41"/>
  <c r="E53" i="37"/>
  <c r="F52" i="37"/>
  <c r="F51" i="43"/>
  <c r="E52" i="43"/>
  <c r="E56" i="42"/>
  <c r="F55" i="42"/>
  <c r="E53" i="39"/>
  <c r="F52" i="39"/>
  <c r="F51" i="38"/>
  <c r="E52" i="38"/>
  <c r="F51" i="36"/>
  <c r="E52" i="36"/>
  <c r="F51" i="35"/>
  <c r="E52" i="35"/>
  <c r="E53" i="34"/>
  <c r="F52" i="34"/>
  <c r="F52" i="33"/>
  <c r="E53" i="33"/>
  <c r="F50" i="32"/>
  <c r="E51" i="32"/>
  <c r="F51" i="26"/>
  <c r="E52" i="26"/>
  <c r="E51" i="12"/>
  <c r="F50" i="12"/>
  <c r="E51" i="9"/>
  <c r="F50" i="9"/>
  <c r="F50" i="31"/>
  <c r="E51" i="31"/>
  <c r="F50" i="30"/>
  <c r="E51" i="30"/>
  <c r="E52" i="29"/>
  <c r="F51" i="29"/>
  <c r="E53" i="28"/>
  <c r="F52" i="28"/>
  <c r="F51" i="27"/>
  <c r="E52" i="27"/>
  <c r="F50" i="25"/>
  <c r="E51" i="25"/>
  <c r="E51" i="22"/>
  <c r="F50" i="22"/>
  <c r="E53" i="20"/>
  <c r="F52" i="20"/>
  <c r="F51" i="19"/>
  <c r="E52" i="19"/>
  <c r="F52" i="18"/>
  <c r="E53" i="18"/>
  <c r="F52" i="17"/>
  <c r="E53" i="17"/>
  <c r="E55" i="16"/>
  <c r="F54" i="16"/>
  <c r="F52" i="15"/>
  <c r="E53" i="15"/>
  <c r="E52" i="14"/>
  <c r="F51" i="14"/>
  <c r="F52" i="13"/>
  <c r="E53" i="13"/>
  <c r="E52" i="11"/>
  <c r="F51" i="11"/>
  <c r="E52" i="10"/>
  <c r="F51" i="10"/>
  <c r="F52" i="8"/>
  <c r="E53" i="8"/>
  <c r="E51" i="7"/>
  <c r="F50" i="7"/>
  <c r="F51" i="6"/>
  <c r="E52" i="6"/>
  <c r="E52" i="5"/>
  <c r="F51" i="5"/>
  <c r="F51" i="4"/>
  <c r="E52" i="4"/>
  <c r="F50" i="3"/>
  <c r="E51" i="3"/>
  <c r="F50" i="2"/>
  <c r="E51" i="2"/>
  <c r="F51" i="21" l="1"/>
  <c r="E52" i="21"/>
  <c r="F52" i="40"/>
  <c r="E53" i="40"/>
  <c r="E54" i="37"/>
  <c r="F53" i="37"/>
  <c r="E54" i="41"/>
  <c r="F53" i="41"/>
  <c r="E53" i="43"/>
  <c r="F52" i="43"/>
  <c r="F56" i="42"/>
  <c r="E57" i="42"/>
  <c r="E54" i="39"/>
  <c r="F53" i="39"/>
  <c r="E53" i="38"/>
  <c r="F52" i="38"/>
  <c r="F52" i="36"/>
  <c r="E53" i="36"/>
  <c r="F52" i="35"/>
  <c r="E53" i="35"/>
  <c r="E54" i="34"/>
  <c r="F53" i="34"/>
  <c r="F53" i="33"/>
  <c r="E54" i="33"/>
  <c r="F51" i="32"/>
  <c r="E52" i="32"/>
  <c r="E53" i="26"/>
  <c r="F52" i="26"/>
  <c r="E52" i="12"/>
  <c r="F51" i="12"/>
  <c r="E52" i="9"/>
  <c r="F51" i="9"/>
  <c r="F51" i="31"/>
  <c r="E52" i="31"/>
  <c r="F51" i="30"/>
  <c r="E52" i="30"/>
  <c r="F52" i="29"/>
  <c r="E53" i="29"/>
  <c r="F53" i="28"/>
  <c r="E54" i="28"/>
  <c r="E53" i="27"/>
  <c r="F52" i="27"/>
  <c r="F51" i="25"/>
  <c r="E52" i="25"/>
  <c r="E52" i="22"/>
  <c r="F51" i="22"/>
  <c r="F53" i="20"/>
  <c r="E54" i="20"/>
  <c r="F52" i="19"/>
  <c r="E53" i="19"/>
  <c r="F53" i="18"/>
  <c r="E54" i="18"/>
  <c r="F53" i="17"/>
  <c r="E54" i="17"/>
  <c r="F55" i="16"/>
  <c r="E56" i="16"/>
  <c r="E54" i="15"/>
  <c r="F53" i="15"/>
  <c r="F52" i="14"/>
  <c r="E53" i="14"/>
  <c r="E54" i="13"/>
  <c r="F53" i="13"/>
  <c r="F52" i="11"/>
  <c r="E53" i="11"/>
  <c r="E53" i="10"/>
  <c r="F52" i="10"/>
  <c r="F53" i="8"/>
  <c r="E54" i="8"/>
  <c r="E52" i="7"/>
  <c r="F51" i="7"/>
  <c r="E53" i="6"/>
  <c r="F52" i="6"/>
  <c r="F52" i="5"/>
  <c r="E53" i="5"/>
  <c r="E53" i="4"/>
  <c r="F52" i="4"/>
  <c r="E52" i="3"/>
  <c r="F51" i="3"/>
  <c r="E52" i="2"/>
  <c r="F51" i="2"/>
  <c r="F52" i="21" l="1"/>
  <c r="E53" i="21"/>
  <c r="E54" i="40"/>
  <c r="F53" i="40"/>
  <c r="E55" i="41"/>
  <c r="F54" i="41"/>
  <c r="F54" i="37"/>
  <c r="E55" i="37"/>
  <c r="E54" i="43"/>
  <c r="F53" i="43"/>
  <c r="E58" i="42"/>
  <c r="F57" i="42"/>
  <c r="F54" i="39"/>
  <c r="E55" i="39"/>
  <c r="E54" i="38"/>
  <c r="F53" i="38"/>
  <c r="F53" i="36"/>
  <c r="E54" i="36"/>
  <c r="F53" i="35"/>
  <c r="E54" i="35"/>
  <c r="F54" i="34"/>
  <c r="E55" i="34"/>
  <c r="F54" i="33"/>
  <c r="E55" i="33"/>
  <c r="E53" i="32"/>
  <c r="F52" i="32"/>
  <c r="E54" i="26"/>
  <c r="F53" i="26"/>
  <c r="F52" i="12"/>
  <c r="E53" i="12"/>
  <c r="F52" i="9"/>
  <c r="E53" i="9"/>
  <c r="E53" i="31"/>
  <c r="F52" i="31"/>
  <c r="F52" i="30"/>
  <c r="E53" i="30"/>
  <c r="E54" i="29"/>
  <c r="F53" i="29"/>
  <c r="F54" i="28"/>
  <c r="E55" i="28"/>
  <c r="F53" i="27"/>
  <c r="E54" i="27"/>
  <c r="F52" i="25"/>
  <c r="E53" i="25"/>
  <c r="F52" i="22"/>
  <c r="E53" i="22"/>
  <c r="E55" i="20"/>
  <c r="F54" i="20"/>
  <c r="E54" i="19"/>
  <c r="F53" i="19"/>
  <c r="E55" i="18"/>
  <c r="F54" i="18"/>
  <c r="F54" i="17"/>
  <c r="E55" i="17"/>
  <c r="E57" i="16"/>
  <c r="F56" i="16"/>
  <c r="E55" i="15"/>
  <c r="F54" i="15"/>
  <c r="E54" i="14"/>
  <c r="F53" i="14"/>
  <c r="E55" i="13"/>
  <c r="F54" i="13"/>
  <c r="F53" i="11"/>
  <c r="E54" i="11"/>
  <c r="F53" i="10"/>
  <c r="E54" i="10"/>
  <c r="E55" i="8"/>
  <c r="F54" i="8"/>
  <c r="F52" i="7"/>
  <c r="E53" i="7"/>
  <c r="E54" i="6"/>
  <c r="F53" i="6"/>
  <c r="E54" i="5"/>
  <c r="F53" i="5"/>
  <c r="E54" i="4"/>
  <c r="F53" i="4"/>
  <c r="F52" i="3"/>
  <c r="E53" i="3"/>
  <c r="F52" i="2"/>
  <c r="E53" i="2"/>
  <c r="E54" i="21" l="1"/>
  <c r="F53" i="21"/>
  <c r="F54" i="40"/>
  <c r="E55" i="40"/>
  <c r="F55" i="37"/>
  <c r="E56" i="37"/>
  <c r="F55" i="41"/>
  <c r="E56" i="41"/>
  <c r="F54" i="43"/>
  <c r="E55" i="43"/>
  <c r="E59" i="42"/>
  <c r="F58" i="42"/>
  <c r="E56" i="39"/>
  <c r="F55" i="39"/>
  <c r="F54" i="38"/>
  <c r="E55" i="38"/>
  <c r="F54" i="36"/>
  <c r="E55" i="36"/>
  <c r="F54" i="35"/>
  <c r="E55" i="35"/>
  <c r="F55" i="34"/>
  <c r="E56" i="34"/>
  <c r="F55" i="33"/>
  <c r="E56" i="33"/>
  <c r="F53" i="32"/>
  <c r="E54" i="32"/>
  <c r="F54" i="26"/>
  <c r="E55" i="26"/>
  <c r="E54" i="12"/>
  <c r="F53" i="12"/>
  <c r="F53" i="9"/>
  <c r="E54" i="9"/>
  <c r="E54" i="31"/>
  <c r="F53" i="31"/>
  <c r="F53" i="30"/>
  <c r="E54" i="30"/>
  <c r="F54" i="29"/>
  <c r="E55" i="29"/>
  <c r="F55" i="28"/>
  <c r="E56" i="28"/>
  <c r="E55" i="27"/>
  <c r="F54" i="27"/>
  <c r="F53" i="25"/>
  <c r="E54" i="25"/>
  <c r="E54" i="22"/>
  <c r="F53" i="22"/>
  <c r="F55" i="20"/>
  <c r="E56" i="20"/>
  <c r="F54" i="19"/>
  <c r="E55" i="19"/>
  <c r="F55" i="18"/>
  <c r="E56" i="18"/>
  <c r="F55" i="17"/>
  <c r="E56" i="17"/>
  <c r="F57" i="16"/>
  <c r="E58" i="16"/>
  <c r="F55" i="15"/>
  <c r="E56" i="15"/>
  <c r="E55" i="14"/>
  <c r="F54" i="14"/>
  <c r="F55" i="13"/>
  <c r="E56" i="13"/>
  <c r="E55" i="11"/>
  <c r="F54" i="11"/>
  <c r="E55" i="10"/>
  <c r="F54" i="10"/>
  <c r="F55" i="8"/>
  <c r="E56" i="8"/>
  <c r="F53" i="7"/>
  <c r="E54" i="7"/>
  <c r="E55" i="6"/>
  <c r="F54" i="6"/>
  <c r="E55" i="5"/>
  <c r="F54" i="5"/>
  <c r="F54" i="4"/>
  <c r="E55" i="4"/>
  <c r="F53" i="3"/>
  <c r="E54" i="3"/>
  <c r="F53" i="2"/>
  <c r="E54" i="2"/>
  <c r="F54" i="21" l="1"/>
  <c r="E55" i="21"/>
  <c r="F55" i="40"/>
  <c r="E56" i="40"/>
  <c r="F56" i="41"/>
  <c r="E57" i="41"/>
  <c r="F56" i="37"/>
  <c r="E57" i="37"/>
  <c r="F55" i="43"/>
  <c r="E56" i="43"/>
  <c r="F59" i="42"/>
  <c r="E60" i="42"/>
  <c r="F56" i="39"/>
  <c r="E57" i="39"/>
  <c r="F55" i="38"/>
  <c r="E56" i="38"/>
  <c r="F55" i="36"/>
  <c r="E56" i="36"/>
  <c r="F55" i="35"/>
  <c r="E56" i="35"/>
  <c r="F56" i="34"/>
  <c r="E57" i="34"/>
  <c r="F56" i="33"/>
  <c r="E57" i="33"/>
  <c r="F54" i="32"/>
  <c r="E55" i="32"/>
  <c r="E56" i="26"/>
  <c r="F55" i="26"/>
  <c r="F54" i="12"/>
  <c r="E55" i="12"/>
  <c r="E55" i="9"/>
  <c r="F54" i="9"/>
  <c r="F54" i="31"/>
  <c r="E55" i="31"/>
  <c r="F54" i="30"/>
  <c r="E55" i="30"/>
  <c r="E56" i="29"/>
  <c r="F55" i="29"/>
  <c r="F56" i="28"/>
  <c r="E57" i="28"/>
  <c r="E56" i="27"/>
  <c r="F55" i="27"/>
  <c r="F54" i="25"/>
  <c r="E55" i="25"/>
  <c r="F54" i="22"/>
  <c r="E55" i="22"/>
  <c r="F56" i="20"/>
  <c r="E57" i="20"/>
  <c r="F55" i="19"/>
  <c r="E56" i="19"/>
  <c r="E57" i="18"/>
  <c r="F56" i="18"/>
  <c r="F56" i="17"/>
  <c r="E57" i="17"/>
  <c r="E59" i="16"/>
  <c r="F58" i="16"/>
  <c r="F56" i="15"/>
  <c r="E57" i="15"/>
  <c r="F55" i="14"/>
  <c r="E56" i="14"/>
  <c r="E57" i="13"/>
  <c r="F56" i="13"/>
  <c r="F55" i="11"/>
  <c r="E56" i="11"/>
  <c r="F55" i="10"/>
  <c r="E56" i="10"/>
  <c r="E57" i="8"/>
  <c r="F56" i="8"/>
  <c r="E55" i="7"/>
  <c r="F54" i="7"/>
  <c r="E56" i="6"/>
  <c r="F55" i="6"/>
  <c r="E56" i="5"/>
  <c r="F55" i="5"/>
  <c r="E56" i="4"/>
  <c r="F55" i="4"/>
  <c r="E55" i="3"/>
  <c r="F54" i="3"/>
  <c r="E55" i="2"/>
  <c r="F54" i="2"/>
  <c r="E56" i="21" l="1"/>
  <c r="F55" i="21"/>
  <c r="F56" i="40"/>
  <c r="E57" i="40"/>
  <c r="E58" i="37"/>
  <c r="F57" i="37"/>
  <c r="E58" i="41"/>
  <c r="F57" i="41"/>
  <c r="F56" i="43"/>
  <c r="E57" i="43"/>
  <c r="F60" i="42"/>
  <c r="E61" i="42"/>
  <c r="F57" i="39"/>
  <c r="E58" i="39"/>
  <c r="F56" i="38"/>
  <c r="E57" i="38"/>
  <c r="F56" i="36"/>
  <c r="E57" i="36"/>
  <c r="F56" i="35"/>
  <c r="E57" i="35"/>
  <c r="E58" i="34"/>
  <c r="F57" i="34"/>
  <c r="F57" i="33"/>
  <c r="E58" i="33"/>
  <c r="F55" i="32"/>
  <c r="E56" i="32"/>
  <c r="F56" i="26"/>
  <c r="E57" i="26"/>
  <c r="F55" i="12"/>
  <c r="E56" i="12"/>
  <c r="F55" i="9"/>
  <c r="E56" i="9"/>
  <c r="F55" i="31"/>
  <c r="E56" i="31"/>
  <c r="F55" i="30"/>
  <c r="E56" i="30"/>
  <c r="F56" i="29"/>
  <c r="E57" i="29"/>
  <c r="F57" i="28"/>
  <c r="E58" i="28"/>
  <c r="E57" i="27"/>
  <c r="F56" i="27"/>
  <c r="F55" i="25"/>
  <c r="E56" i="25"/>
  <c r="F55" i="22"/>
  <c r="E56" i="22"/>
  <c r="E58" i="20"/>
  <c r="F57" i="20"/>
  <c r="E57" i="19"/>
  <c r="F56" i="19"/>
  <c r="E58" i="18"/>
  <c r="F57" i="18"/>
  <c r="E58" i="17"/>
  <c r="F57" i="17"/>
  <c r="E60" i="16"/>
  <c r="F59" i="16"/>
  <c r="E58" i="15"/>
  <c r="F57" i="15"/>
  <c r="E57" i="14"/>
  <c r="F56" i="14"/>
  <c r="E58" i="13"/>
  <c r="F57" i="13"/>
  <c r="F56" i="11"/>
  <c r="E57" i="11"/>
  <c r="F56" i="10"/>
  <c r="E57" i="10"/>
  <c r="E58" i="8"/>
  <c r="F57" i="8"/>
  <c r="F55" i="7"/>
  <c r="E56" i="7"/>
  <c r="F56" i="6"/>
  <c r="E57" i="6"/>
  <c r="E57" i="5"/>
  <c r="F56" i="5"/>
  <c r="E57" i="4"/>
  <c r="F56" i="4"/>
  <c r="F55" i="3"/>
  <c r="E56" i="3"/>
  <c r="F55" i="2"/>
  <c r="E56" i="2"/>
  <c r="E57" i="21" l="1"/>
  <c r="F56" i="21"/>
  <c r="F57" i="40"/>
  <c r="E58" i="40"/>
  <c r="F58" i="41"/>
  <c r="E59" i="41"/>
  <c r="F58" i="37"/>
  <c r="E59" i="37"/>
  <c r="F57" i="43"/>
  <c r="E58" i="43"/>
  <c r="F61" i="42"/>
  <c r="E62" i="42"/>
  <c r="F58" i="39"/>
  <c r="E59" i="39"/>
  <c r="F57" i="38"/>
  <c r="E58" i="38"/>
  <c r="F57" i="36"/>
  <c r="E58" i="36"/>
  <c r="F57" i="35"/>
  <c r="E58" i="35"/>
  <c r="F58" i="34"/>
  <c r="E59" i="34"/>
  <c r="F58" i="33"/>
  <c r="E59" i="33"/>
  <c r="F56" i="32"/>
  <c r="E57" i="32"/>
  <c r="F57" i="26"/>
  <c r="E58" i="26"/>
  <c r="E57" i="12"/>
  <c r="F56" i="12"/>
  <c r="F56" i="9"/>
  <c r="E57" i="9"/>
  <c r="E57" i="31"/>
  <c r="F56" i="31"/>
  <c r="F56" i="30"/>
  <c r="E57" i="30"/>
  <c r="E58" i="29"/>
  <c r="F57" i="29"/>
  <c r="F58" i="28"/>
  <c r="E59" i="28"/>
  <c r="F57" i="27"/>
  <c r="E58" i="27"/>
  <c r="F56" i="25"/>
  <c r="E57" i="25"/>
  <c r="E57" i="22"/>
  <c r="F56" i="22"/>
  <c r="E59" i="20"/>
  <c r="F58" i="20"/>
  <c r="E58" i="19"/>
  <c r="F57" i="19"/>
  <c r="F58" i="18"/>
  <c r="E59" i="18"/>
  <c r="E59" i="17"/>
  <c r="F58" i="17"/>
  <c r="F60" i="16"/>
  <c r="E61" i="16"/>
  <c r="E59" i="15"/>
  <c r="F58" i="15"/>
  <c r="F57" i="14"/>
  <c r="E58" i="14"/>
  <c r="E59" i="13"/>
  <c r="F58" i="13"/>
  <c r="E58" i="11"/>
  <c r="F57" i="11"/>
  <c r="E58" i="10"/>
  <c r="F57" i="10"/>
  <c r="E59" i="8"/>
  <c r="F58" i="8"/>
  <c r="F56" i="7"/>
  <c r="E57" i="7"/>
  <c r="E58" i="6"/>
  <c r="F57" i="6"/>
  <c r="F57" i="5"/>
  <c r="E58" i="5"/>
  <c r="E58" i="4"/>
  <c r="F57" i="4"/>
  <c r="E57" i="3"/>
  <c r="F56" i="3"/>
  <c r="E57" i="2"/>
  <c r="F56" i="2"/>
  <c r="F57" i="21" l="1"/>
  <c r="E58" i="21"/>
  <c r="F58" i="40"/>
  <c r="E59" i="40"/>
  <c r="F59" i="37"/>
  <c r="E60" i="37"/>
  <c r="E60" i="41"/>
  <c r="F59" i="41"/>
  <c r="F58" i="43"/>
  <c r="E59" i="43"/>
  <c r="F62" i="42"/>
  <c r="E63" i="42"/>
  <c r="F59" i="39"/>
  <c r="E60" i="39"/>
  <c r="F58" i="38"/>
  <c r="E59" i="38"/>
  <c r="F58" i="36"/>
  <c r="E59" i="36"/>
  <c r="F58" i="35"/>
  <c r="E59" i="35"/>
  <c r="F59" i="34"/>
  <c r="E60" i="34"/>
  <c r="F59" i="33"/>
  <c r="E60" i="33"/>
  <c r="F57" i="32"/>
  <c r="E58" i="32"/>
  <c r="F58" i="26"/>
  <c r="E59" i="26"/>
  <c r="E58" i="12"/>
  <c r="F57" i="12"/>
  <c r="E58" i="9"/>
  <c r="F57" i="9"/>
  <c r="F57" i="31"/>
  <c r="E58" i="31"/>
  <c r="F57" i="30"/>
  <c r="E58" i="30"/>
  <c r="F58" i="29"/>
  <c r="E59" i="29"/>
  <c r="F59" i="28"/>
  <c r="E60" i="28"/>
  <c r="F58" i="27"/>
  <c r="E59" i="27"/>
  <c r="F57" i="25"/>
  <c r="E58" i="25"/>
  <c r="E58" i="22"/>
  <c r="F57" i="22"/>
  <c r="E60" i="20"/>
  <c r="F59" i="20"/>
  <c r="E59" i="19"/>
  <c r="F58" i="19"/>
  <c r="E60" i="18"/>
  <c r="F59" i="18"/>
  <c r="F59" i="17"/>
  <c r="E60" i="17"/>
  <c r="E62" i="16"/>
  <c r="F61" i="16"/>
  <c r="F59" i="15"/>
  <c r="E60" i="15"/>
  <c r="F58" i="14"/>
  <c r="E59" i="14"/>
  <c r="E60" i="13"/>
  <c r="F59" i="13"/>
  <c r="E59" i="11"/>
  <c r="F58" i="11"/>
  <c r="E59" i="10"/>
  <c r="F58" i="10"/>
  <c r="E60" i="8"/>
  <c r="F59" i="8"/>
  <c r="E58" i="7"/>
  <c r="F57" i="7"/>
  <c r="E59" i="6"/>
  <c r="F58" i="6"/>
  <c r="E59" i="5"/>
  <c r="F58" i="5"/>
  <c r="E59" i="4"/>
  <c r="F58" i="4"/>
  <c r="E58" i="3"/>
  <c r="F57" i="3"/>
  <c r="E58" i="2"/>
  <c r="F57" i="2"/>
  <c r="E59" i="21" l="1"/>
  <c r="F58" i="21"/>
  <c r="E60" i="40"/>
  <c r="F59" i="40"/>
  <c r="E61" i="41"/>
  <c r="F60" i="41"/>
  <c r="E61" i="37"/>
  <c r="F60" i="37"/>
  <c r="F59" i="43"/>
  <c r="E60" i="43"/>
  <c r="F63" i="42"/>
  <c r="E64" i="42"/>
  <c r="E61" i="39"/>
  <c r="F60" i="39"/>
  <c r="F59" i="38"/>
  <c r="E60" i="38"/>
  <c r="F59" i="36"/>
  <c r="E60" i="36"/>
  <c r="F59" i="35"/>
  <c r="E60" i="35"/>
  <c r="E61" i="34"/>
  <c r="F60" i="34"/>
  <c r="F60" i="33"/>
  <c r="E61" i="33"/>
  <c r="F58" i="32"/>
  <c r="E59" i="32"/>
  <c r="F59" i="26"/>
  <c r="E60" i="26"/>
  <c r="E59" i="12"/>
  <c r="F58" i="12"/>
  <c r="E59" i="9"/>
  <c r="F58" i="9"/>
  <c r="F58" i="31"/>
  <c r="E59" i="31"/>
  <c r="F58" i="30"/>
  <c r="E59" i="30"/>
  <c r="F59" i="29"/>
  <c r="E60" i="29"/>
  <c r="F60" i="28"/>
  <c r="E61" i="28"/>
  <c r="F59" i="27"/>
  <c r="E60" i="27"/>
  <c r="F58" i="25"/>
  <c r="E59" i="25"/>
  <c r="E59" i="22"/>
  <c r="F58" i="22"/>
  <c r="E61" i="20"/>
  <c r="F60" i="20"/>
  <c r="E60" i="19"/>
  <c r="F59" i="19"/>
  <c r="F60" i="18"/>
  <c r="E61" i="18"/>
  <c r="E61" i="17"/>
  <c r="F60" i="17"/>
  <c r="E63" i="16"/>
  <c r="F62" i="16"/>
  <c r="F60" i="15"/>
  <c r="E61" i="15"/>
  <c r="E60" i="14"/>
  <c r="F59" i="14"/>
  <c r="F60" i="13"/>
  <c r="E61" i="13"/>
  <c r="E60" i="11"/>
  <c r="F59" i="11"/>
  <c r="E60" i="10"/>
  <c r="F59" i="10"/>
  <c r="F60" i="8"/>
  <c r="E61" i="8"/>
  <c r="E59" i="7"/>
  <c r="F58" i="7"/>
  <c r="F59" i="6"/>
  <c r="E60" i="6"/>
  <c r="F59" i="5"/>
  <c r="E60" i="5"/>
  <c r="F59" i="4"/>
  <c r="E60" i="4"/>
  <c r="E59" i="3"/>
  <c r="F58" i="3"/>
  <c r="E59" i="2"/>
  <c r="F58" i="2"/>
  <c r="E60" i="21" l="1"/>
  <c r="F59" i="21"/>
  <c r="F60" i="40"/>
  <c r="E61" i="40"/>
  <c r="E62" i="37"/>
  <c r="F61" i="37"/>
  <c r="E62" i="41"/>
  <c r="F61" i="41"/>
  <c r="E61" i="43"/>
  <c r="F60" i="43"/>
  <c r="F64" i="42"/>
  <c r="E65" i="42"/>
  <c r="E62" i="39"/>
  <c r="F61" i="39"/>
  <c r="E61" i="38"/>
  <c r="F60" i="38"/>
  <c r="F60" i="36"/>
  <c r="E61" i="36"/>
  <c r="F60" i="35"/>
  <c r="E61" i="35"/>
  <c r="E62" i="34"/>
  <c r="F61" i="34"/>
  <c r="F61" i="33"/>
  <c r="E62" i="33"/>
  <c r="F59" i="32"/>
  <c r="E60" i="32"/>
  <c r="E61" i="26"/>
  <c r="F60" i="26"/>
  <c r="E60" i="12"/>
  <c r="F59" i="12"/>
  <c r="E60" i="9"/>
  <c r="F59" i="9"/>
  <c r="F59" i="31"/>
  <c r="E60" i="31"/>
  <c r="F59" i="30"/>
  <c r="E60" i="30"/>
  <c r="F60" i="29"/>
  <c r="E61" i="29"/>
  <c r="F61" i="28"/>
  <c r="E62" i="28"/>
  <c r="E61" i="27"/>
  <c r="F60" i="27"/>
  <c r="F59" i="25"/>
  <c r="E60" i="25"/>
  <c r="F59" i="22"/>
  <c r="E60" i="22"/>
  <c r="F61" i="20"/>
  <c r="E62" i="20"/>
  <c r="F60" i="19"/>
  <c r="E61" i="19"/>
  <c r="E62" i="18"/>
  <c r="F61" i="18"/>
  <c r="E62" i="17"/>
  <c r="F61" i="17"/>
  <c r="E64" i="16"/>
  <c r="F63" i="16"/>
  <c r="E62" i="15"/>
  <c r="F61" i="15"/>
  <c r="F60" i="14"/>
  <c r="E61" i="14"/>
  <c r="E62" i="13"/>
  <c r="F61" i="13"/>
  <c r="F60" i="11"/>
  <c r="E61" i="11"/>
  <c r="E61" i="10"/>
  <c r="F60" i="10"/>
  <c r="E62" i="8"/>
  <c r="F61" i="8"/>
  <c r="E60" i="7"/>
  <c r="F59" i="7"/>
  <c r="F60" i="6"/>
  <c r="E61" i="6"/>
  <c r="F60" i="5"/>
  <c r="E61" i="5"/>
  <c r="E61" i="4"/>
  <c r="F60" i="4"/>
  <c r="E60" i="3"/>
  <c r="F59" i="3"/>
  <c r="E60" i="2"/>
  <c r="F59" i="2"/>
  <c r="F60" i="21" l="1"/>
  <c r="E61" i="21"/>
  <c r="F61" i="40"/>
  <c r="E62" i="40"/>
  <c r="E63" i="41"/>
  <c r="F62" i="41"/>
  <c r="F62" i="37"/>
  <c r="E63" i="37"/>
  <c r="E62" i="43"/>
  <c r="F61" i="43"/>
  <c r="E66" i="42"/>
  <c r="F65" i="42"/>
  <c r="F62" i="39"/>
  <c r="E63" i="39"/>
  <c r="E62" i="38"/>
  <c r="F61" i="38"/>
  <c r="F61" i="36"/>
  <c r="E62" i="36"/>
  <c r="F61" i="35"/>
  <c r="E62" i="35"/>
  <c r="F62" i="34"/>
  <c r="E63" i="34"/>
  <c r="F62" i="33"/>
  <c r="E63" i="33"/>
  <c r="F60" i="32"/>
  <c r="E61" i="32"/>
  <c r="E62" i="26"/>
  <c r="F61" i="26"/>
  <c r="F60" i="12"/>
  <c r="E61" i="12"/>
  <c r="F60" i="9"/>
  <c r="E61" i="9"/>
  <c r="F60" i="31"/>
  <c r="E61" i="31"/>
  <c r="F60" i="30"/>
  <c r="E61" i="30"/>
  <c r="F61" i="29"/>
  <c r="E62" i="29"/>
  <c r="F62" i="28"/>
  <c r="E63" i="28"/>
  <c r="F61" i="27"/>
  <c r="E62" i="27"/>
  <c r="F60" i="25"/>
  <c r="E61" i="25"/>
  <c r="F60" i="22"/>
  <c r="E61" i="22"/>
  <c r="E63" i="20"/>
  <c r="F62" i="20"/>
  <c r="E62" i="19"/>
  <c r="F61" i="19"/>
  <c r="E63" i="18"/>
  <c r="F62" i="18"/>
  <c r="F62" i="17"/>
  <c r="E63" i="17"/>
  <c r="E65" i="16"/>
  <c r="F64" i="16"/>
  <c r="E63" i="15"/>
  <c r="F62" i="15"/>
  <c r="E62" i="14"/>
  <c r="F61" i="14"/>
  <c r="E63" i="13"/>
  <c r="F62" i="13"/>
  <c r="F61" i="11"/>
  <c r="E62" i="11"/>
  <c r="F61" i="10"/>
  <c r="E62" i="10"/>
  <c r="E63" i="8"/>
  <c r="F62" i="8"/>
  <c r="F60" i="7"/>
  <c r="E61" i="7"/>
  <c r="E62" i="6"/>
  <c r="F61" i="6"/>
  <c r="F61" i="5"/>
  <c r="E62" i="5"/>
  <c r="E62" i="4"/>
  <c r="F61" i="4"/>
  <c r="F60" i="3"/>
  <c r="E61" i="3"/>
  <c r="F60" i="2"/>
  <c r="E61" i="2"/>
  <c r="E62" i="21" l="1"/>
  <c r="F61" i="21"/>
  <c r="F62" i="40"/>
  <c r="E63" i="40"/>
  <c r="F63" i="37"/>
  <c r="E64" i="37"/>
  <c r="F63" i="41"/>
  <c r="E64" i="41"/>
  <c r="F62" i="43"/>
  <c r="E63" i="43"/>
  <c r="E67" i="42"/>
  <c r="F66" i="42"/>
  <c r="F63" i="39"/>
  <c r="E64" i="39"/>
  <c r="F62" i="38"/>
  <c r="E63" i="38"/>
  <c r="F62" i="36"/>
  <c r="E63" i="36"/>
  <c r="F62" i="35"/>
  <c r="E63" i="35"/>
  <c r="F63" i="34"/>
  <c r="E64" i="34"/>
  <c r="F63" i="33"/>
  <c r="E64" i="33"/>
  <c r="F61" i="32"/>
  <c r="E62" i="32"/>
  <c r="F62" i="26"/>
  <c r="E63" i="26"/>
  <c r="F61" i="12"/>
  <c r="E62" i="12"/>
  <c r="F61" i="9"/>
  <c r="E62" i="9"/>
  <c r="F61" i="31"/>
  <c r="E62" i="31"/>
  <c r="F61" i="30"/>
  <c r="E62" i="30"/>
  <c r="F62" i="29"/>
  <c r="E63" i="29"/>
  <c r="F63" i="28"/>
  <c r="E64" i="28"/>
  <c r="F62" i="27"/>
  <c r="E63" i="27"/>
  <c r="F61" i="25"/>
  <c r="E62" i="25"/>
  <c r="E62" i="22"/>
  <c r="F61" i="22"/>
  <c r="F63" i="20"/>
  <c r="E64" i="20"/>
  <c r="F62" i="19"/>
  <c r="E63" i="19"/>
  <c r="F63" i="18"/>
  <c r="E64" i="18"/>
  <c r="F63" i="17"/>
  <c r="E64" i="17"/>
  <c r="F65" i="16"/>
  <c r="E66" i="16"/>
  <c r="F63" i="15"/>
  <c r="E64" i="15"/>
  <c r="E63" i="14"/>
  <c r="F62" i="14"/>
  <c r="F63" i="13"/>
  <c r="E64" i="13"/>
  <c r="E63" i="11"/>
  <c r="F62" i="11"/>
  <c r="E63" i="10"/>
  <c r="F62" i="10"/>
  <c r="F63" i="8"/>
  <c r="E64" i="8"/>
  <c r="F61" i="7"/>
  <c r="E62" i="7"/>
  <c r="E63" i="6"/>
  <c r="F62" i="6"/>
  <c r="E63" i="5"/>
  <c r="F62" i="5"/>
  <c r="F62" i="4"/>
  <c r="E63" i="4"/>
  <c r="F61" i="3"/>
  <c r="E62" i="3"/>
  <c r="E62" i="2"/>
  <c r="F61" i="2"/>
  <c r="F62" i="21" l="1"/>
  <c r="E63" i="21"/>
  <c r="F63" i="40"/>
  <c r="E64" i="40"/>
  <c r="F64" i="41"/>
  <c r="E65" i="41"/>
  <c r="F64" i="37"/>
  <c r="E65" i="37"/>
  <c r="F63" i="43"/>
  <c r="E64" i="43"/>
  <c r="F67" i="42"/>
  <c r="E68" i="42"/>
  <c r="F64" i="39"/>
  <c r="E65" i="39"/>
  <c r="F63" i="38"/>
  <c r="E64" i="38"/>
  <c r="F63" i="36"/>
  <c r="E64" i="36"/>
  <c r="F63" i="35"/>
  <c r="E64" i="35"/>
  <c r="F64" i="34"/>
  <c r="E65" i="34"/>
  <c r="F64" i="33"/>
  <c r="E65" i="33"/>
  <c r="F62" i="32"/>
  <c r="E63" i="32"/>
  <c r="F63" i="26"/>
  <c r="E64" i="26"/>
  <c r="E63" i="12"/>
  <c r="F62" i="12"/>
  <c r="F62" i="9"/>
  <c r="E63" i="9"/>
  <c r="F62" i="31"/>
  <c r="E63" i="31"/>
  <c r="F62" i="30"/>
  <c r="E63" i="30"/>
  <c r="F63" i="29"/>
  <c r="E64" i="29"/>
  <c r="F64" i="28"/>
  <c r="E65" i="28"/>
  <c r="F63" i="27"/>
  <c r="E64" i="27"/>
  <c r="F62" i="25"/>
  <c r="E63" i="25"/>
  <c r="F62" i="22"/>
  <c r="E63" i="22"/>
  <c r="F64" i="20"/>
  <c r="E65" i="20"/>
  <c r="F63" i="19"/>
  <c r="E64" i="19"/>
  <c r="E65" i="18"/>
  <c r="F64" i="18"/>
  <c r="E65" i="17"/>
  <c r="F64" i="17"/>
  <c r="E67" i="16"/>
  <c r="F66" i="16"/>
  <c r="F64" i="15"/>
  <c r="E65" i="15"/>
  <c r="E64" i="14"/>
  <c r="F63" i="14"/>
  <c r="E65" i="13"/>
  <c r="F64" i="13"/>
  <c r="F63" i="11"/>
  <c r="E64" i="11"/>
  <c r="F63" i="10"/>
  <c r="E64" i="10"/>
  <c r="E65" i="8"/>
  <c r="F64" i="8"/>
  <c r="E63" i="7"/>
  <c r="F62" i="7"/>
  <c r="E64" i="6"/>
  <c r="F63" i="6"/>
  <c r="E64" i="5"/>
  <c r="F63" i="5"/>
  <c r="E64" i="4"/>
  <c r="F63" i="4"/>
  <c r="E63" i="3"/>
  <c r="F62" i="3"/>
  <c r="E63" i="2"/>
  <c r="F62" i="2"/>
  <c r="F63" i="21" l="1"/>
  <c r="E64" i="21"/>
  <c r="E65" i="40"/>
  <c r="F64" i="40"/>
  <c r="E66" i="37"/>
  <c r="F65" i="37"/>
  <c r="E66" i="41"/>
  <c r="F65" i="41"/>
  <c r="F64" i="43"/>
  <c r="E65" i="43"/>
  <c r="F68" i="42"/>
  <c r="E69" i="42"/>
  <c r="F65" i="39"/>
  <c r="E66" i="39"/>
  <c r="F64" i="38"/>
  <c r="E65" i="38"/>
  <c r="E65" i="36"/>
  <c r="F64" i="36"/>
  <c r="F64" i="35"/>
  <c r="E65" i="35"/>
  <c r="E66" i="34"/>
  <c r="F65" i="34"/>
  <c r="F65" i="33"/>
  <c r="E66" i="33"/>
  <c r="F63" i="32"/>
  <c r="E64" i="32"/>
  <c r="F64" i="26"/>
  <c r="E65" i="26"/>
  <c r="F63" i="12"/>
  <c r="E64" i="12"/>
  <c r="F63" i="9"/>
  <c r="E64" i="9"/>
  <c r="F63" i="31"/>
  <c r="E64" i="31"/>
  <c r="F63" i="30"/>
  <c r="E64" i="30"/>
  <c r="F64" i="29"/>
  <c r="E65" i="29"/>
  <c r="F65" i="28"/>
  <c r="E66" i="28"/>
  <c r="F64" i="27"/>
  <c r="E65" i="27"/>
  <c r="F63" i="25"/>
  <c r="E64" i="25"/>
  <c r="F63" i="22"/>
  <c r="E64" i="22"/>
  <c r="E66" i="20"/>
  <c r="F65" i="20"/>
  <c r="E65" i="19"/>
  <c r="F64" i="19"/>
  <c r="E66" i="18"/>
  <c r="F65" i="18"/>
  <c r="E66" i="17"/>
  <c r="F65" i="17"/>
  <c r="E68" i="16"/>
  <c r="F67" i="16"/>
  <c r="E66" i="15"/>
  <c r="F65" i="15"/>
  <c r="E65" i="14"/>
  <c r="F64" i="14"/>
  <c r="E66" i="13"/>
  <c r="F65" i="13"/>
  <c r="F64" i="11"/>
  <c r="E65" i="11"/>
  <c r="F64" i="10"/>
  <c r="E65" i="10"/>
  <c r="E66" i="8"/>
  <c r="F65" i="8"/>
  <c r="F63" i="7"/>
  <c r="E64" i="7"/>
  <c r="F64" i="6"/>
  <c r="E65" i="6"/>
  <c r="F64" i="5"/>
  <c r="E65" i="5"/>
  <c r="E65" i="4"/>
  <c r="F64" i="4"/>
  <c r="F63" i="3"/>
  <c r="E64" i="3"/>
  <c r="F63" i="2"/>
  <c r="E64" i="2"/>
  <c r="E65" i="21" l="1"/>
  <c r="F64" i="21"/>
  <c r="E66" i="40"/>
  <c r="F65" i="40"/>
  <c r="F66" i="41"/>
  <c r="E67" i="41"/>
  <c r="F66" i="37"/>
  <c r="E67" i="37"/>
  <c r="F65" i="43"/>
  <c r="E66" i="43"/>
  <c r="F69" i="42"/>
  <c r="E70" i="42"/>
  <c r="F66" i="39"/>
  <c r="E67" i="39"/>
  <c r="F65" i="38"/>
  <c r="E66" i="38"/>
  <c r="F65" i="36"/>
  <c r="E66" i="36"/>
  <c r="F65" i="35"/>
  <c r="E66" i="35"/>
  <c r="F66" i="34"/>
  <c r="E67" i="34"/>
  <c r="F66" i="33"/>
  <c r="E67" i="33"/>
  <c r="F64" i="32"/>
  <c r="E65" i="32"/>
  <c r="E66" i="26"/>
  <c r="F65" i="26"/>
  <c r="E65" i="12"/>
  <c r="F64" i="12"/>
  <c r="E65" i="9"/>
  <c r="F64" i="9"/>
  <c r="F64" i="31"/>
  <c r="E65" i="31"/>
  <c r="F64" i="30"/>
  <c r="E65" i="30"/>
  <c r="F65" i="29"/>
  <c r="E66" i="29"/>
  <c r="F66" i="28"/>
  <c r="E67" i="28"/>
  <c r="F65" i="27"/>
  <c r="E66" i="27"/>
  <c r="F64" i="25"/>
  <c r="E65" i="25"/>
  <c r="E65" i="22"/>
  <c r="F64" i="22"/>
  <c r="E67" i="20"/>
  <c r="F66" i="20"/>
  <c r="E66" i="19"/>
  <c r="F65" i="19"/>
  <c r="E67" i="18"/>
  <c r="F66" i="18"/>
  <c r="F66" i="17"/>
  <c r="E67" i="17"/>
  <c r="F68" i="16"/>
  <c r="E69" i="16"/>
  <c r="E67" i="15"/>
  <c r="F66" i="15"/>
  <c r="F65" i="14"/>
  <c r="E66" i="14"/>
  <c r="E67" i="13"/>
  <c r="F66" i="13"/>
  <c r="E66" i="11"/>
  <c r="F65" i="11"/>
  <c r="E66" i="10"/>
  <c r="F65" i="10"/>
  <c r="F66" i="8"/>
  <c r="E67" i="8"/>
  <c r="F64" i="7"/>
  <c r="E65" i="7"/>
  <c r="E66" i="6"/>
  <c r="F65" i="6"/>
  <c r="F65" i="5"/>
  <c r="E66" i="5"/>
  <c r="E66" i="4"/>
  <c r="F65" i="4"/>
  <c r="E65" i="3"/>
  <c r="F64" i="3"/>
  <c r="E65" i="2"/>
  <c r="F64" i="2"/>
  <c r="E66" i="21" l="1"/>
  <c r="F65" i="21"/>
  <c r="F66" i="40"/>
  <c r="E67" i="40"/>
  <c r="F67" i="37"/>
  <c r="E68" i="37"/>
  <c r="F67" i="41"/>
  <c r="E68" i="41"/>
  <c r="F66" i="43"/>
  <c r="E67" i="43"/>
  <c r="F70" i="42"/>
  <c r="E71" i="42"/>
  <c r="F67" i="39"/>
  <c r="E68" i="39"/>
  <c r="F66" i="38"/>
  <c r="E67" i="38"/>
  <c r="E67" i="36"/>
  <c r="F66" i="36"/>
  <c r="F66" i="35"/>
  <c r="E67" i="35"/>
  <c r="F67" i="34"/>
  <c r="E68" i="34"/>
  <c r="F67" i="33"/>
  <c r="E68" i="33"/>
  <c r="F65" i="32"/>
  <c r="E66" i="32"/>
  <c r="F66" i="26"/>
  <c r="E67" i="26"/>
  <c r="E66" i="12"/>
  <c r="F65" i="12"/>
  <c r="E66" i="9"/>
  <c r="F65" i="9"/>
  <c r="F65" i="31"/>
  <c r="E66" i="31"/>
  <c r="F65" i="30"/>
  <c r="E66" i="30"/>
  <c r="F66" i="29"/>
  <c r="E67" i="29"/>
  <c r="F67" i="28"/>
  <c r="E68" i="28"/>
  <c r="F66" i="27"/>
  <c r="E67" i="27"/>
  <c r="F65" i="25"/>
  <c r="E66" i="25"/>
  <c r="E66" i="22"/>
  <c r="F65" i="22"/>
  <c r="E68" i="20"/>
  <c r="F67" i="20"/>
  <c r="E67" i="19"/>
  <c r="F66" i="19"/>
  <c r="E68" i="18"/>
  <c r="F67" i="18"/>
  <c r="F67" i="17"/>
  <c r="E68" i="17"/>
  <c r="E70" i="16"/>
  <c r="F69" i="16"/>
  <c r="F67" i="15"/>
  <c r="E68" i="15"/>
  <c r="F66" i="14"/>
  <c r="E67" i="14"/>
  <c r="F67" i="13"/>
  <c r="E68" i="13"/>
  <c r="E67" i="11"/>
  <c r="F66" i="11"/>
  <c r="E67" i="10"/>
  <c r="F66" i="10"/>
  <c r="E68" i="8"/>
  <c r="F67" i="8"/>
  <c r="E66" i="7"/>
  <c r="F65" i="7"/>
  <c r="E67" i="6"/>
  <c r="F66" i="6"/>
  <c r="E67" i="5"/>
  <c r="F66" i="5"/>
  <c r="E67" i="4"/>
  <c r="F66" i="4"/>
  <c r="E66" i="3"/>
  <c r="F65" i="3"/>
  <c r="E66" i="2"/>
  <c r="F65" i="2"/>
  <c r="F66" i="21" l="1"/>
  <c r="E67" i="21"/>
  <c r="E68" i="40"/>
  <c r="F67" i="40"/>
  <c r="F68" i="41"/>
  <c r="E69" i="41"/>
  <c r="E69" i="37"/>
  <c r="F68" i="37"/>
  <c r="F67" i="43"/>
  <c r="E68" i="43"/>
  <c r="E72" i="42"/>
  <c r="F71" i="42"/>
  <c r="E69" i="39"/>
  <c r="F68" i="39"/>
  <c r="F67" i="38"/>
  <c r="E68" i="38"/>
  <c r="F67" i="36"/>
  <c r="E68" i="36"/>
  <c r="F67" i="35"/>
  <c r="E68" i="35"/>
  <c r="E69" i="34"/>
  <c r="F68" i="34"/>
  <c r="F68" i="33"/>
  <c r="E69" i="33"/>
  <c r="F66" i="32"/>
  <c r="E67" i="32"/>
  <c r="F67" i="26"/>
  <c r="E68" i="26"/>
  <c r="E67" i="12"/>
  <c r="F66" i="12"/>
  <c r="E67" i="9"/>
  <c r="F66" i="9"/>
  <c r="F66" i="31"/>
  <c r="E67" i="31"/>
  <c r="F66" i="30"/>
  <c r="E67" i="30"/>
  <c r="F67" i="29"/>
  <c r="E68" i="29"/>
  <c r="F68" i="28"/>
  <c r="E69" i="28"/>
  <c r="F67" i="27"/>
  <c r="E68" i="27"/>
  <c r="F66" i="25"/>
  <c r="E67" i="25"/>
  <c r="E67" i="22"/>
  <c r="F66" i="22"/>
  <c r="E69" i="20"/>
  <c r="F68" i="20"/>
  <c r="E68" i="19"/>
  <c r="F67" i="19"/>
  <c r="F68" i="18"/>
  <c r="E69" i="18"/>
  <c r="F68" i="17"/>
  <c r="E69" i="17"/>
  <c r="E71" i="16"/>
  <c r="F70" i="16"/>
  <c r="F68" i="15"/>
  <c r="E69" i="15"/>
  <c r="E68" i="14"/>
  <c r="F67" i="14"/>
  <c r="F68" i="13"/>
  <c r="E69" i="13"/>
  <c r="E68" i="11"/>
  <c r="F67" i="11"/>
  <c r="E68" i="10"/>
  <c r="F67" i="10"/>
  <c r="F68" i="8"/>
  <c r="E69" i="8"/>
  <c r="E67" i="7"/>
  <c r="F66" i="7"/>
  <c r="F67" i="6"/>
  <c r="E68" i="6"/>
  <c r="E68" i="5"/>
  <c r="F67" i="5"/>
  <c r="F67" i="4"/>
  <c r="E68" i="4"/>
  <c r="E67" i="3"/>
  <c r="F66" i="3"/>
  <c r="E67" i="2"/>
  <c r="F66" i="2"/>
  <c r="F67" i="21" l="1"/>
  <c r="E68" i="21"/>
  <c r="E69" i="40"/>
  <c r="F68" i="40"/>
  <c r="E70" i="37"/>
  <c r="F69" i="37"/>
  <c r="E70" i="41"/>
  <c r="F69" i="41"/>
  <c r="E69" i="43"/>
  <c r="F68" i="43"/>
  <c r="F72" i="42"/>
  <c r="E73" i="42"/>
  <c r="E70" i="39"/>
  <c r="F69" i="39"/>
  <c r="E69" i="38"/>
  <c r="F68" i="38"/>
  <c r="E69" i="36"/>
  <c r="F68" i="36"/>
  <c r="F68" i="35"/>
  <c r="E69" i="35"/>
  <c r="E70" i="34"/>
  <c r="F69" i="34"/>
  <c r="F69" i="33"/>
  <c r="E70" i="33"/>
  <c r="F67" i="32"/>
  <c r="E68" i="32"/>
  <c r="F68" i="26"/>
  <c r="E69" i="26"/>
  <c r="E68" i="12"/>
  <c r="F67" i="12"/>
  <c r="E68" i="9"/>
  <c r="F67" i="9"/>
  <c r="F67" i="31"/>
  <c r="E68" i="31"/>
  <c r="F67" i="30"/>
  <c r="E68" i="30"/>
  <c r="F68" i="29"/>
  <c r="E69" i="29"/>
  <c r="F69" i="28"/>
  <c r="E70" i="28"/>
  <c r="F68" i="27"/>
  <c r="E69" i="27"/>
  <c r="F67" i="25"/>
  <c r="E68" i="25"/>
  <c r="E68" i="22"/>
  <c r="F67" i="22"/>
  <c r="F69" i="20"/>
  <c r="E70" i="20"/>
  <c r="F68" i="19"/>
  <c r="E69" i="19"/>
  <c r="E70" i="18"/>
  <c r="F69" i="18"/>
  <c r="E70" i="17"/>
  <c r="F69" i="17"/>
  <c r="E72" i="16"/>
  <c r="F71" i="16"/>
  <c r="E70" i="15"/>
  <c r="F69" i="15"/>
  <c r="F68" i="14"/>
  <c r="E69" i="14"/>
  <c r="E70" i="13"/>
  <c r="F69" i="13"/>
  <c r="E69" i="11"/>
  <c r="F68" i="11"/>
  <c r="E69" i="10"/>
  <c r="F68" i="10"/>
  <c r="E70" i="8"/>
  <c r="F69" i="8"/>
  <c r="E68" i="7"/>
  <c r="F67" i="7"/>
  <c r="E69" i="6"/>
  <c r="F68" i="6"/>
  <c r="F68" i="5"/>
  <c r="E69" i="5"/>
  <c r="E69" i="4"/>
  <c r="F68" i="4"/>
  <c r="E68" i="3"/>
  <c r="F67" i="3"/>
  <c r="E68" i="2"/>
  <c r="F67" i="2"/>
  <c r="E69" i="21" l="1"/>
  <c r="F68" i="21"/>
  <c r="F69" i="40"/>
  <c r="E70" i="40"/>
  <c r="F70" i="41"/>
  <c r="E71" i="41"/>
  <c r="F70" i="37"/>
  <c r="E71" i="37"/>
  <c r="E70" i="43"/>
  <c r="F69" i="43"/>
  <c r="F73" i="42"/>
  <c r="E74" i="42"/>
  <c r="F70" i="39"/>
  <c r="E71" i="39"/>
  <c r="E70" i="38"/>
  <c r="F69" i="38"/>
  <c r="F69" i="36"/>
  <c r="E70" i="36"/>
  <c r="F69" i="35"/>
  <c r="E70" i="35"/>
  <c r="F70" i="34"/>
  <c r="E71" i="34"/>
  <c r="F70" i="33"/>
  <c r="E71" i="33"/>
  <c r="F68" i="32"/>
  <c r="E69" i="32"/>
  <c r="F69" i="26"/>
  <c r="E70" i="26"/>
  <c r="F68" i="12"/>
  <c r="E69" i="12"/>
  <c r="E69" i="9"/>
  <c r="F68" i="9"/>
  <c r="F68" i="31"/>
  <c r="E69" i="31"/>
  <c r="F68" i="30"/>
  <c r="E69" i="30"/>
  <c r="F69" i="29"/>
  <c r="E70" i="29"/>
  <c r="F70" i="28"/>
  <c r="E71" i="28"/>
  <c r="F69" i="27"/>
  <c r="E70" i="27"/>
  <c r="F68" i="25"/>
  <c r="E69" i="25"/>
  <c r="F68" i="22"/>
  <c r="E69" i="22"/>
  <c r="E71" i="20"/>
  <c r="F70" i="20"/>
  <c r="E70" i="19"/>
  <c r="F69" i="19"/>
  <c r="E71" i="18"/>
  <c r="F70" i="18"/>
  <c r="F70" i="17"/>
  <c r="E71" i="17"/>
  <c r="E73" i="16"/>
  <c r="F72" i="16"/>
  <c r="E71" i="15"/>
  <c r="F70" i="15"/>
  <c r="E70" i="14"/>
  <c r="F69" i="14"/>
  <c r="E71" i="13"/>
  <c r="F70" i="13"/>
  <c r="E70" i="11"/>
  <c r="F69" i="11"/>
  <c r="F69" i="10"/>
  <c r="E70" i="10"/>
  <c r="E71" i="8"/>
  <c r="F70" i="8"/>
  <c r="F68" i="7"/>
  <c r="E69" i="7"/>
  <c r="E70" i="6"/>
  <c r="F69" i="6"/>
  <c r="E70" i="5"/>
  <c r="F69" i="5"/>
  <c r="E70" i="4"/>
  <c r="F69" i="4"/>
  <c r="F68" i="3"/>
  <c r="E69" i="3"/>
  <c r="F68" i="2"/>
  <c r="E69" i="2"/>
  <c r="E70" i="21" l="1"/>
  <c r="F69" i="21"/>
  <c r="E71" i="40"/>
  <c r="F70" i="40"/>
  <c r="E72" i="37"/>
  <c r="F71" i="37"/>
  <c r="F71" i="41"/>
  <c r="E72" i="41"/>
  <c r="F70" i="43"/>
  <c r="E71" i="43"/>
  <c r="F74" i="42"/>
  <c r="E75" i="42"/>
  <c r="F71" i="39"/>
  <c r="E72" i="39"/>
  <c r="F70" i="38"/>
  <c r="E71" i="38"/>
  <c r="E71" i="36"/>
  <c r="F70" i="36"/>
  <c r="F70" i="35"/>
  <c r="E71" i="35"/>
  <c r="E72" i="34"/>
  <c r="F71" i="34"/>
  <c r="F71" i="33"/>
  <c r="E72" i="33"/>
  <c r="F69" i="32"/>
  <c r="E70" i="32"/>
  <c r="E71" i="26"/>
  <c r="F70" i="26"/>
  <c r="E70" i="12"/>
  <c r="F69" i="12"/>
  <c r="E70" i="9"/>
  <c r="F69" i="9"/>
  <c r="F69" i="31"/>
  <c r="E70" i="31"/>
  <c r="F69" i="30"/>
  <c r="E70" i="30"/>
  <c r="F70" i="29"/>
  <c r="E71" i="29"/>
  <c r="F71" i="28"/>
  <c r="E72" i="28"/>
  <c r="F70" i="27"/>
  <c r="E71" i="27"/>
  <c r="F69" i="25"/>
  <c r="E70" i="25"/>
  <c r="E70" i="22"/>
  <c r="F69" i="22"/>
  <c r="F71" i="20"/>
  <c r="E72" i="20"/>
  <c r="F70" i="19"/>
  <c r="E71" i="19"/>
  <c r="F71" i="18"/>
  <c r="E72" i="18"/>
  <c r="F71" i="17"/>
  <c r="E72" i="17"/>
  <c r="F73" i="16"/>
  <c r="E74" i="16"/>
  <c r="F71" i="15"/>
  <c r="E72" i="15"/>
  <c r="E71" i="14"/>
  <c r="F70" i="14"/>
  <c r="F71" i="13"/>
  <c r="E72" i="13"/>
  <c r="E71" i="11"/>
  <c r="F70" i="11"/>
  <c r="E71" i="10"/>
  <c r="F70" i="10"/>
  <c r="F71" i="8"/>
  <c r="E72" i="8"/>
  <c r="F69" i="7"/>
  <c r="E70" i="7"/>
  <c r="F70" i="6"/>
  <c r="E71" i="6"/>
  <c r="E71" i="5"/>
  <c r="F70" i="5"/>
  <c r="F70" i="4"/>
  <c r="E71" i="4"/>
  <c r="F69" i="3"/>
  <c r="E70" i="3"/>
  <c r="F69" i="2"/>
  <c r="E70" i="2"/>
  <c r="F70" i="21" l="1"/>
  <c r="E71" i="21"/>
  <c r="E72" i="40"/>
  <c r="F71" i="40"/>
  <c r="F72" i="41"/>
  <c r="E73" i="41"/>
  <c r="E73" i="37"/>
  <c r="F72" i="37"/>
  <c r="F71" i="43"/>
  <c r="E72" i="43"/>
  <c r="F75" i="42"/>
  <c r="E76" i="42"/>
  <c r="E73" i="39"/>
  <c r="F72" i="39"/>
  <c r="F71" i="38"/>
  <c r="E72" i="38"/>
  <c r="F71" i="36"/>
  <c r="E72" i="36"/>
  <c r="F71" i="35"/>
  <c r="E72" i="35"/>
  <c r="E73" i="34"/>
  <c r="F72" i="34"/>
  <c r="F72" i="33"/>
  <c r="E73" i="33"/>
  <c r="F70" i="32"/>
  <c r="E71" i="32"/>
  <c r="F71" i="26"/>
  <c r="E72" i="26"/>
  <c r="F70" i="12"/>
  <c r="E71" i="12"/>
  <c r="E71" i="9"/>
  <c r="F70" i="9"/>
  <c r="F70" i="31"/>
  <c r="E71" i="31"/>
  <c r="F70" i="30"/>
  <c r="E71" i="30"/>
  <c r="F71" i="29"/>
  <c r="E72" i="29"/>
  <c r="F72" i="28"/>
  <c r="E73" i="28"/>
  <c r="F71" i="27"/>
  <c r="E72" i="27"/>
  <c r="F70" i="25"/>
  <c r="E71" i="25"/>
  <c r="F70" i="22"/>
  <c r="E71" i="22"/>
  <c r="E73" i="20"/>
  <c r="F72" i="20"/>
  <c r="F71" i="19"/>
  <c r="E72" i="19"/>
  <c r="E73" i="18"/>
  <c r="F72" i="18"/>
  <c r="E73" i="17"/>
  <c r="F72" i="17"/>
  <c r="E75" i="16"/>
  <c r="F74" i="16"/>
  <c r="E73" i="15"/>
  <c r="F72" i="15"/>
  <c r="E72" i="14"/>
  <c r="F71" i="14"/>
  <c r="E73" i="13"/>
  <c r="F72" i="13"/>
  <c r="F71" i="11"/>
  <c r="E72" i="11"/>
  <c r="F71" i="10"/>
  <c r="E72" i="10"/>
  <c r="E73" i="8"/>
  <c r="F72" i="8"/>
  <c r="E71" i="7"/>
  <c r="F70" i="7"/>
  <c r="E72" i="6"/>
  <c r="F71" i="6"/>
  <c r="E72" i="5"/>
  <c r="F71" i="5"/>
  <c r="E72" i="4"/>
  <c r="F71" i="4"/>
  <c r="E71" i="3"/>
  <c r="F70" i="3"/>
  <c r="F70" i="2"/>
  <c r="E71" i="2"/>
  <c r="F71" i="21" l="1"/>
  <c r="E72" i="21"/>
  <c r="E73" i="40"/>
  <c r="F72" i="40"/>
  <c r="E74" i="37"/>
  <c r="F73" i="37"/>
  <c r="F73" i="41"/>
  <c r="E74" i="41"/>
  <c r="E73" i="43"/>
  <c r="F72" i="43"/>
  <c r="F76" i="42"/>
  <c r="E77" i="42"/>
  <c r="E74" i="39"/>
  <c r="F73" i="39"/>
  <c r="E73" i="38"/>
  <c r="F72" i="38"/>
  <c r="E73" i="36"/>
  <c r="F72" i="36"/>
  <c r="F72" i="35"/>
  <c r="E73" i="35"/>
  <c r="E74" i="34"/>
  <c r="F73" i="34"/>
  <c r="F73" i="33"/>
  <c r="E74" i="33"/>
  <c r="F71" i="32"/>
  <c r="E72" i="32"/>
  <c r="E73" i="26"/>
  <c r="F72" i="26"/>
  <c r="F71" i="12"/>
  <c r="E72" i="12"/>
  <c r="F71" i="9"/>
  <c r="E72" i="9"/>
  <c r="F71" i="31"/>
  <c r="E72" i="31"/>
  <c r="F71" i="30"/>
  <c r="E72" i="30"/>
  <c r="F72" i="29"/>
  <c r="E73" i="29"/>
  <c r="F73" i="28"/>
  <c r="E74" i="28"/>
  <c r="F72" i="27"/>
  <c r="E73" i="27"/>
  <c r="F71" i="25"/>
  <c r="E72" i="25"/>
  <c r="F71" i="22"/>
  <c r="E72" i="22"/>
  <c r="E74" i="20"/>
  <c r="F73" i="20"/>
  <c r="E73" i="19"/>
  <c r="F72" i="19"/>
  <c r="E74" i="18"/>
  <c r="F73" i="18"/>
  <c r="E74" i="17"/>
  <c r="F73" i="17"/>
  <c r="E76" i="16"/>
  <c r="F75" i="16"/>
  <c r="E74" i="15"/>
  <c r="F73" i="15"/>
  <c r="E73" i="14"/>
  <c r="F72" i="14"/>
  <c r="E74" i="13"/>
  <c r="F73" i="13"/>
  <c r="E73" i="11"/>
  <c r="F72" i="11"/>
  <c r="E73" i="10"/>
  <c r="F72" i="10"/>
  <c r="E74" i="8"/>
  <c r="F73" i="8"/>
  <c r="F71" i="7"/>
  <c r="E72" i="7"/>
  <c r="F72" i="6"/>
  <c r="E73" i="6"/>
  <c r="E73" i="5"/>
  <c r="F72" i="5"/>
  <c r="E73" i="4"/>
  <c r="F72" i="4"/>
  <c r="F71" i="3"/>
  <c r="E72" i="3"/>
  <c r="F71" i="2"/>
  <c r="E72" i="2"/>
  <c r="E73" i="21" l="1"/>
  <c r="F72" i="21"/>
  <c r="F73" i="40"/>
  <c r="E74" i="40"/>
  <c r="F74" i="41"/>
  <c r="E75" i="41"/>
  <c r="F74" i="37"/>
  <c r="E75" i="37"/>
  <c r="E74" i="43"/>
  <c r="F73" i="43"/>
  <c r="F77" i="42"/>
  <c r="E78" i="42"/>
  <c r="F74" i="39"/>
  <c r="E75" i="39"/>
  <c r="E74" i="38"/>
  <c r="F73" i="38"/>
  <c r="F73" i="36"/>
  <c r="E74" i="36"/>
  <c r="F73" i="35"/>
  <c r="E74" i="35"/>
  <c r="F74" i="34"/>
  <c r="E75" i="34"/>
  <c r="F74" i="33"/>
  <c r="E75" i="33"/>
  <c r="F72" i="32"/>
  <c r="E73" i="32"/>
  <c r="E74" i="26"/>
  <c r="F73" i="26"/>
  <c r="E73" i="12"/>
  <c r="F72" i="12"/>
  <c r="F72" i="9"/>
  <c r="E73" i="9"/>
  <c r="F72" i="31"/>
  <c r="E73" i="31"/>
  <c r="F72" i="30"/>
  <c r="E73" i="30"/>
  <c r="F73" i="29"/>
  <c r="E74" i="29"/>
  <c r="F74" i="28"/>
  <c r="E75" i="28"/>
  <c r="F73" i="27"/>
  <c r="E74" i="27"/>
  <c r="F72" i="25"/>
  <c r="E73" i="25"/>
  <c r="E73" i="22"/>
  <c r="F72" i="22"/>
  <c r="E75" i="20"/>
  <c r="F74" i="20"/>
  <c r="E74" i="19"/>
  <c r="F73" i="19"/>
  <c r="E75" i="18"/>
  <c r="F74" i="18"/>
  <c r="E75" i="17"/>
  <c r="F74" i="17"/>
  <c r="F76" i="16"/>
  <c r="E77" i="16"/>
  <c r="E75" i="15"/>
  <c r="F74" i="15"/>
  <c r="F73" i="14"/>
  <c r="E74" i="14"/>
  <c r="F74" i="13"/>
  <c r="E75" i="13"/>
  <c r="E74" i="11"/>
  <c r="F73" i="11"/>
  <c r="E74" i="10"/>
  <c r="F73" i="10"/>
  <c r="E75" i="8"/>
  <c r="F74" i="8"/>
  <c r="E73" i="7"/>
  <c r="F72" i="7"/>
  <c r="E74" i="6"/>
  <c r="F73" i="6"/>
  <c r="F73" i="5"/>
  <c r="E74" i="5"/>
  <c r="F73" i="4"/>
  <c r="E74" i="4"/>
  <c r="E73" i="3"/>
  <c r="F72" i="3"/>
  <c r="E73" i="2"/>
  <c r="F72" i="2"/>
  <c r="E74" i="21" l="1"/>
  <c r="F73" i="21"/>
  <c r="F74" i="40"/>
  <c r="E75" i="40"/>
  <c r="F75" i="37"/>
  <c r="E76" i="37"/>
  <c r="F75" i="41"/>
  <c r="E76" i="41"/>
  <c r="F74" i="43"/>
  <c r="E75" i="43"/>
  <c r="F78" i="42"/>
  <c r="E79" i="42"/>
  <c r="F79" i="42" s="1"/>
  <c r="F75" i="39"/>
  <c r="E76" i="39"/>
  <c r="F74" i="38"/>
  <c r="E75" i="38"/>
  <c r="F74" i="36"/>
  <c r="E75" i="36"/>
  <c r="F74" i="35"/>
  <c r="E75" i="35"/>
  <c r="E76" i="34"/>
  <c r="F75" i="34"/>
  <c r="F75" i="33"/>
  <c r="E76" i="33"/>
  <c r="F73" i="32"/>
  <c r="E74" i="32"/>
  <c r="F74" i="26"/>
  <c r="E75" i="26"/>
  <c r="E74" i="12"/>
  <c r="F73" i="12"/>
  <c r="E74" i="9"/>
  <c r="F73" i="9"/>
  <c r="F73" i="31"/>
  <c r="E74" i="31"/>
  <c r="F73" i="30"/>
  <c r="E74" i="30"/>
  <c r="F74" i="29"/>
  <c r="E75" i="29"/>
  <c r="F75" i="28"/>
  <c r="E76" i="28"/>
  <c r="F74" i="27"/>
  <c r="E75" i="27"/>
  <c r="F73" i="25"/>
  <c r="E74" i="25"/>
  <c r="E74" i="22"/>
  <c r="F73" i="22"/>
  <c r="E76" i="20"/>
  <c r="F75" i="20"/>
  <c r="F74" i="19"/>
  <c r="E75" i="19"/>
  <c r="E76" i="18"/>
  <c r="F75" i="18"/>
  <c r="F75" i="17"/>
  <c r="E76" i="17"/>
  <c r="E78" i="16"/>
  <c r="F77" i="16"/>
  <c r="F75" i="15"/>
  <c r="E76" i="15"/>
  <c r="F74" i="14"/>
  <c r="E75" i="14"/>
  <c r="E76" i="13"/>
  <c r="F75" i="13"/>
  <c r="E75" i="11"/>
  <c r="F74" i="11"/>
  <c r="E75" i="10"/>
  <c r="F74" i="10"/>
  <c r="E76" i="8"/>
  <c r="F75" i="8"/>
  <c r="E74" i="7"/>
  <c r="F73" i="7"/>
  <c r="E75" i="6"/>
  <c r="F74" i="6"/>
  <c r="E75" i="5"/>
  <c r="F74" i="5"/>
  <c r="E75" i="4"/>
  <c r="F74" i="4"/>
  <c r="E74" i="3"/>
  <c r="F73" i="3"/>
  <c r="E74" i="2"/>
  <c r="F73" i="2"/>
  <c r="E75" i="21" l="1"/>
  <c r="F74" i="21"/>
  <c r="F75" i="40"/>
  <c r="E76" i="40"/>
  <c r="F76" i="41"/>
  <c r="E77" i="41"/>
  <c r="F76" i="37"/>
  <c r="E77" i="37"/>
  <c r="F75" i="43"/>
  <c r="E76" i="43"/>
  <c r="E77" i="39"/>
  <c r="F76" i="39"/>
  <c r="F75" i="38"/>
  <c r="E76" i="38"/>
  <c r="F75" i="36"/>
  <c r="E76" i="36"/>
  <c r="F75" i="35"/>
  <c r="E76" i="35"/>
  <c r="E77" i="34"/>
  <c r="F76" i="34"/>
  <c r="F76" i="33"/>
  <c r="E77" i="33"/>
  <c r="F74" i="32"/>
  <c r="E75" i="32"/>
  <c r="F75" i="26"/>
  <c r="E76" i="26"/>
  <c r="E75" i="12"/>
  <c r="F74" i="12"/>
  <c r="E75" i="9"/>
  <c r="F74" i="9"/>
  <c r="F74" i="31"/>
  <c r="E75" i="31"/>
  <c r="F74" i="30"/>
  <c r="E75" i="30"/>
  <c r="F75" i="29"/>
  <c r="E76" i="29"/>
  <c r="F76" i="28"/>
  <c r="E77" i="28"/>
  <c r="F75" i="27"/>
  <c r="E76" i="27"/>
  <c r="F74" i="25"/>
  <c r="E75" i="25"/>
  <c r="E75" i="22"/>
  <c r="F74" i="22"/>
  <c r="E77" i="20"/>
  <c r="F76" i="20"/>
  <c r="E76" i="19"/>
  <c r="F75" i="19"/>
  <c r="F76" i="18"/>
  <c r="E77" i="18"/>
  <c r="E77" i="17"/>
  <c r="F76" i="17"/>
  <c r="E79" i="16"/>
  <c r="F79" i="16" s="1"/>
  <c r="F78" i="16"/>
  <c r="F76" i="15"/>
  <c r="E77" i="15"/>
  <c r="F75" i="14"/>
  <c r="E76" i="14"/>
  <c r="F76" i="13"/>
  <c r="E77" i="13"/>
  <c r="F75" i="11"/>
  <c r="E76" i="11"/>
  <c r="E76" i="10"/>
  <c r="F75" i="10"/>
  <c r="F76" i="8"/>
  <c r="E77" i="8"/>
  <c r="E75" i="7"/>
  <c r="F74" i="7"/>
  <c r="F75" i="6"/>
  <c r="E76" i="6"/>
  <c r="E76" i="5"/>
  <c r="F75" i="5"/>
  <c r="F75" i="4"/>
  <c r="E76" i="4"/>
  <c r="E75" i="3"/>
  <c r="F74" i="3"/>
  <c r="E75" i="2"/>
  <c r="F74" i="2"/>
  <c r="E76" i="21" l="1"/>
  <c r="F75" i="21"/>
  <c r="F76" i="40"/>
  <c r="E77" i="40"/>
  <c r="E78" i="37"/>
  <c r="F77" i="37"/>
  <c r="F77" i="41"/>
  <c r="E78" i="41"/>
  <c r="E77" i="43"/>
  <c r="F76" i="43"/>
  <c r="E78" i="39"/>
  <c r="F77" i="39"/>
  <c r="E77" i="38"/>
  <c r="F76" i="38"/>
  <c r="F76" i="36"/>
  <c r="E77" i="36"/>
  <c r="F76" i="35"/>
  <c r="E77" i="35"/>
  <c r="E78" i="34"/>
  <c r="F77" i="34"/>
  <c r="F77" i="33"/>
  <c r="E78" i="33"/>
  <c r="F75" i="32"/>
  <c r="E76" i="32"/>
  <c r="E77" i="26"/>
  <c r="F76" i="26"/>
  <c r="F75" i="12"/>
  <c r="E76" i="12"/>
  <c r="E76" i="9"/>
  <c r="F75" i="9"/>
  <c r="F75" i="31"/>
  <c r="E76" i="31"/>
  <c r="F75" i="30"/>
  <c r="E76" i="30"/>
  <c r="F76" i="29"/>
  <c r="E77" i="29"/>
  <c r="F77" i="28"/>
  <c r="E78" i="28"/>
  <c r="F76" i="27"/>
  <c r="E77" i="27"/>
  <c r="F75" i="25"/>
  <c r="E76" i="25"/>
  <c r="E76" i="22"/>
  <c r="F75" i="22"/>
  <c r="F77" i="20"/>
  <c r="E78" i="20"/>
  <c r="F76" i="19"/>
  <c r="E77" i="19"/>
  <c r="E78" i="18"/>
  <c r="F77" i="18"/>
  <c r="E78" i="17"/>
  <c r="F77" i="17"/>
  <c r="E78" i="15"/>
  <c r="F77" i="15"/>
  <c r="F76" i="14"/>
  <c r="E77" i="14"/>
  <c r="E78" i="13"/>
  <c r="F77" i="13"/>
  <c r="E77" i="11"/>
  <c r="F76" i="11"/>
  <c r="F76" i="10"/>
  <c r="E77" i="10"/>
  <c r="E78" i="8"/>
  <c r="F77" i="8"/>
  <c r="E76" i="7"/>
  <c r="F75" i="7"/>
  <c r="F76" i="6"/>
  <c r="E77" i="6"/>
  <c r="F76" i="5"/>
  <c r="E77" i="5"/>
  <c r="E77" i="4"/>
  <c r="F76" i="4"/>
  <c r="F75" i="3"/>
  <c r="E76" i="3"/>
  <c r="E76" i="2"/>
  <c r="F75" i="2"/>
  <c r="F76" i="21" l="1"/>
  <c r="E77" i="21"/>
  <c r="F77" i="40"/>
  <c r="E78" i="40"/>
  <c r="F78" i="41"/>
  <c r="E79" i="41"/>
  <c r="F79" i="41" s="1"/>
  <c r="E79" i="37"/>
  <c r="F79" i="37" s="1"/>
  <c r="F78" i="37"/>
  <c r="E78" i="43"/>
  <c r="F77" i="43"/>
  <c r="F78" i="39"/>
  <c r="E79" i="39"/>
  <c r="F79" i="39" s="1"/>
  <c r="E78" i="38"/>
  <c r="F77" i="38"/>
  <c r="E78" i="36"/>
  <c r="F77" i="36"/>
  <c r="F77" i="35"/>
  <c r="E78" i="35"/>
  <c r="F78" i="34"/>
  <c r="E79" i="34"/>
  <c r="F79" i="34" s="1"/>
  <c r="F78" i="33"/>
  <c r="E79" i="33"/>
  <c r="F79" i="33" s="1"/>
  <c r="F76" i="32"/>
  <c r="E77" i="32"/>
  <c r="E78" i="26"/>
  <c r="F77" i="26"/>
  <c r="F76" i="12"/>
  <c r="E77" i="12"/>
  <c r="F76" i="9"/>
  <c r="E77" i="9"/>
  <c r="F76" i="31"/>
  <c r="E77" i="31"/>
  <c r="F76" i="30"/>
  <c r="E77" i="30"/>
  <c r="F77" i="29"/>
  <c r="E78" i="29"/>
  <c r="F78" i="28"/>
  <c r="E79" i="28"/>
  <c r="F79" i="28" s="1"/>
  <c r="F77" i="27"/>
  <c r="E78" i="27"/>
  <c r="F76" i="25"/>
  <c r="E77" i="25"/>
  <c r="F76" i="22"/>
  <c r="E77" i="22"/>
  <c r="E79" i="20"/>
  <c r="F79" i="20" s="1"/>
  <c r="F78" i="20"/>
  <c r="E78" i="19"/>
  <c r="F77" i="19"/>
  <c r="E79" i="18"/>
  <c r="F79" i="18" s="1"/>
  <c r="F78" i="18"/>
  <c r="F78" i="17"/>
  <c r="E79" i="17"/>
  <c r="F79" i="17" s="1"/>
  <c r="E79" i="15"/>
  <c r="F79" i="15" s="1"/>
  <c r="F78" i="15"/>
  <c r="E78" i="14"/>
  <c r="F77" i="14"/>
  <c r="E79" i="13"/>
  <c r="F79" i="13" s="1"/>
  <c r="F78" i="13"/>
  <c r="F77" i="11"/>
  <c r="E78" i="11"/>
  <c r="F77" i="10"/>
  <c r="E78" i="10"/>
  <c r="E79" i="8"/>
  <c r="F79" i="8" s="1"/>
  <c r="F78" i="8"/>
  <c r="F76" i="7"/>
  <c r="E77" i="7"/>
  <c r="E78" i="6"/>
  <c r="F77" i="6"/>
  <c r="E78" i="5"/>
  <c r="F77" i="5"/>
  <c r="E78" i="4"/>
  <c r="F77" i="4"/>
  <c r="F76" i="3"/>
  <c r="E77" i="3"/>
  <c r="F76" i="2"/>
  <c r="E77" i="2"/>
  <c r="E78" i="21" l="1"/>
  <c r="F77" i="21"/>
  <c r="F78" i="40"/>
  <c r="E79" i="40"/>
  <c r="F79" i="40" s="1"/>
  <c r="F78" i="43"/>
  <c r="E79" i="43"/>
  <c r="F79" i="43" s="1"/>
  <c r="F78" i="38"/>
  <c r="E79" i="38"/>
  <c r="F79" i="38" s="1"/>
  <c r="F78" i="36"/>
  <c r="E79" i="36"/>
  <c r="F79" i="36" s="1"/>
  <c r="F78" i="35"/>
  <c r="E79" i="35"/>
  <c r="F79" i="35" s="1"/>
  <c r="F77" i="32"/>
  <c r="E78" i="32"/>
  <c r="E79" i="26"/>
  <c r="F79" i="26" s="1"/>
  <c r="F78" i="26"/>
  <c r="E78" i="12"/>
  <c r="F77" i="12"/>
  <c r="E78" i="9"/>
  <c r="F77" i="9"/>
  <c r="E78" i="31"/>
  <c r="F77" i="31"/>
  <c r="F77" i="30"/>
  <c r="E78" i="30"/>
  <c r="F78" i="29"/>
  <c r="E79" i="29"/>
  <c r="F79" i="29" s="1"/>
  <c r="F78" i="27"/>
  <c r="E79" i="27"/>
  <c r="F79" i="27" s="1"/>
  <c r="F77" i="25"/>
  <c r="E78" i="25"/>
  <c r="E78" i="22"/>
  <c r="F77" i="22"/>
  <c r="F78" i="19"/>
  <c r="E79" i="19"/>
  <c r="F79" i="19" s="1"/>
  <c r="E79" i="14"/>
  <c r="F79" i="14" s="1"/>
  <c r="F78" i="14"/>
  <c r="E79" i="11"/>
  <c r="F79" i="11" s="1"/>
  <c r="F78" i="11"/>
  <c r="E79" i="10"/>
  <c r="F79" i="10" s="1"/>
  <c r="F78" i="10"/>
  <c r="E78" i="7"/>
  <c r="F77" i="7"/>
  <c r="F78" i="6"/>
  <c r="E79" i="6"/>
  <c r="F79" i="6" s="1"/>
  <c r="E79" i="5"/>
  <c r="F79" i="5" s="1"/>
  <c r="F78" i="5"/>
  <c r="F78" i="4"/>
  <c r="E79" i="4"/>
  <c r="F79" i="4" s="1"/>
  <c r="F77" i="3"/>
  <c r="E78" i="3"/>
  <c r="F77" i="2"/>
  <c r="E78" i="2"/>
  <c r="F78" i="21" l="1"/>
  <c r="E79" i="21"/>
  <c r="F79" i="21" s="1"/>
  <c r="F78" i="32"/>
  <c r="E79" i="32"/>
  <c r="F79" i="32" s="1"/>
  <c r="F78" i="12"/>
  <c r="E79" i="12"/>
  <c r="F79" i="12" s="1"/>
  <c r="F78" i="9"/>
  <c r="E79" i="9"/>
  <c r="F79" i="9" s="1"/>
  <c r="F78" i="31"/>
  <c r="E79" i="31"/>
  <c r="F79" i="31" s="1"/>
  <c r="F78" i="30"/>
  <c r="E79" i="30"/>
  <c r="F79" i="30" s="1"/>
  <c r="F78" i="25"/>
  <c r="E79" i="25"/>
  <c r="F79" i="25" s="1"/>
  <c r="F78" i="22"/>
  <c r="E79" i="22"/>
  <c r="F79" i="22" s="1"/>
  <c r="E79" i="7"/>
  <c r="F79" i="7" s="1"/>
  <c r="F78" i="7"/>
  <c r="E79" i="3"/>
  <c r="F79" i="3" s="1"/>
  <c r="F78" i="3"/>
  <c r="E79" i="2"/>
  <c r="F79" i="2" s="1"/>
  <c r="F78" i="2"/>
</calcChain>
</file>

<file path=xl/sharedStrings.xml><?xml version="1.0" encoding="utf-8"?>
<sst xmlns="http://schemas.openxmlformats.org/spreadsheetml/2006/main" count="1289" uniqueCount="135">
  <si>
    <t>赛季开始时间</t>
    <phoneticPr fontId="3" type="noConversion"/>
  </si>
  <si>
    <t>结束时间</t>
    <phoneticPr fontId="3" type="noConversion"/>
  </si>
  <si>
    <t>迈克尔-乔丹</t>
  </si>
  <si>
    <t>姓名</t>
    <phoneticPr fontId="3" type="noConversion"/>
  </si>
  <si>
    <t>是否出战</t>
    <phoneticPr fontId="3" type="noConversion"/>
  </si>
  <si>
    <t>个人赛季</t>
    <phoneticPr fontId="3" type="noConversion"/>
  </si>
  <si>
    <t>MVP</t>
    <phoneticPr fontId="3" type="noConversion"/>
  </si>
  <si>
    <t>FMVP</t>
    <phoneticPr fontId="3" type="noConversion"/>
  </si>
  <si>
    <t>得分王</t>
    <phoneticPr fontId="3" type="noConversion"/>
  </si>
  <si>
    <t>DPOY</t>
    <phoneticPr fontId="3" type="noConversion"/>
  </si>
  <si>
    <t>一阵</t>
    <phoneticPr fontId="3" type="noConversion"/>
  </si>
  <si>
    <t>一防</t>
    <phoneticPr fontId="3" type="noConversion"/>
  </si>
  <si>
    <t>总冠军</t>
    <phoneticPr fontId="3" type="noConversion"/>
  </si>
  <si>
    <t>篮板王</t>
    <phoneticPr fontId="3" type="noConversion"/>
  </si>
  <si>
    <t>助攻王</t>
    <phoneticPr fontId="3" type="noConversion"/>
  </si>
  <si>
    <t>抢断王</t>
    <phoneticPr fontId="3" type="noConversion"/>
  </si>
  <si>
    <t>盖帽王</t>
    <phoneticPr fontId="3" type="noConversion"/>
  </si>
  <si>
    <t>常规PER</t>
    <phoneticPr fontId="3" type="noConversion"/>
  </si>
  <si>
    <t>常规WS</t>
    <phoneticPr fontId="3" type="noConversion"/>
  </si>
  <si>
    <t>季后PER</t>
    <phoneticPr fontId="3" type="noConversion"/>
  </si>
  <si>
    <t>季后WS</t>
    <phoneticPr fontId="3" type="noConversion"/>
  </si>
  <si>
    <t>是否季后赛</t>
    <phoneticPr fontId="3" type="noConversion"/>
  </si>
  <si>
    <t>总计</t>
    <phoneticPr fontId="3" type="noConversion"/>
  </si>
  <si>
    <t>卡里姆-贾巴尔</t>
  </si>
  <si>
    <t>常规赛统计</t>
    <phoneticPr fontId="3" type="noConversion"/>
  </si>
  <si>
    <t>勒布朗-詹姆斯</t>
  </si>
  <si>
    <t>威尔特-张伯伦</t>
  </si>
  <si>
    <t>比尔-拉塞尔</t>
  </si>
  <si>
    <t>埃尔文-约翰逊</t>
  </si>
  <si>
    <t>蒂姆-邓肯</t>
  </si>
  <si>
    <t>沙奎尔-奥尼尔</t>
  </si>
  <si>
    <t>常规赛</t>
    <phoneticPr fontId="3" type="noConversion"/>
  </si>
  <si>
    <t>季后赛</t>
    <phoneticPr fontId="3" type="noConversion"/>
  </si>
  <si>
    <t>C01</t>
    <phoneticPr fontId="3" type="noConversion"/>
  </si>
  <si>
    <t>C02</t>
    <phoneticPr fontId="3" type="noConversion"/>
  </si>
  <si>
    <t>C03</t>
    <phoneticPr fontId="3" type="noConversion"/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</si>
  <si>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</si>
  <si>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</si>
  <si>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</si>
  <si>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</si>
  <si>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</si>
  <si>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</si>
  <si>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</si>
  <si>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</si>
  <si>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</si>
  <si>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</si>
  <si>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</si>
  <si>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</si>
  <si>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</si>
  <si>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</si>
  <si>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</si>
  <si>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</si>
  <si>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</si>
  <si>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拉里-伯德</t>
  </si>
  <si>
    <t>科比-布莱恩特</t>
  </si>
  <si>
    <t>权重</t>
    <phoneticPr fontId="3" type="noConversion"/>
  </si>
  <si>
    <t>哈基姆-奥拉朱旺</t>
  </si>
  <si>
    <t>杰里-韦斯特</t>
  </si>
  <si>
    <t>摩西-马龙</t>
  </si>
  <si>
    <t>卡尔-马龙</t>
  </si>
  <si>
    <t>鲍勃-佩蒂特</t>
  </si>
  <si>
    <t>朱利叶斯-欧文</t>
  </si>
  <si>
    <t>德克-诺维茨基</t>
  </si>
  <si>
    <t>凯文-杜兰特</t>
  </si>
  <si>
    <t>奥斯卡-罗波特森</t>
  </si>
  <si>
    <t>大卫-罗宾逊</t>
  </si>
  <si>
    <t>常规赛积分</t>
  </si>
  <si>
    <t>常规赛积分</t>
    <phoneticPr fontId="3" type="noConversion"/>
  </si>
  <si>
    <t>季后赛积分</t>
  </si>
  <si>
    <t>季后赛积分</t>
    <phoneticPr fontId="3" type="noConversion"/>
  </si>
  <si>
    <t>荣誉积分</t>
  </si>
  <si>
    <t>荣誉积分</t>
    <phoneticPr fontId="3" type="noConversion"/>
  </si>
  <si>
    <t>总积分</t>
  </si>
  <si>
    <t>总积分</t>
    <phoneticPr fontId="3" type="noConversion"/>
  </si>
  <si>
    <t>荣誉系数</t>
  </si>
  <si>
    <t>荣誉系数</t>
    <phoneticPr fontId="3" type="noConversion"/>
  </si>
  <si>
    <t>凯文-加内特</t>
  </si>
  <si>
    <t>约翰-哈福利切克</t>
  </si>
  <si>
    <t>查尔斯-巴克利</t>
  </si>
  <si>
    <t>德维恩-韦德</t>
  </si>
  <si>
    <t>斯蒂芬-库里</t>
  </si>
  <si>
    <t>斯科蒂-皮蓬</t>
  </si>
  <si>
    <t>约翰-斯托克顿</t>
  </si>
  <si>
    <t>史蒂夫-纳什</t>
  </si>
  <si>
    <t>克里斯-保罗</t>
  </si>
  <si>
    <t>阿伦-艾弗森</t>
  </si>
  <si>
    <t>拉塞尔-威斯布鲁克</t>
  </si>
  <si>
    <t>詹姆斯-哈登</t>
  </si>
  <si>
    <t>科怀-伦纳德</t>
  </si>
  <si>
    <t>克莱-汤普森</t>
  </si>
  <si>
    <t>姚明</t>
  </si>
  <si>
    <t>特雷西-麦克格雷迪</t>
  </si>
  <si>
    <t>卡梅罗-安东尼</t>
  </si>
  <si>
    <t>保罗-乔治</t>
  </si>
  <si>
    <t>托尼-帕克</t>
  </si>
  <si>
    <t>马努-吉诺比利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</si>
  <si>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</si>
  <si>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</si>
  <si>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</si>
  <si>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</si>
  <si>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</si>
  <si>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</si>
  <si>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</si>
  <si>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</si>
  <si>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</si>
  <si>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</si>
  <si>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</si>
  <si>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</si>
  <si>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</si>
  <si>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</si>
  <si>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</si>
  <si>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</si>
  <si>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</si>
  <si>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</si>
  <si>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</si>
  <si>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</si>
  <si>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姓名</t>
    <phoneticPr fontId="3" type="noConversion"/>
  </si>
  <si>
    <t>排名</t>
    <phoneticPr fontId="3" type="noConversion"/>
  </si>
  <si>
    <t>季后赛PER</t>
    <phoneticPr fontId="3" type="noConversion"/>
  </si>
  <si>
    <t>季后赛WS</t>
    <phoneticPr fontId="3" type="noConversion"/>
  </si>
  <si>
    <t>数据积分</t>
    <phoneticPr fontId="3" type="noConversion"/>
  </si>
  <si>
    <t>赛季平均积分</t>
    <phoneticPr fontId="3" type="noConversion"/>
  </si>
  <si>
    <t>常规赛PER</t>
    <phoneticPr fontId="3" type="noConversion"/>
  </si>
  <si>
    <t>常规赛WS</t>
    <phoneticPr fontId="3" type="noConversion"/>
  </si>
  <si>
    <t>赛季末年份</t>
    <phoneticPr fontId="3" type="noConversion"/>
  </si>
  <si>
    <t>场均积分</t>
    <phoneticPr fontId="3" type="noConversion"/>
  </si>
  <si>
    <t>NBA球星历史荣誉积分榜V1（20190801版）</t>
    <phoneticPr fontId="3" type="noConversion"/>
  </si>
  <si>
    <t>NBA数据以及模型开源地址：github.com/mediv01/NBASuperStarEvaluationModel</t>
    <phoneticPr fontId="3" type="noConversion"/>
  </si>
  <si>
    <t>注意事项：</t>
    <phoneticPr fontId="3" type="noConversion"/>
  </si>
  <si>
    <t>本程序以及文档遵循GPL 3.0开源协议，你可以自由的下载、查看、分享、修改。</t>
    <phoneticPr fontId="3" type="noConversion"/>
  </si>
  <si>
    <t>如果修改文件后需要重新发布，需注明原作者mediv01以及原地址:github.com/mediv01/NBASuperStarEvaluationModel</t>
    <phoneticPr fontId="3" type="noConversion"/>
  </si>
  <si>
    <t>并遵循GPL 3.0开源协议的要求，将新发布的文件以及模型开源</t>
    <phoneticPr fontId="3" type="noConversion"/>
  </si>
  <si>
    <t>如果需要商用，请联系mediv01@163.com授权</t>
    <phoneticPr fontId="3" type="noConversion"/>
  </si>
  <si>
    <t>本文档图片使用的字体是开源的思源黑体，如果需要保证使用效果，请自行下载相关字体。</t>
    <phoneticPr fontId="3" type="noConversion"/>
  </si>
  <si>
    <t>项目开源地址：github.com/mediv01/NBASuperStarEvaluationModel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</si>
</sst>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22"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theme="1"/>
      <name val="Source Han Sans Heavy"/>
      <family val="2"/>
      <charset val="134"/>
    </font>
    <font>
      <i/>
      <sz val="11"/>
      <color theme="1"/>
      <name val="Source Han Sans Heavy"/>
      <family val="2"/>
      <charset val="134"/>
    </font>
    <font>
      <sz val="18"/>
      <color theme="1"/>
      <name val="思源黑体 CN Bold"/>
      <family val="2"/>
      <charset val="134"/>
    </font>
    <font>
      <sz val="18"/>
      <color theme="0"/>
      <name val="思源黑体 CN Medium"/>
      <family val="2"/>
      <charset val="134"/>
    </font>
    <font>
      <sz val="18"/>
      <color theme="1"/>
      <name val="微软雅黑"/>
      <family val="2"/>
      <charset val="134"/>
    </font>
    <font>
      <sz val="18"/>
      <color theme="0"/>
      <name val="思源黑体 CN Regular"/>
      <family val="2"/>
      <charset val="134"/>
    </font>
    <font>
      <b/>
      <sz val="18"/>
      <color theme="1"/>
      <name val="思源黑体 CN Regular"/>
      <family val="2"/>
      <charset val="134"/>
    </font>
    <font>
      <sz val="18"/>
      <color theme="1"/>
      <name val="思源黑体 CN Regular"/>
      <family val="2"/>
      <charset val="134"/>
    </font>
    <font>
      <b/>
      <sz val="18"/>
      <color rgb="FF9E0000"/>
      <name val="思源黑体 CN Regular"/>
      <family val="2"/>
      <charset val="134"/>
    </font>
    <font>
      <b/>
      <i/>
      <sz val="18"/>
      <color theme="1"/>
      <name val="思源黑体 CN Regular"/>
      <family val="2"/>
      <charset val="134"/>
    </font>
    <font>
      <sz val="36"/>
      <color theme="0"/>
      <name val="思源黑体 CN Regular"/>
      <family val="2"/>
      <charset val="134"/>
    </font>
    <font>
      <sz val="28"/>
      <color theme="0"/>
      <name val="思源黑体 CN Regular"/>
      <family val="2"/>
      <charset val="134"/>
    </font>
    <font>
      <sz val="11"/>
      <color theme="1"/>
      <name val="思源黑体 CN Normal"/>
      <family val="2"/>
      <charset val="134"/>
    </font>
    <font>
      <sz val="11"/>
      <color theme="1"/>
      <name val="思源黑体 CN Regular"/>
      <family val="2"/>
      <charset val="134"/>
    </font>
    <font>
      <b/>
      <sz val="11"/>
      <color theme="1"/>
      <name val="思源黑体 CN Regular"/>
      <family val="2"/>
      <charset val="134"/>
    </font>
    <font>
      <b/>
      <sz val="11"/>
      <name val="思源黑体 CN Regular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0" fontId="2" fillId="2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10" fontId="11" fillId="7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176" fontId="13" fillId="5" borderId="0" xfId="0" applyNumberFormat="1" applyFont="1" applyFill="1" applyAlignment="1">
      <alignment horizontal="center" vertical="center"/>
    </xf>
    <xf numFmtId="176" fontId="14" fillId="4" borderId="0" xfId="0" applyNumberFormat="1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176" fontId="13" fillId="11" borderId="0" xfId="0" applyNumberFormat="1" applyFont="1" applyFill="1" applyAlignment="1">
      <alignment horizontal="center" vertical="center"/>
    </xf>
    <xf numFmtId="0" fontId="15" fillId="5" borderId="0" xfId="0" applyFont="1" applyFill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7" fillId="7" borderId="0" xfId="0" applyFont="1" applyFill="1" applyAlignment="1">
      <alignment horizontal="left" vertical="center"/>
    </xf>
    <xf numFmtId="0" fontId="18" fillId="2" borderId="0" xfId="0" applyFont="1" applyFill="1">
      <alignment vertical="center"/>
    </xf>
    <xf numFmtId="0" fontId="19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10" fontId="19" fillId="2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1"/>
          <c:tx>
            <c:strRef>
              <c:f>每年积分汇总2!$D$1</c:f>
              <c:strCache>
                <c:ptCount val="1"/>
                <c:pt idx="0">
                  <c:v>卡里姆-贾巴尔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59"/>
              <c:layout>
                <c:manualLayout>
                  <c:x val="-6.5230418644229488E-2"/>
                  <c:y val="-4.7092570140582511E-2"/>
                </c:manualLayout>
              </c:layout>
              <c:tx>
                <c:rich>
                  <a:bodyPr/>
                  <a:lstStyle/>
                  <a:p>
                    <a:r>
                      <a:rPr lang="zh-CN" altLang="en-US" sz="1500"/>
                      <a:t>卡里姆</a:t>
                    </a:r>
                    <a:r>
                      <a:rPr lang="en-US" altLang="zh-CN" sz="1500"/>
                      <a:t>-</a:t>
                    </a:r>
                    <a:r>
                      <a:rPr lang="zh-CN" altLang="en-US" sz="1500"/>
                      <a:t>贾巴尔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每年积分汇总2!$D$2:$D$74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862.2</c:v>
                </c:pt>
                <c:pt idx="24">
                  <c:v>30133.800000000003</c:v>
                </c:pt>
                <c:pt idx="25">
                  <c:v>43100.520000000004</c:v>
                </c:pt>
                <c:pt idx="26">
                  <c:v>44671.320000000007</c:v>
                </c:pt>
                <c:pt idx="27">
                  <c:v>58750.33</c:v>
                </c:pt>
                <c:pt idx="28">
                  <c:v>60218.17</c:v>
                </c:pt>
                <c:pt idx="29">
                  <c:v>67072.569999999992</c:v>
                </c:pt>
                <c:pt idx="30">
                  <c:v>79102.969999999987</c:v>
                </c:pt>
                <c:pt idx="31">
                  <c:v>79638.789999999994</c:v>
                </c:pt>
                <c:pt idx="32">
                  <c:v>82640.59</c:v>
                </c:pt>
                <c:pt idx="33">
                  <c:v>99633.62</c:v>
                </c:pt>
                <c:pt idx="34">
                  <c:v>101274.47</c:v>
                </c:pt>
                <c:pt idx="35">
                  <c:v>103899.62</c:v>
                </c:pt>
                <c:pt idx="36">
                  <c:v>104533.86</c:v>
                </c:pt>
                <c:pt idx="37">
                  <c:v>105987.6</c:v>
                </c:pt>
                <c:pt idx="38">
                  <c:v>114647.29000000001</c:v>
                </c:pt>
                <c:pt idx="39">
                  <c:v>115734.21</c:v>
                </c:pt>
                <c:pt idx="40">
                  <c:v>117949.96</c:v>
                </c:pt>
                <c:pt idx="41">
                  <c:v>119068.66</c:v>
                </c:pt>
                <c:pt idx="42">
                  <c:v>119196.32</c:v>
                </c:pt>
                <c:pt idx="43">
                  <c:v>119196.32</c:v>
                </c:pt>
                <c:pt idx="44">
                  <c:v>119196.32</c:v>
                </c:pt>
                <c:pt idx="45">
                  <c:v>119196.32</c:v>
                </c:pt>
                <c:pt idx="46">
                  <c:v>119196.32</c:v>
                </c:pt>
                <c:pt idx="47">
                  <c:v>119196.32</c:v>
                </c:pt>
                <c:pt idx="48">
                  <c:v>119196.32</c:v>
                </c:pt>
                <c:pt idx="49">
                  <c:v>119196.32</c:v>
                </c:pt>
                <c:pt idx="50">
                  <c:v>119196.32</c:v>
                </c:pt>
                <c:pt idx="51">
                  <c:v>119196.32</c:v>
                </c:pt>
                <c:pt idx="52">
                  <c:v>119196.32</c:v>
                </c:pt>
                <c:pt idx="53">
                  <c:v>119196.32</c:v>
                </c:pt>
                <c:pt idx="54">
                  <c:v>119196.32</c:v>
                </c:pt>
                <c:pt idx="55">
                  <c:v>119196.32</c:v>
                </c:pt>
                <c:pt idx="56">
                  <c:v>119196.32</c:v>
                </c:pt>
                <c:pt idx="57">
                  <c:v>119196.32</c:v>
                </c:pt>
                <c:pt idx="58">
                  <c:v>119196.32</c:v>
                </c:pt>
                <c:pt idx="59">
                  <c:v>119196.32</c:v>
                </c:pt>
                <c:pt idx="60">
                  <c:v>119196.32</c:v>
                </c:pt>
                <c:pt idx="61">
                  <c:v>119196.32</c:v>
                </c:pt>
                <c:pt idx="62">
                  <c:v>119196.32</c:v>
                </c:pt>
                <c:pt idx="63">
                  <c:v>119196.32</c:v>
                </c:pt>
                <c:pt idx="64">
                  <c:v>119196.32</c:v>
                </c:pt>
                <c:pt idx="65">
                  <c:v>119196.32</c:v>
                </c:pt>
                <c:pt idx="66">
                  <c:v>119196.32</c:v>
                </c:pt>
                <c:pt idx="67">
                  <c:v>119196.32</c:v>
                </c:pt>
                <c:pt idx="68">
                  <c:v>119196.32</c:v>
                </c:pt>
                <c:pt idx="69">
                  <c:v>119196.32</c:v>
                </c:pt>
                <c:pt idx="70">
                  <c:v>119196.32</c:v>
                </c:pt>
                <c:pt idx="71">
                  <c:v>119196.32</c:v>
                </c:pt>
                <c:pt idx="72">
                  <c:v>119196.32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89-47E9-8C4F-49015CDE794F}"/>
            </c:ext>
          </c:extLst>
        </c:ser>
        <c:ser>
          <c:idx val="1"/>
          <c:order val="2"/>
          <c:tx>
            <c:strRef>
              <c:f>每年积分汇总2!$C$1</c:f>
              <c:strCache>
                <c:ptCount val="1"/>
                <c:pt idx="0">
                  <c:v>勒布朗-詹姆斯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71"/>
              <c:layout>
                <c:manualLayout>
                  <c:x val="-5.6675609641707592E-2"/>
                  <c:y val="-3.4238920631935676E-2"/>
                </c:manualLayout>
              </c:layout>
              <c:tx>
                <c:rich>
                  <a:bodyPr/>
                  <a:lstStyle/>
                  <a:p>
                    <a:r>
                      <a:rPr lang="zh-CN" altLang="en-US" sz="1500"/>
                      <a:t>勒布朗</a:t>
                    </a:r>
                    <a:r>
                      <a:rPr lang="en-US" altLang="zh-CN" sz="1500"/>
                      <a:t>-</a:t>
                    </a:r>
                    <a:r>
                      <a:rPr lang="zh-CN" altLang="en-US" sz="1500"/>
                      <a:t>詹姆斯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每年积分汇总2!$C$2:$C$74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111.63</c:v>
                </c:pt>
                <c:pt idx="58">
                  <c:v>504.84</c:v>
                </c:pt>
                <c:pt idx="59">
                  <c:v>2103.5</c:v>
                </c:pt>
                <c:pt idx="60">
                  <c:v>3025.3</c:v>
                </c:pt>
                <c:pt idx="61">
                  <c:v>6466.18</c:v>
                </c:pt>
                <c:pt idx="62">
                  <c:v>25824.09</c:v>
                </c:pt>
                <c:pt idx="63">
                  <c:v>37685.94</c:v>
                </c:pt>
                <c:pt idx="64">
                  <c:v>40751.880000000005</c:v>
                </c:pt>
                <c:pt idx="65">
                  <c:v>75391.03</c:v>
                </c:pt>
                <c:pt idx="66">
                  <c:v>110180.37</c:v>
                </c:pt>
                <c:pt idx="67">
                  <c:v>114138.33</c:v>
                </c:pt>
                <c:pt idx="68">
                  <c:v>115740.85</c:v>
                </c:pt>
                <c:pt idx="69">
                  <c:v>133331.85</c:v>
                </c:pt>
                <c:pt idx="70">
                  <c:v>135677.75</c:v>
                </c:pt>
                <c:pt idx="71">
                  <c:v>138532.15</c:v>
                </c:pt>
                <c:pt idx="72">
                  <c:v>138742.07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89-47E9-8C4F-49015CDE794F}"/>
            </c:ext>
          </c:extLst>
        </c:ser>
        <c:ser>
          <c:idx val="3"/>
          <c:order val="3"/>
          <c:tx>
            <c:strRef>
              <c:f>每年积分汇总2!$E$1</c:f>
              <c:strCache>
                <c:ptCount val="1"/>
                <c:pt idx="0">
                  <c:v>威尔特-张伯伦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54"/>
              <c:layout>
                <c:manualLayout>
                  <c:x val="-4.1704693887294184E-2"/>
                  <c:y val="-3.8683182615478436E-2"/>
                </c:manualLayout>
              </c:layout>
              <c:tx>
                <c:rich>
                  <a:bodyPr/>
                  <a:lstStyle/>
                  <a:p>
                    <a:r>
                      <a:rPr lang="zh-CN" altLang="en-US" sz="1500"/>
                      <a:t>张伯伦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每年积分汇总2!$E$2:$E$74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12915</c:v>
                </c:pt>
                <c:pt idx="14">
                  <c:v>17579.34</c:v>
                </c:pt>
                <c:pt idx="15">
                  <c:v>25816.260000000002</c:v>
                </c:pt>
                <c:pt idx="16">
                  <c:v>29298.36</c:v>
                </c:pt>
                <c:pt idx="17">
                  <c:v>35589.56</c:v>
                </c:pt>
                <c:pt idx="18">
                  <c:v>38393.689999999995</c:v>
                </c:pt>
                <c:pt idx="19">
                  <c:v>50908.569999999992</c:v>
                </c:pt>
                <c:pt idx="20">
                  <c:v>70333.37</c:v>
                </c:pt>
                <c:pt idx="21">
                  <c:v>83294.989999999991</c:v>
                </c:pt>
                <c:pt idx="22">
                  <c:v>85451.93</c:v>
                </c:pt>
                <c:pt idx="23">
                  <c:v>85889.01999999999</c:v>
                </c:pt>
                <c:pt idx="24">
                  <c:v>87232.959999999992</c:v>
                </c:pt>
                <c:pt idx="25">
                  <c:v>97901.759999999995</c:v>
                </c:pt>
                <c:pt idx="26">
                  <c:v>100604.44</c:v>
                </c:pt>
                <c:pt idx="27">
                  <c:v>100604.44</c:v>
                </c:pt>
                <c:pt idx="28">
                  <c:v>100604.44</c:v>
                </c:pt>
                <c:pt idx="29">
                  <c:v>100604.44</c:v>
                </c:pt>
                <c:pt idx="30">
                  <c:v>100604.44</c:v>
                </c:pt>
                <c:pt idx="31">
                  <c:v>100604.44</c:v>
                </c:pt>
                <c:pt idx="32">
                  <c:v>100604.44</c:v>
                </c:pt>
                <c:pt idx="33">
                  <c:v>100604.44</c:v>
                </c:pt>
                <c:pt idx="34">
                  <c:v>100604.44</c:v>
                </c:pt>
                <c:pt idx="35">
                  <c:v>100604.44</c:v>
                </c:pt>
                <c:pt idx="36">
                  <c:v>100604.44</c:v>
                </c:pt>
                <c:pt idx="37">
                  <c:v>100604.44</c:v>
                </c:pt>
                <c:pt idx="38">
                  <c:v>100604.44</c:v>
                </c:pt>
                <c:pt idx="39">
                  <c:v>100604.44</c:v>
                </c:pt>
                <c:pt idx="40">
                  <c:v>100604.44</c:v>
                </c:pt>
                <c:pt idx="41">
                  <c:v>100604.44</c:v>
                </c:pt>
                <c:pt idx="42">
                  <c:v>100604.44</c:v>
                </c:pt>
                <c:pt idx="43">
                  <c:v>100604.44</c:v>
                </c:pt>
                <c:pt idx="44">
                  <c:v>100604.44</c:v>
                </c:pt>
                <c:pt idx="45">
                  <c:v>100604.44</c:v>
                </c:pt>
                <c:pt idx="46">
                  <c:v>100604.44</c:v>
                </c:pt>
                <c:pt idx="47">
                  <c:v>100604.44</c:v>
                </c:pt>
                <c:pt idx="48">
                  <c:v>100604.44</c:v>
                </c:pt>
                <c:pt idx="49">
                  <c:v>100604.44</c:v>
                </c:pt>
                <c:pt idx="50">
                  <c:v>100604.44</c:v>
                </c:pt>
                <c:pt idx="51">
                  <c:v>100604.44</c:v>
                </c:pt>
                <c:pt idx="52">
                  <c:v>100604.44</c:v>
                </c:pt>
                <c:pt idx="53">
                  <c:v>100604.44</c:v>
                </c:pt>
                <c:pt idx="54">
                  <c:v>100604.44</c:v>
                </c:pt>
                <c:pt idx="55">
                  <c:v>100604.44</c:v>
                </c:pt>
                <c:pt idx="56">
                  <c:v>100604.44</c:v>
                </c:pt>
                <c:pt idx="57">
                  <c:v>100604.44</c:v>
                </c:pt>
                <c:pt idx="58">
                  <c:v>100604.44</c:v>
                </c:pt>
                <c:pt idx="59">
                  <c:v>100604.44</c:v>
                </c:pt>
                <c:pt idx="60">
                  <c:v>100604.44</c:v>
                </c:pt>
                <c:pt idx="61">
                  <c:v>100604.44</c:v>
                </c:pt>
                <c:pt idx="62">
                  <c:v>100604.44</c:v>
                </c:pt>
                <c:pt idx="63">
                  <c:v>100604.44</c:v>
                </c:pt>
                <c:pt idx="64">
                  <c:v>100604.44</c:v>
                </c:pt>
                <c:pt idx="65">
                  <c:v>100604.44</c:v>
                </c:pt>
                <c:pt idx="66">
                  <c:v>100604.44</c:v>
                </c:pt>
                <c:pt idx="67">
                  <c:v>100604.44</c:v>
                </c:pt>
                <c:pt idx="68">
                  <c:v>100604.44</c:v>
                </c:pt>
                <c:pt idx="69">
                  <c:v>100604.44</c:v>
                </c:pt>
                <c:pt idx="70">
                  <c:v>100604.44</c:v>
                </c:pt>
                <c:pt idx="71">
                  <c:v>100604.44</c:v>
                </c:pt>
                <c:pt idx="72">
                  <c:v>100604.44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89-47E9-8C4F-49015CDE794F}"/>
            </c:ext>
          </c:extLst>
        </c:ser>
        <c:ser>
          <c:idx val="4"/>
          <c:order val="4"/>
          <c:tx>
            <c:strRef>
              <c:f>每年积分汇总2!$F$1</c:f>
              <c:strCache>
                <c:ptCount val="1"/>
                <c:pt idx="0">
                  <c:v>蒂姆-邓肯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68"/>
              <c:layout>
                <c:manualLayout>
                  <c:x val="-8.2340036649273293E-2"/>
                  <c:y val="-2.018253006024961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5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思源黑体 CN Bold" panose="020B0800000000000000" pitchFamily="34" charset="-122"/>
                        <a:ea typeface="思源黑体 CN Bold" panose="020B0800000000000000" pitchFamily="34" charset="-122"/>
                        <a:cs typeface="+mn-cs"/>
                      </a:defRPr>
                    </a:pPr>
                    <a:r>
                      <a:rPr lang="zh-CN" altLang="en-US" sz="1500"/>
                      <a:t>邓肯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思源黑体 CN Bold" panose="020B0800000000000000" pitchFamily="34" charset="-122"/>
                      <a:ea typeface="思源黑体 CN Bold" panose="020B0800000000000000" pitchFamily="34" charset="-122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每年积分汇总2!$F$2:$F$74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1072.5600000000002</c:v>
                </c:pt>
                <c:pt idx="52">
                  <c:v>13295.91</c:v>
                </c:pt>
                <c:pt idx="53">
                  <c:v>14337.51</c:v>
                </c:pt>
                <c:pt idx="54">
                  <c:v>16456.29</c:v>
                </c:pt>
                <c:pt idx="55">
                  <c:v>27286.89</c:v>
                </c:pt>
                <c:pt idx="56">
                  <c:v>60649.54</c:v>
                </c:pt>
                <c:pt idx="57">
                  <c:v>62016.26</c:v>
                </c:pt>
                <c:pt idx="58">
                  <c:v>75361.010000000009</c:v>
                </c:pt>
                <c:pt idx="59">
                  <c:v>76180.790000000008</c:v>
                </c:pt>
                <c:pt idx="60">
                  <c:v>82862.290000000008</c:v>
                </c:pt>
                <c:pt idx="61">
                  <c:v>84044.07</c:v>
                </c:pt>
                <c:pt idx="62">
                  <c:v>84533.310000000012</c:v>
                </c:pt>
                <c:pt idx="63">
                  <c:v>84994.690000000017</c:v>
                </c:pt>
                <c:pt idx="64">
                  <c:v>85278.220000000016</c:v>
                </c:pt>
                <c:pt idx="65">
                  <c:v>85754.070000000022</c:v>
                </c:pt>
                <c:pt idx="66">
                  <c:v>86953.410000000018</c:v>
                </c:pt>
                <c:pt idx="67">
                  <c:v>90063.510000000024</c:v>
                </c:pt>
                <c:pt idx="68">
                  <c:v>90569.270000000019</c:v>
                </c:pt>
                <c:pt idx="69">
                  <c:v>90755.250000000015</c:v>
                </c:pt>
                <c:pt idx="70">
                  <c:v>90755.250000000015</c:v>
                </c:pt>
                <c:pt idx="71">
                  <c:v>90755.250000000015</c:v>
                </c:pt>
                <c:pt idx="72">
                  <c:v>90755.250000000015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89-47E9-8C4F-49015CDE794F}"/>
            </c:ext>
          </c:extLst>
        </c:ser>
        <c:ser>
          <c:idx val="5"/>
          <c:order val="5"/>
          <c:tx>
            <c:strRef>
              <c:f>每年积分汇总2!$G$1</c:f>
              <c:strCache>
                <c:ptCount val="1"/>
                <c:pt idx="0">
                  <c:v>沙奎尔-奥尼尔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55"/>
              <c:layout>
                <c:manualLayout>
                  <c:x val="-8.3409387774588534E-2"/>
                  <c:y val="-5.0456325150624046E-3"/>
                </c:manualLayout>
              </c:layout>
              <c:tx>
                <c:rich>
                  <a:bodyPr/>
                  <a:lstStyle/>
                  <a:p>
                    <a:r>
                      <a:rPr lang="zh-CN" altLang="en-US" sz="1500"/>
                      <a:t>奥尼尔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每年积分汇总2!$G$2:$G$74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261.06</c:v>
                </c:pt>
                <c:pt idx="47">
                  <c:v>901.8599999999999</c:v>
                </c:pt>
                <c:pt idx="48">
                  <c:v>3754.8599999999997</c:v>
                </c:pt>
                <c:pt idx="49">
                  <c:v>4305.92</c:v>
                </c:pt>
                <c:pt idx="50">
                  <c:v>4912.32</c:v>
                </c:pt>
                <c:pt idx="51">
                  <c:v>6518.44</c:v>
                </c:pt>
                <c:pt idx="52">
                  <c:v>7141.24</c:v>
                </c:pt>
                <c:pt idx="53">
                  <c:v>42397.48</c:v>
                </c:pt>
                <c:pt idx="54">
                  <c:v>58562.3</c:v>
                </c:pt>
                <c:pt idx="55">
                  <c:v>73975.460000000006</c:v>
                </c:pt>
                <c:pt idx="56">
                  <c:v>75853.66</c:v>
                </c:pt>
                <c:pt idx="57">
                  <c:v>77600.78</c:v>
                </c:pt>
                <c:pt idx="58">
                  <c:v>78574.58</c:v>
                </c:pt>
                <c:pt idx="59">
                  <c:v>81180.86</c:v>
                </c:pt>
                <c:pt idx="60">
                  <c:v>81362.820000000007</c:v>
                </c:pt>
                <c:pt idx="61">
                  <c:v>81550.650000000009</c:v>
                </c:pt>
                <c:pt idx="62">
                  <c:v>81746.890000000014</c:v>
                </c:pt>
                <c:pt idx="63">
                  <c:v>81933.680000000008</c:v>
                </c:pt>
                <c:pt idx="64">
                  <c:v>82004.560000000012</c:v>
                </c:pt>
                <c:pt idx="65">
                  <c:v>82004.560000000012</c:v>
                </c:pt>
                <c:pt idx="66">
                  <c:v>82004.560000000012</c:v>
                </c:pt>
                <c:pt idx="67">
                  <c:v>82004.560000000012</c:v>
                </c:pt>
                <c:pt idx="68">
                  <c:v>82004.560000000012</c:v>
                </c:pt>
                <c:pt idx="69">
                  <c:v>82004.560000000012</c:v>
                </c:pt>
                <c:pt idx="70">
                  <c:v>82004.560000000012</c:v>
                </c:pt>
                <c:pt idx="71">
                  <c:v>82004.560000000012</c:v>
                </c:pt>
                <c:pt idx="72">
                  <c:v>82004.560000000012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89-47E9-8C4F-49015CDE794F}"/>
            </c:ext>
          </c:extLst>
        </c:ser>
        <c:ser>
          <c:idx val="6"/>
          <c:order val="6"/>
          <c:tx>
            <c:strRef>
              <c:f>每年积分汇总2!$H$1</c:f>
              <c:strCache>
                <c:ptCount val="1"/>
                <c:pt idx="0">
                  <c:v>埃尔文-约翰逊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0"/>
              <c:layout>
                <c:manualLayout>
                  <c:x val="1.0693511253152297E-2"/>
                  <c:y val="-2.186440756527042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5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思源黑体 CN Bold" panose="020B0800000000000000" pitchFamily="34" charset="-122"/>
                        <a:ea typeface="思源黑体 CN Bold" panose="020B0800000000000000" pitchFamily="34" charset="-122"/>
                        <a:cs typeface="+mn-cs"/>
                      </a:defRPr>
                    </a:pPr>
                    <a:r>
                      <a:rPr lang="zh-CN" altLang="en-US" sz="1500"/>
                      <a:t>魔术师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思源黑体 CN Bold" panose="020B0800000000000000" pitchFamily="34" charset="-122"/>
                      <a:ea typeface="思源黑体 CN Bold" panose="020B0800000000000000" pitchFamily="34" charset="-122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每年积分汇总2!$H$2:$H$74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8538.4000000000015</c:v>
                </c:pt>
                <c:pt idx="34">
                  <c:v>9414.9400000000023</c:v>
                </c:pt>
                <c:pt idx="35">
                  <c:v>20433.340000000004</c:v>
                </c:pt>
                <c:pt idx="36">
                  <c:v>22952.540000000005</c:v>
                </c:pt>
                <c:pt idx="37">
                  <c:v>26017.020000000004</c:v>
                </c:pt>
                <c:pt idx="38">
                  <c:v>30600.060000000005</c:v>
                </c:pt>
                <c:pt idx="39">
                  <c:v>33905.660000000003</c:v>
                </c:pt>
                <c:pt idx="40">
                  <c:v>59633.66</c:v>
                </c:pt>
                <c:pt idx="41">
                  <c:v>64718</c:v>
                </c:pt>
                <c:pt idx="42">
                  <c:v>73061.899999999994</c:v>
                </c:pt>
                <c:pt idx="43">
                  <c:v>81091.899999999994</c:v>
                </c:pt>
                <c:pt idx="44">
                  <c:v>82891.28</c:v>
                </c:pt>
                <c:pt idx="45">
                  <c:v>82891.28</c:v>
                </c:pt>
                <c:pt idx="46">
                  <c:v>82891.28</c:v>
                </c:pt>
                <c:pt idx="47">
                  <c:v>82891.28</c:v>
                </c:pt>
                <c:pt idx="48">
                  <c:v>82891.28</c:v>
                </c:pt>
                <c:pt idx="49">
                  <c:v>83130.84</c:v>
                </c:pt>
                <c:pt idx="50">
                  <c:v>83130.84</c:v>
                </c:pt>
                <c:pt idx="51">
                  <c:v>83130.84</c:v>
                </c:pt>
                <c:pt idx="52">
                  <c:v>83130.84</c:v>
                </c:pt>
                <c:pt idx="53">
                  <c:v>83130.84</c:v>
                </c:pt>
                <c:pt idx="54">
                  <c:v>83130.84</c:v>
                </c:pt>
                <c:pt idx="55">
                  <c:v>83130.84</c:v>
                </c:pt>
                <c:pt idx="56">
                  <c:v>83130.84</c:v>
                </c:pt>
                <c:pt idx="57">
                  <c:v>83130.84</c:v>
                </c:pt>
                <c:pt idx="58">
                  <c:v>83130.84</c:v>
                </c:pt>
                <c:pt idx="59">
                  <c:v>83130.84</c:v>
                </c:pt>
                <c:pt idx="60">
                  <c:v>83130.84</c:v>
                </c:pt>
                <c:pt idx="61">
                  <c:v>83130.84</c:v>
                </c:pt>
                <c:pt idx="62">
                  <c:v>83130.84</c:v>
                </c:pt>
                <c:pt idx="63">
                  <c:v>83130.84</c:v>
                </c:pt>
                <c:pt idx="64">
                  <c:v>83130.84</c:v>
                </c:pt>
                <c:pt idx="65">
                  <c:v>83130.84</c:v>
                </c:pt>
                <c:pt idx="66">
                  <c:v>83130.84</c:v>
                </c:pt>
                <c:pt idx="67">
                  <c:v>83130.84</c:v>
                </c:pt>
                <c:pt idx="68">
                  <c:v>83130.84</c:v>
                </c:pt>
                <c:pt idx="69">
                  <c:v>83130.84</c:v>
                </c:pt>
                <c:pt idx="70">
                  <c:v>83130.84</c:v>
                </c:pt>
                <c:pt idx="71">
                  <c:v>83130.84</c:v>
                </c:pt>
                <c:pt idx="72">
                  <c:v>83130.84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89-47E9-8C4F-49015CDE794F}"/>
            </c:ext>
          </c:extLst>
        </c:ser>
        <c:ser>
          <c:idx val="7"/>
          <c:order val="7"/>
          <c:tx>
            <c:strRef>
              <c:f>每年积分汇总2!$I$1</c:f>
              <c:strCache>
                <c:ptCount val="1"/>
                <c:pt idx="0">
                  <c:v>科比-布莱恩特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62"/>
              <c:layout>
                <c:manualLayout>
                  <c:x val="-6.095301414296854E-2"/>
                  <c:y val="-1.6818775050208016E-2"/>
                </c:manualLayout>
              </c:layout>
              <c:tx>
                <c:rich>
                  <a:bodyPr/>
                  <a:lstStyle/>
                  <a:p>
                    <a:r>
                      <a:rPr lang="zh-CN" altLang="en-US" sz="1500"/>
                      <a:t>科比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每年积分汇总2!$I$2:$I$74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109.07000000000002</c:v>
                </c:pt>
                <c:pt idx="51">
                  <c:v>320.91999999999996</c:v>
                </c:pt>
                <c:pt idx="52">
                  <c:v>571.79999999999995</c:v>
                </c:pt>
                <c:pt idx="53">
                  <c:v>3877.0200000000004</c:v>
                </c:pt>
                <c:pt idx="54">
                  <c:v>8383.77</c:v>
                </c:pt>
                <c:pt idx="55">
                  <c:v>12504.81</c:v>
                </c:pt>
                <c:pt idx="56">
                  <c:v>14587.05</c:v>
                </c:pt>
                <c:pt idx="57">
                  <c:v>16647.419999999998</c:v>
                </c:pt>
                <c:pt idx="58">
                  <c:v>16859.449999999997</c:v>
                </c:pt>
                <c:pt idx="59">
                  <c:v>19937.449999999997</c:v>
                </c:pt>
                <c:pt idx="60">
                  <c:v>22668.199999999997</c:v>
                </c:pt>
                <c:pt idx="61">
                  <c:v>32382.959999999999</c:v>
                </c:pt>
                <c:pt idx="62">
                  <c:v>48854.159999999996</c:v>
                </c:pt>
                <c:pt idx="63">
                  <c:v>60792.06</c:v>
                </c:pt>
                <c:pt idx="64">
                  <c:v>62127.57</c:v>
                </c:pt>
                <c:pt idx="65">
                  <c:v>63028.53</c:v>
                </c:pt>
                <c:pt idx="66">
                  <c:v>63575.93</c:v>
                </c:pt>
                <c:pt idx="67">
                  <c:v>63582.35</c:v>
                </c:pt>
                <c:pt idx="68">
                  <c:v>63603.47</c:v>
                </c:pt>
                <c:pt idx="69">
                  <c:v>63612.41</c:v>
                </c:pt>
                <c:pt idx="70">
                  <c:v>63612.41</c:v>
                </c:pt>
                <c:pt idx="71">
                  <c:v>63612.41</c:v>
                </c:pt>
                <c:pt idx="72">
                  <c:v>63612.41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89-47E9-8C4F-49015CDE794F}"/>
            </c:ext>
          </c:extLst>
        </c:ser>
        <c:ser>
          <c:idx val="8"/>
          <c:order val="8"/>
          <c:tx>
            <c:strRef>
              <c:f>每年积分汇总2!$J$1</c:f>
              <c:strCache>
                <c:ptCount val="1"/>
                <c:pt idx="0">
                  <c:v>朱利叶斯-欧文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1"/>
              <c:layout>
                <c:manualLayout>
                  <c:x val="-3.3149884884772364E-2"/>
                  <c:y val="-2.5228162575312026E-2"/>
                </c:manualLayout>
              </c:layout>
              <c:tx>
                <c:rich>
                  <a:bodyPr/>
                  <a:lstStyle/>
                  <a:p>
                    <a:r>
                      <a:rPr lang="en-US" altLang="zh-CN" sz="1500"/>
                      <a:t>J</a:t>
                    </a:r>
                    <a:r>
                      <a:rPr lang="zh-CN" altLang="en-US" sz="1500"/>
                      <a:t>博士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每年积分汇总2!$J$2:$J$74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919.37</c:v>
                </c:pt>
                <c:pt idx="26">
                  <c:v>2912.81</c:v>
                </c:pt>
                <c:pt idx="27">
                  <c:v>17788.810000000001</c:v>
                </c:pt>
                <c:pt idx="28">
                  <c:v>24069.010000000002</c:v>
                </c:pt>
                <c:pt idx="29">
                  <c:v>45976.740000000005</c:v>
                </c:pt>
                <c:pt idx="30">
                  <c:v>46741.790000000008</c:v>
                </c:pt>
                <c:pt idx="31">
                  <c:v>47667.73000000001</c:v>
                </c:pt>
                <c:pt idx="32">
                  <c:v>48533.810000000012</c:v>
                </c:pt>
                <c:pt idx="33">
                  <c:v>50029.610000000015</c:v>
                </c:pt>
                <c:pt idx="34">
                  <c:v>56216.410000000018</c:v>
                </c:pt>
                <c:pt idx="35">
                  <c:v>61138.630000000019</c:v>
                </c:pt>
                <c:pt idx="36">
                  <c:v>62040.410000000018</c:v>
                </c:pt>
                <c:pt idx="37">
                  <c:v>62393.400000000016</c:v>
                </c:pt>
                <c:pt idx="38">
                  <c:v>62742.850000000013</c:v>
                </c:pt>
                <c:pt idx="39">
                  <c:v>62975.710000000014</c:v>
                </c:pt>
                <c:pt idx="40">
                  <c:v>63149.060000000012</c:v>
                </c:pt>
                <c:pt idx="41">
                  <c:v>63149.060000000012</c:v>
                </c:pt>
                <c:pt idx="42">
                  <c:v>63149.060000000012</c:v>
                </c:pt>
                <c:pt idx="43">
                  <c:v>63149.060000000012</c:v>
                </c:pt>
                <c:pt idx="44">
                  <c:v>63149.060000000012</c:v>
                </c:pt>
                <c:pt idx="45">
                  <c:v>63149.060000000012</c:v>
                </c:pt>
                <c:pt idx="46">
                  <c:v>63149.060000000012</c:v>
                </c:pt>
                <c:pt idx="47">
                  <c:v>63149.060000000012</c:v>
                </c:pt>
                <c:pt idx="48">
                  <c:v>63149.060000000012</c:v>
                </c:pt>
                <c:pt idx="49">
                  <c:v>63149.060000000012</c:v>
                </c:pt>
                <c:pt idx="50">
                  <c:v>63149.060000000012</c:v>
                </c:pt>
                <c:pt idx="51">
                  <c:v>63149.060000000012</c:v>
                </c:pt>
                <c:pt idx="52">
                  <c:v>63149.060000000012</c:v>
                </c:pt>
                <c:pt idx="53">
                  <c:v>63149.060000000012</c:v>
                </c:pt>
                <c:pt idx="54">
                  <c:v>63149.060000000012</c:v>
                </c:pt>
                <c:pt idx="55">
                  <c:v>63149.060000000012</c:v>
                </c:pt>
                <c:pt idx="56">
                  <c:v>63149.060000000012</c:v>
                </c:pt>
                <c:pt idx="57">
                  <c:v>63149.060000000012</c:v>
                </c:pt>
                <c:pt idx="58">
                  <c:v>63149.060000000012</c:v>
                </c:pt>
                <c:pt idx="59">
                  <c:v>63149.060000000012</c:v>
                </c:pt>
                <c:pt idx="60">
                  <c:v>63149.060000000012</c:v>
                </c:pt>
                <c:pt idx="61">
                  <c:v>63149.060000000012</c:v>
                </c:pt>
                <c:pt idx="62">
                  <c:v>63149.060000000012</c:v>
                </c:pt>
                <c:pt idx="63">
                  <c:v>63149.060000000012</c:v>
                </c:pt>
                <c:pt idx="64">
                  <c:v>63149.060000000012</c:v>
                </c:pt>
                <c:pt idx="65">
                  <c:v>63149.060000000012</c:v>
                </c:pt>
                <c:pt idx="66">
                  <c:v>63149.060000000012</c:v>
                </c:pt>
                <c:pt idx="67">
                  <c:v>63149.060000000012</c:v>
                </c:pt>
                <c:pt idx="68">
                  <c:v>63149.060000000012</c:v>
                </c:pt>
                <c:pt idx="69">
                  <c:v>63149.060000000012</c:v>
                </c:pt>
                <c:pt idx="70">
                  <c:v>63149.060000000012</c:v>
                </c:pt>
                <c:pt idx="71">
                  <c:v>63149.060000000012</c:v>
                </c:pt>
                <c:pt idx="72">
                  <c:v>63149.060000000012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89-47E9-8C4F-49015CDE794F}"/>
            </c:ext>
          </c:extLst>
        </c:ser>
        <c:ser>
          <c:idx val="9"/>
          <c:order val="9"/>
          <c:tx>
            <c:strRef>
              <c:f>每年积分汇总2!$K$1</c:f>
              <c:strCache>
                <c:ptCount val="1"/>
                <c:pt idx="0">
                  <c:v>哈基姆-奥拉朱旺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每年积分汇总2!$K$2:$K$74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393.91999999999996</c:v>
                </c:pt>
                <c:pt idx="39">
                  <c:v>1249.6199999999999</c:v>
                </c:pt>
                <c:pt idx="40">
                  <c:v>3381.7799999999997</c:v>
                </c:pt>
                <c:pt idx="41">
                  <c:v>5548.62</c:v>
                </c:pt>
                <c:pt idx="42">
                  <c:v>7670.54</c:v>
                </c:pt>
                <c:pt idx="43">
                  <c:v>10234.16</c:v>
                </c:pt>
                <c:pt idx="44">
                  <c:v>11456</c:v>
                </c:pt>
                <c:pt idx="45">
                  <c:v>11711.96</c:v>
                </c:pt>
                <c:pt idx="46">
                  <c:v>18099.739999999998</c:v>
                </c:pt>
                <c:pt idx="47">
                  <c:v>46128.239999999991</c:v>
                </c:pt>
                <c:pt idx="48">
                  <c:v>56677.739999999991</c:v>
                </c:pt>
                <c:pt idx="49">
                  <c:v>57100.589999999989</c:v>
                </c:pt>
                <c:pt idx="50">
                  <c:v>58663.12999999999</c:v>
                </c:pt>
                <c:pt idx="51">
                  <c:v>58890.329999999987</c:v>
                </c:pt>
                <c:pt idx="52">
                  <c:v>59139.479999999989</c:v>
                </c:pt>
                <c:pt idx="53">
                  <c:v>59182.899999999987</c:v>
                </c:pt>
                <c:pt idx="54">
                  <c:v>59307.099999999984</c:v>
                </c:pt>
                <c:pt idx="55">
                  <c:v>59460.339999999982</c:v>
                </c:pt>
                <c:pt idx="56">
                  <c:v>59460.339999999982</c:v>
                </c:pt>
                <c:pt idx="57">
                  <c:v>59460.339999999982</c:v>
                </c:pt>
                <c:pt idx="58">
                  <c:v>59460.339999999982</c:v>
                </c:pt>
                <c:pt idx="59">
                  <c:v>59460.339999999982</c:v>
                </c:pt>
                <c:pt idx="60">
                  <c:v>59460.339999999982</c:v>
                </c:pt>
                <c:pt idx="61">
                  <c:v>59460.339999999982</c:v>
                </c:pt>
                <c:pt idx="62">
                  <c:v>59460.339999999982</c:v>
                </c:pt>
                <c:pt idx="63">
                  <c:v>59460.339999999982</c:v>
                </c:pt>
                <c:pt idx="64">
                  <c:v>59460.339999999982</c:v>
                </c:pt>
                <c:pt idx="65">
                  <c:v>59460.339999999982</c:v>
                </c:pt>
                <c:pt idx="66">
                  <c:v>59460.339999999982</c:v>
                </c:pt>
                <c:pt idx="67">
                  <c:v>59460.339999999982</c:v>
                </c:pt>
                <c:pt idx="68">
                  <c:v>59460.339999999982</c:v>
                </c:pt>
                <c:pt idx="69">
                  <c:v>59460.339999999982</c:v>
                </c:pt>
                <c:pt idx="70">
                  <c:v>59460.339999999982</c:v>
                </c:pt>
                <c:pt idx="71">
                  <c:v>59460.339999999982</c:v>
                </c:pt>
                <c:pt idx="72">
                  <c:v>59460.339999999982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89-47E9-8C4F-49015CDE794F}"/>
            </c:ext>
          </c:extLst>
        </c:ser>
        <c:ser>
          <c:idx val="10"/>
          <c:order val="10"/>
          <c:tx>
            <c:strRef>
              <c:f>每年积分汇总2!$L$1</c:f>
              <c:strCache>
                <c:ptCount val="1"/>
                <c:pt idx="0">
                  <c:v>比尔-拉塞尔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-6.095301414296854E-2"/>
                  <c:y val="-3.3637550100416034E-3"/>
                </c:manualLayout>
              </c:layout>
              <c:tx>
                <c:rich>
                  <a:bodyPr/>
                  <a:lstStyle/>
                  <a:p>
                    <a:r>
                      <a:rPr lang="zh-CN" altLang="en-US" sz="1500"/>
                      <a:t>拉塞尔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每年积分汇总2!$L$2:$L$74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1886.3999999999999</c:v>
                </c:pt>
                <c:pt idx="11">
                  <c:v>7584.84</c:v>
                </c:pt>
                <c:pt idx="12">
                  <c:v>12067.48</c:v>
                </c:pt>
                <c:pt idx="13">
                  <c:v>15764.88</c:v>
                </c:pt>
                <c:pt idx="14">
                  <c:v>23206.080000000002</c:v>
                </c:pt>
                <c:pt idx="15">
                  <c:v>34184.58</c:v>
                </c:pt>
                <c:pt idx="16">
                  <c:v>42901.68</c:v>
                </c:pt>
                <c:pt idx="17">
                  <c:v>47292.36</c:v>
                </c:pt>
                <c:pt idx="18">
                  <c:v>60066.759999999995</c:v>
                </c:pt>
                <c:pt idx="19">
                  <c:v>63286.31</c:v>
                </c:pt>
                <c:pt idx="20">
                  <c:v>63661.88</c:v>
                </c:pt>
                <c:pt idx="21">
                  <c:v>65529.38</c:v>
                </c:pt>
                <c:pt idx="22">
                  <c:v>67716.259999999995</c:v>
                </c:pt>
                <c:pt idx="23">
                  <c:v>67716.259999999995</c:v>
                </c:pt>
                <c:pt idx="24">
                  <c:v>67716.259999999995</c:v>
                </c:pt>
                <c:pt idx="25">
                  <c:v>67716.259999999995</c:v>
                </c:pt>
                <c:pt idx="26">
                  <c:v>67716.259999999995</c:v>
                </c:pt>
                <c:pt idx="27">
                  <c:v>67716.259999999995</c:v>
                </c:pt>
                <c:pt idx="28">
                  <c:v>67716.259999999995</c:v>
                </c:pt>
                <c:pt idx="29">
                  <c:v>67716.259999999995</c:v>
                </c:pt>
                <c:pt idx="30">
                  <c:v>67716.259999999995</c:v>
                </c:pt>
                <c:pt idx="31">
                  <c:v>67716.259999999995</c:v>
                </c:pt>
                <c:pt idx="32">
                  <c:v>67716.259999999995</c:v>
                </c:pt>
                <c:pt idx="33">
                  <c:v>67716.259999999995</c:v>
                </c:pt>
                <c:pt idx="34">
                  <c:v>67716.259999999995</c:v>
                </c:pt>
                <c:pt idx="35">
                  <c:v>67716.259999999995</c:v>
                </c:pt>
                <c:pt idx="36">
                  <c:v>67716.259999999995</c:v>
                </c:pt>
                <c:pt idx="37">
                  <c:v>67716.259999999995</c:v>
                </c:pt>
                <c:pt idx="38">
                  <c:v>67716.259999999995</c:v>
                </c:pt>
                <c:pt idx="39">
                  <c:v>67716.259999999995</c:v>
                </c:pt>
                <c:pt idx="40">
                  <c:v>67716.259999999995</c:v>
                </c:pt>
                <c:pt idx="41">
                  <c:v>67716.259999999995</c:v>
                </c:pt>
                <c:pt idx="42">
                  <c:v>67716.259999999995</c:v>
                </c:pt>
                <c:pt idx="43">
                  <c:v>67716.259999999995</c:v>
                </c:pt>
                <c:pt idx="44">
                  <c:v>67716.259999999995</c:v>
                </c:pt>
                <c:pt idx="45">
                  <c:v>67716.259999999995</c:v>
                </c:pt>
                <c:pt idx="46">
                  <c:v>67716.259999999995</c:v>
                </c:pt>
                <c:pt idx="47">
                  <c:v>67716.259999999995</c:v>
                </c:pt>
                <c:pt idx="48">
                  <c:v>67716.259999999995</c:v>
                </c:pt>
                <c:pt idx="49">
                  <c:v>67716.259999999995</c:v>
                </c:pt>
                <c:pt idx="50">
                  <c:v>67716.259999999995</c:v>
                </c:pt>
                <c:pt idx="51">
                  <c:v>67716.259999999995</c:v>
                </c:pt>
                <c:pt idx="52">
                  <c:v>67716.259999999995</c:v>
                </c:pt>
                <c:pt idx="53">
                  <c:v>67716.259999999995</c:v>
                </c:pt>
                <c:pt idx="54">
                  <c:v>67716.259999999995</c:v>
                </c:pt>
                <c:pt idx="55">
                  <c:v>67716.259999999995</c:v>
                </c:pt>
                <c:pt idx="56">
                  <c:v>67716.259999999995</c:v>
                </c:pt>
                <c:pt idx="57">
                  <c:v>67716.259999999995</c:v>
                </c:pt>
                <c:pt idx="58">
                  <c:v>67716.259999999995</c:v>
                </c:pt>
                <c:pt idx="59">
                  <c:v>67716.259999999995</c:v>
                </c:pt>
                <c:pt idx="60">
                  <c:v>67716.259999999995</c:v>
                </c:pt>
                <c:pt idx="61">
                  <c:v>67716.259999999995</c:v>
                </c:pt>
                <c:pt idx="62">
                  <c:v>67716.259999999995</c:v>
                </c:pt>
                <c:pt idx="63">
                  <c:v>67716.259999999995</c:v>
                </c:pt>
                <c:pt idx="64">
                  <c:v>67716.259999999995</c:v>
                </c:pt>
                <c:pt idx="65">
                  <c:v>67716.259999999995</c:v>
                </c:pt>
                <c:pt idx="66">
                  <c:v>67716.259999999995</c:v>
                </c:pt>
                <c:pt idx="67">
                  <c:v>67716.259999999995</c:v>
                </c:pt>
                <c:pt idx="68">
                  <c:v>67716.259999999995</c:v>
                </c:pt>
                <c:pt idx="69">
                  <c:v>67716.259999999995</c:v>
                </c:pt>
                <c:pt idx="70">
                  <c:v>67716.259999999995</c:v>
                </c:pt>
                <c:pt idx="71">
                  <c:v>67716.259999999995</c:v>
                </c:pt>
                <c:pt idx="72">
                  <c:v>67716.259999999995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89-47E9-8C4F-49015CDE794F}"/>
            </c:ext>
          </c:extLst>
        </c:ser>
        <c:ser>
          <c:idx val="11"/>
          <c:order val="11"/>
          <c:tx>
            <c:strRef>
              <c:f>每年积分汇总2!$M$1</c:f>
              <c:strCache>
                <c:ptCount val="1"/>
                <c:pt idx="0">
                  <c:v>拉里-伯德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8"/>
              <c:layout>
                <c:manualLayout>
                  <c:x val="-5.5606258516392434E-2"/>
                  <c:y val="-3.8683182615478436E-2"/>
                </c:manualLayout>
              </c:layout>
              <c:tx>
                <c:rich>
                  <a:bodyPr/>
                  <a:lstStyle/>
                  <a:p>
                    <a:r>
                      <a:rPr lang="zh-CN" altLang="en-US"/>
                      <a:t>伯德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每年积分汇总2!$M$2:$M$74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884.5</c:v>
                </c:pt>
                <c:pt idx="34">
                  <c:v>4974.82</c:v>
                </c:pt>
                <c:pt idx="35">
                  <c:v>6050.42</c:v>
                </c:pt>
                <c:pt idx="36">
                  <c:v>7118.52</c:v>
                </c:pt>
                <c:pt idx="37">
                  <c:v>31381.66</c:v>
                </c:pt>
                <c:pt idx="38">
                  <c:v>39569.160000000003</c:v>
                </c:pt>
                <c:pt idx="39">
                  <c:v>62701.72</c:v>
                </c:pt>
                <c:pt idx="40">
                  <c:v>64472.68</c:v>
                </c:pt>
                <c:pt idx="41">
                  <c:v>66049.08</c:v>
                </c:pt>
                <c:pt idx="42">
                  <c:v>66078.78</c:v>
                </c:pt>
                <c:pt idx="43">
                  <c:v>66453.63</c:v>
                </c:pt>
                <c:pt idx="44">
                  <c:v>66729.75</c:v>
                </c:pt>
                <c:pt idx="45">
                  <c:v>66964.649999999994</c:v>
                </c:pt>
                <c:pt idx="46">
                  <c:v>66964.649999999994</c:v>
                </c:pt>
                <c:pt idx="47">
                  <c:v>66964.649999999994</c:v>
                </c:pt>
                <c:pt idx="48">
                  <c:v>66964.649999999994</c:v>
                </c:pt>
                <c:pt idx="49">
                  <c:v>66964.649999999994</c:v>
                </c:pt>
                <c:pt idx="50">
                  <c:v>66964.649999999994</c:v>
                </c:pt>
                <c:pt idx="51">
                  <c:v>66964.649999999994</c:v>
                </c:pt>
                <c:pt idx="52">
                  <c:v>66964.649999999994</c:v>
                </c:pt>
                <c:pt idx="53">
                  <c:v>66964.649999999994</c:v>
                </c:pt>
                <c:pt idx="54">
                  <c:v>66964.649999999994</c:v>
                </c:pt>
                <c:pt idx="55">
                  <c:v>66964.649999999994</c:v>
                </c:pt>
                <c:pt idx="56">
                  <c:v>66964.649999999994</c:v>
                </c:pt>
                <c:pt idx="57">
                  <c:v>66964.649999999994</c:v>
                </c:pt>
                <c:pt idx="58">
                  <c:v>66964.649999999994</c:v>
                </c:pt>
                <c:pt idx="59">
                  <c:v>66964.649999999994</c:v>
                </c:pt>
                <c:pt idx="60">
                  <c:v>66964.649999999994</c:v>
                </c:pt>
                <c:pt idx="61">
                  <c:v>66964.649999999994</c:v>
                </c:pt>
                <c:pt idx="62">
                  <c:v>66964.649999999994</c:v>
                </c:pt>
                <c:pt idx="63">
                  <c:v>66964.649999999994</c:v>
                </c:pt>
                <c:pt idx="64">
                  <c:v>66964.649999999994</c:v>
                </c:pt>
                <c:pt idx="65">
                  <c:v>66964.649999999994</c:v>
                </c:pt>
                <c:pt idx="66">
                  <c:v>66964.649999999994</c:v>
                </c:pt>
                <c:pt idx="67">
                  <c:v>66964.649999999994</c:v>
                </c:pt>
                <c:pt idx="68">
                  <c:v>66964.649999999994</c:v>
                </c:pt>
                <c:pt idx="69">
                  <c:v>66964.649999999994</c:v>
                </c:pt>
                <c:pt idx="70">
                  <c:v>66964.649999999994</c:v>
                </c:pt>
                <c:pt idx="71">
                  <c:v>66964.649999999994</c:v>
                </c:pt>
                <c:pt idx="72">
                  <c:v>66964.649999999994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E89-47E9-8C4F-49015CDE794F}"/>
            </c:ext>
          </c:extLst>
        </c:ser>
        <c:ser>
          <c:idx val="12"/>
          <c:order val="12"/>
          <c:tx>
            <c:strRef>
              <c:f>每年积分汇总2!$N$1</c:f>
              <c:strCache>
                <c:ptCount val="1"/>
                <c:pt idx="0">
                  <c:v>卡尔-马龙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每年积分汇总2!$N$2:$N$74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143.53</c:v>
                </c:pt>
                <c:pt idx="40">
                  <c:v>366.13</c:v>
                </c:pt>
                <c:pt idx="41">
                  <c:v>779.9</c:v>
                </c:pt>
                <c:pt idx="42">
                  <c:v>1879.8600000000001</c:v>
                </c:pt>
                <c:pt idx="43">
                  <c:v>3094.7200000000003</c:v>
                </c:pt>
                <c:pt idx="44">
                  <c:v>4383.92</c:v>
                </c:pt>
                <c:pt idx="45">
                  <c:v>6251.8</c:v>
                </c:pt>
                <c:pt idx="46">
                  <c:v>7343.56</c:v>
                </c:pt>
                <c:pt idx="47">
                  <c:v>9011.68</c:v>
                </c:pt>
                <c:pt idx="48">
                  <c:v>10123.64</c:v>
                </c:pt>
                <c:pt idx="49">
                  <c:v>11810.439999999999</c:v>
                </c:pt>
                <c:pt idx="50">
                  <c:v>21344.47</c:v>
                </c:pt>
                <c:pt idx="51">
                  <c:v>24252.850000000002</c:v>
                </c:pt>
                <c:pt idx="52">
                  <c:v>29919.61</c:v>
                </c:pt>
                <c:pt idx="53">
                  <c:v>30696.74</c:v>
                </c:pt>
                <c:pt idx="54">
                  <c:v>31163.210000000003</c:v>
                </c:pt>
                <c:pt idx="55">
                  <c:v>31492.49</c:v>
                </c:pt>
                <c:pt idx="56">
                  <c:v>31822.560000000001</c:v>
                </c:pt>
                <c:pt idx="57">
                  <c:v>32072.15</c:v>
                </c:pt>
                <c:pt idx="58">
                  <c:v>32072.15</c:v>
                </c:pt>
                <c:pt idx="59">
                  <c:v>32072.15</c:v>
                </c:pt>
                <c:pt idx="60">
                  <c:v>32072.15</c:v>
                </c:pt>
                <c:pt idx="61">
                  <c:v>32072.15</c:v>
                </c:pt>
                <c:pt idx="62">
                  <c:v>32072.15</c:v>
                </c:pt>
                <c:pt idx="63">
                  <c:v>32072.15</c:v>
                </c:pt>
                <c:pt idx="64">
                  <c:v>32072.15</c:v>
                </c:pt>
                <c:pt idx="65">
                  <c:v>32072.15</c:v>
                </c:pt>
                <c:pt idx="66">
                  <c:v>32072.15</c:v>
                </c:pt>
                <c:pt idx="67">
                  <c:v>32072.15</c:v>
                </c:pt>
                <c:pt idx="68">
                  <c:v>32072.15</c:v>
                </c:pt>
                <c:pt idx="69">
                  <c:v>32072.15</c:v>
                </c:pt>
                <c:pt idx="70">
                  <c:v>32072.15</c:v>
                </c:pt>
                <c:pt idx="71">
                  <c:v>32072.15</c:v>
                </c:pt>
                <c:pt idx="72">
                  <c:v>32072.15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E89-47E9-8C4F-49015CDE794F}"/>
            </c:ext>
          </c:extLst>
        </c:ser>
        <c:ser>
          <c:idx val="13"/>
          <c:order val="13"/>
          <c:tx>
            <c:strRef>
              <c:f>每年积分汇总2!$O$1</c:f>
              <c:strCache>
                <c:ptCount val="1"/>
                <c:pt idx="0">
                  <c:v>凯文-杜兰特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1"/>
              <c:layout>
                <c:manualLayout>
                  <c:x val="-7.1646525396120916E-2"/>
                  <c:y val="-1.345502004016641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思源黑体 CN Bold" panose="020B0800000000000000" pitchFamily="34" charset="-122"/>
                        <a:ea typeface="思源黑体 CN Bold" panose="020B0800000000000000" pitchFamily="34" charset="-122"/>
                        <a:cs typeface="+mn-cs"/>
                      </a:defRPr>
                    </a:pPr>
                    <a:r>
                      <a:rPr lang="zh-CN" altLang="en-US" sz="1400"/>
                      <a:t>杜兰特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思源黑体 CN Bold" panose="020B0800000000000000" pitchFamily="34" charset="-122"/>
                      <a:ea typeface="思源黑体 CN Bold" panose="020B0800000000000000" pitchFamily="34" charset="-122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2F-4D12-A588-F41F7BAAE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每年积分汇总2!$O$2:$O$74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52.14</c:v>
                </c:pt>
                <c:pt idx="62">
                  <c:v>237.26</c:v>
                </c:pt>
                <c:pt idx="63">
                  <c:v>2460.9400000000005</c:v>
                </c:pt>
                <c:pt idx="64">
                  <c:v>5760.7400000000007</c:v>
                </c:pt>
                <c:pt idx="65">
                  <c:v>9894.1</c:v>
                </c:pt>
                <c:pt idx="66">
                  <c:v>11826.44</c:v>
                </c:pt>
                <c:pt idx="67">
                  <c:v>23795.96</c:v>
                </c:pt>
                <c:pt idx="68">
                  <c:v>23956.04</c:v>
                </c:pt>
                <c:pt idx="69">
                  <c:v>24697.64</c:v>
                </c:pt>
                <c:pt idx="70">
                  <c:v>36690.79</c:v>
                </c:pt>
                <c:pt idx="71">
                  <c:v>49625.39</c:v>
                </c:pt>
                <c:pt idx="72">
                  <c:v>50317.94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E89-47E9-8C4F-49015CDE794F}"/>
            </c:ext>
          </c:extLst>
        </c:ser>
        <c:ser>
          <c:idx val="14"/>
          <c:order val="14"/>
          <c:tx>
            <c:strRef>
              <c:f>每年积分汇总2!$P$1</c:f>
              <c:strCache>
                <c:ptCount val="1"/>
                <c:pt idx="0">
                  <c:v>凯文-加内特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每年积分汇总2!$P$2:$P$74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85.320000000000007</c:v>
                </c:pt>
                <c:pt idx="50">
                  <c:v>342.53000000000003</c:v>
                </c:pt>
                <c:pt idx="51">
                  <c:v>636.27</c:v>
                </c:pt>
                <c:pt idx="52">
                  <c:v>960.38</c:v>
                </c:pt>
                <c:pt idx="53">
                  <c:v>2282.96</c:v>
                </c:pt>
                <c:pt idx="54">
                  <c:v>3367.9</c:v>
                </c:pt>
                <c:pt idx="55">
                  <c:v>4356.2800000000007</c:v>
                </c:pt>
                <c:pt idx="56">
                  <c:v>6346.0000000000009</c:v>
                </c:pt>
                <c:pt idx="57">
                  <c:v>19734.960000000003</c:v>
                </c:pt>
                <c:pt idx="58">
                  <c:v>21663.840000000004</c:v>
                </c:pt>
                <c:pt idx="59">
                  <c:v>22942.200000000004</c:v>
                </c:pt>
                <c:pt idx="60">
                  <c:v>23788.110000000004</c:v>
                </c:pt>
                <c:pt idx="61">
                  <c:v>32231.640000000007</c:v>
                </c:pt>
                <c:pt idx="62">
                  <c:v>32575.080000000005</c:v>
                </c:pt>
                <c:pt idx="63">
                  <c:v>33035.300000000003</c:v>
                </c:pt>
                <c:pt idx="64">
                  <c:v>33758.700000000004</c:v>
                </c:pt>
                <c:pt idx="65">
                  <c:v>34258.110000000008</c:v>
                </c:pt>
                <c:pt idx="66">
                  <c:v>34523.23000000001</c:v>
                </c:pt>
                <c:pt idx="67">
                  <c:v>34690.090000000011</c:v>
                </c:pt>
                <c:pt idx="68">
                  <c:v>34728.570000000014</c:v>
                </c:pt>
                <c:pt idx="69">
                  <c:v>34753.660000000011</c:v>
                </c:pt>
                <c:pt idx="70">
                  <c:v>34797.740000000013</c:v>
                </c:pt>
                <c:pt idx="71">
                  <c:v>34823.570000000014</c:v>
                </c:pt>
                <c:pt idx="72">
                  <c:v>34823.570000000014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E89-47E9-8C4F-49015CDE794F}"/>
            </c:ext>
          </c:extLst>
        </c:ser>
        <c:ser>
          <c:idx val="15"/>
          <c:order val="15"/>
          <c:tx>
            <c:strRef>
              <c:f>每年积分汇总2!$Q$1</c:f>
              <c:strCache>
                <c:ptCount val="1"/>
                <c:pt idx="0">
                  <c:v>克里斯-保罗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每年积分汇总2!$Q$2:$Q$74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251.94000000000003</c:v>
                </c:pt>
                <c:pt idx="60">
                  <c:v>467.54000000000008</c:v>
                </c:pt>
                <c:pt idx="61">
                  <c:v>7251.68</c:v>
                </c:pt>
                <c:pt idx="62">
                  <c:v>11160.380000000001</c:v>
                </c:pt>
                <c:pt idx="63">
                  <c:v>11357.09</c:v>
                </c:pt>
                <c:pt idx="64">
                  <c:v>13413.529999999999</c:v>
                </c:pt>
                <c:pt idx="65">
                  <c:v>16213.029999999999</c:v>
                </c:pt>
                <c:pt idx="66">
                  <c:v>19785.829999999998</c:v>
                </c:pt>
                <c:pt idx="67">
                  <c:v>24574.39</c:v>
                </c:pt>
                <c:pt idx="68">
                  <c:v>28048.989999999998</c:v>
                </c:pt>
                <c:pt idx="69">
                  <c:v>29364.469999999998</c:v>
                </c:pt>
                <c:pt idx="70">
                  <c:v>30611.71</c:v>
                </c:pt>
                <c:pt idx="71">
                  <c:v>31238.39</c:v>
                </c:pt>
                <c:pt idx="72">
                  <c:v>31572.91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E89-47E9-8C4F-49015CDE794F}"/>
            </c:ext>
          </c:extLst>
        </c:ser>
        <c:ser>
          <c:idx val="16"/>
          <c:order val="16"/>
          <c:tx>
            <c:strRef>
              <c:f>每年积分汇总2!$R$1</c:f>
              <c:strCache>
                <c:ptCount val="1"/>
                <c:pt idx="0">
                  <c:v>摩西-马龙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每年积分汇总2!$R$2:$R$74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473.62</c:v>
                </c:pt>
                <c:pt idx="29">
                  <c:v>522.34</c:v>
                </c:pt>
                <c:pt idx="30">
                  <c:v>964.15000000000009</c:v>
                </c:pt>
                <c:pt idx="31">
                  <c:v>1114.67</c:v>
                </c:pt>
                <c:pt idx="32">
                  <c:v>7103.2900000000009</c:v>
                </c:pt>
                <c:pt idx="33">
                  <c:v>8198.1700000000019</c:v>
                </c:pt>
                <c:pt idx="34">
                  <c:v>10817.080000000002</c:v>
                </c:pt>
                <c:pt idx="35">
                  <c:v>18278.32</c:v>
                </c:pt>
                <c:pt idx="36">
                  <c:v>40588.570000000007</c:v>
                </c:pt>
                <c:pt idx="37">
                  <c:v>41657.770000000004</c:v>
                </c:pt>
                <c:pt idx="38">
                  <c:v>43790.770000000004</c:v>
                </c:pt>
                <c:pt idx="39">
                  <c:v>43994.710000000006</c:v>
                </c:pt>
                <c:pt idx="40">
                  <c:v>44367.680000000008</c:v>
                </c:pt>
                <c:pt idx="41">
                  <c:v>44719.400000000009</c:v>
                </c:pt>
                <c:pt idx="42">
                  <c:v>45196.390000000007</c:v>
                </c:pt>
                <c:pt idx="43">
                  <c:v>45372.130000000005</c:v>
                </c:pt>
                <c:pt idx="44">
                  <c:v>45576.850000000006</c:v>
                </c:pt>
                <c:pt idx="45">
                  <c:v>45745.810000000005</c:v>
                </c:pt>
                <c:pt idx="46">
                  <c:v>45766.380000000005</c:v>
                </c:pt>
                <c:pt idx="47">
                  <c:v>45801.780000000006</c:v>
                </c:pt>
                <c:pt idx="48">
                  <c:v>45817.510000000009</c:v>
                </c:pt>
                <c:pt idx="49">
                  <c:v>45817.510000000009</c:v>
                </c:pt>
                <c:pt idx="50">
                  <c:v>45817.510000000009</c:v>
                </c:pt>
                <c:pt idx="51">
                  <c:v>45817.510000000009</c:v>
                </c:pt>
                <c:pt idx="52">
                  <c:v>45817.510000000009</c:v>
                </c:pt>
                <c:pt idx="53">
                  <c:v>45817.510000000009</c:v>
                </c:pt>
                <c:pt idx="54">
                  <c:v>45817.510000000009</c:v>
                </c:pt>
                <c:pt idx="55">
                  <c:v>45817.510000000009</c:v>
                </c:pt>
                <c:pt idx="56">
                  <c:v>45817.510000000009</c:v>
                </c:pt>
                <c:pt idx="57">
                  <c:v>45817.510000000009</c:v>
                </c:pt>
                <c:pt idx="58">
                  <c:v>45817.510000000009</c:v>
                </c:pt>
                <c:pt idx="59">
                  <c:v>45817.510000000009</c:v>
                </c:pt>
                <c:pt idx="60">
                  <c:v>45817.510000000009</c:v>
                </c:pt>
                <c:pt idx="61">
                  <c:v>45817.510000000009</c:v>
                </c:pt>
                <c:pt idx="62">
                  <c:v>45817.510000000009</c:v>
                </c:pt>
                <c:pt idx="63">
                  <c:v>45817.510000000009</c:v>
                </c:pt>
                <c:pt idx="64">
                  <c:v>45817.510000000009</c:v>
                </c:pt>
                <c:pt idx="65">
                  <c:v>45817.510000000009</c:v>
                </c:pt>
                <c:pt idx="66">
                  <c:v>45817.510000000009</c:v>
                </c:pt>
                <c:pt idx="67">
                  <c:v>45817.510000000009</c:v>
                </c:pt>
                <c:pt idx="68">
                  <c:v>45817.510000000009</c:v>
                </c:pt>
                <c:pt idx="69">
                  <c:v>45817.510000000009</c:v>
                </c:pt>
                <c:pt idx="70">
                  <c:v>45817.510000000009</c:v>
                </c:pt>
                <c:pt idx="71">
                  <c:v>45817.510000000009</c:v>
                </c:pt>
                <c:pt idx="72">
                  <c:v>45817.510000000009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E89-47E9-8C4F-49015CDE794F}"/>
            </c:ext>
          </c:extLst>
        </c:ser>
        <c:ser>
          <c:idx val="17"/>
          <c:order val="17"/>
          <c:tx>
            <c:strRef>
              <c:f>每年积分汇总2!$S$1</c:f>
              <c:strCache>
                <c:ptCount val="1"/>
                <c:pt idx="0">
                  <c:v>杰里-韦斯特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每年积分汇总2!$S$2:$S$74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430.45000000000005</c:v>
                </c:pt>
                <c:pt idx="15">
                  <c:v>1813.53</c:v>
                </c:pt>
                <c:pt idx="16">
                  <c:v>2928.21</c:v>
                </c:pt>
                <c:pt idx="17">
                  <c:v>4131.1100000000006</c:v>
                </c:pt>
                <c:pt idx="18">
                  <c:v>5790.4100000000008</c:v>
                </c:pt>
                <c:pt idx="19">
                  <c:v>7693.630000000001</c:v>
                </c:pt>
                <c:pt idx="20">
                  <c:v>8451.2100000000009</c:v>
                </c:pt>
                <c:pt idx="21">
                  <c:v>9274.43</c:v>
                </c:pt>
                <c:pt idx="22">
                  <c:v>17652.89</c:v>
                </c:pt>
                <c:pt idx="23">
                  <c:v>21860.989999999998</c:v>
                </c:pt>
                <c:pt idx="24">
                  <c:v>22833.89</c:v>
                </c:pt>
                <c:pt idx="25">
                  <c:v>27498.86</c:v>
                </c:pt>
                <c:pt idx="26">
                  <c:v>29463.920000000002</c:v>
                </c:pt>
                <c:pt idx="27">
                  <c:v>29550.800000000003</c:v>
                </c:pt>
                <c:pt idx="28">
                  <c:v>29550.800000000003</c:v>
                </c:pt>
                <c:pt idx="29">
                  <c:v>29550.800000000003</c:v>
                </c:pt>
                <c:pt idx="30">
                  <c:v>29550.800000000003</c:v>
                </c:pt>
                <c:pt idx="31">
                  <c:v>29550.800000000003</c:v>
                </c:pt>
                <c:pt idx="32">
                  <c:v>29550.800000000003</c:v>
                </c:pt>
                <c:pt idx="33">
                  <c:v>29550.800000000003</c:v>
                </c:pt>
                <c:pt idx="34">
                  <c:v>29550.800000000003</c:v>
                </c:pt>
                <c:pt idx="35">
                  <c:v>29550.800000000003</c:v>
                </c:pt>
                <c:pt idx="36">
                  <c:v>29550.800000000003</c:v>
                </c:pt>
                <c:pt idx="37">
                  <c:v>29550.800000000003</c:v>
                </c:pt>
                <c:pt idx="38">
                  <c:v>29550.800000000003</c:v>
                </c:pt>
                <c:pt idx="39">
                  <c:v>29550.800000000003</c:v>
                </c:pt>
                <c:pt idx="40">
                  <c:v>29550.800000000003</c:v>
                </c:pt>
                <c:pt idx="41">
                  <c:v>29550.800000000003</c:v>
                </c:pt>
                <c:pt idx="42">
                  <c:v>29550.800000000003</c:v>
                </c:pt>
                <c:pt idx="43">
                  <c:v>29550.800000000003</c:v>
                </c:pt>
                <c:pt idx="44">
                  <c:v>29550.800000000003</c:v>
                </c:pt>
                <c:pt idx="45">
                  <c:v>29550.800000000003</c:v>
                </c:pt>
                <c:pt idx="46">
                  <c:v>29550.800000000003</c:v>
                </c:pt>
                <c:pt idx="47">
                  <c:v>29550.800000000003</c:v>
                </c:pt>
                <c:pt idx="48">
                  <c:v>29550.800000000003</c:v>
                </c:pt>
                <c:pt idx="49">
                  <c:v>29550.800000000003</c:v>
                </c:pt>
                <c:pt idx="50">
                  <c:v>29550.800000000003</c:v>
                </c:pt>
                <c:pt idx="51">
                  <c:v>29550.800000000003</c:v>
                </c:pt>
                <c:pt idx="52">
                  <c:v>29550.800000000003</c:v>
                </c:pt>
                <c:pt idx="53">
                  <c:v>29550.800000000003</c:v>
                </c:pt>
                <c:pt idx="54">
                  <c:v>29550.800000000003</c:v>
                </c:pt>
                <c:pt idx="55">
                  <c:v>29550.800000000003</c:v>
                </c:pt>
                <c:pt idx="56">
                  <c:v>29550.800000000003</c:v>
                </c:pt>
                <c:pt idx="57">
                  <c:v>29550.800000000003</c:v>
                </c:pt>
                <c:pt idx="58">
                  <c:v>29550.800000000003</c:v>
                </c:pt>
                <c:pt idx="59">
                  <c:v>29550.800000000003</c:v>
                </c:pt>
                <c:pt idx="60">
                  <c:v>29550.800000000003</c:v>
                </c:pt>
                <c:pt idx="61">
                  <c:v>29550.800000000003</c:v>
                </c:pt>
                <c:pt idx="62">
                  <c:v>29550.800000000003</c:v>
                </c:pt>
                <c:pt idx="63">
                  <c:v>29550.800000000003</c:v>
                </c:pt>
                <c:pt idx="64">
                  <c:v>29550.800000000003</c:v>
                </c:pt>
                <c:pt idx="65">
                  <c:v>29550.800000000003</c:v>
                </c:pt>
                <c:pt idx="66">
                  <c:v>29550.800000000003</c:v>
                </c:pt>
                <c:pt idx="67">
                  <c:v>29550.800000000003</c:v>
                </c:pt>
                <c:pt idx="68">
                  <c:v>29550.800000000003</c:v>
                </c:pt>
                <c:pt idx="69">
                  <c:v>29550.800000000003</c:v>
                </c:pt>
                <c:pt idx="70">
                  <c:v>29550.800000000003</c:v>
                </c:pt>
                <c:pt idx="71">
                  <c:v>29550.800000000003</c:v>
                </c:pt>
                <c:pt idx="72">
                  <c:v>29550.800000000003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E89-47E9-8C4F-49015CDE794F}"/>
            </c:ext>
          </c:extLst>
        </c:ser>
        <c:ser>
          <c:idx val="18"/>
          <c:order val="18"/>
          <c:tx>
            <c:strRef>
              <c:f>每年积分汇总2!$T$1</c:f>
              <c:strCache>
                <c:ptCount val="1"/>
                <c:pt idx="0">
                  <c:v>大卫-罗宾逊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每年积分汇总2!$T$2:$T$74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752.83</c:v>
                </c:pt>
                <c:pt idx="44">
                  <c:v>4393.33</c:v>
                </c:pt>
                <c:pt idx="45">
                  <c:v>6442.08</c:v>
                </c:pt>
                <c:pt idx="46">
                  <c:v>7055.72</c:v>
                </c:pt>
                <c:pt idx="47">
                  <c:v>9418.82</c:v>
                </c:pt>
                <c:pt idx="48">
                  <c:v>19442.57</c:v>
                </c:pt>
                <c:pt idx="49">
                  <c:v>22279.73</c:v>
                </c:pt>
                <c:pt idx="50">
                  <c:v>22332.43</c:v>
                </c:pt>
                <c:pt idx="51">
                  <c:v>23021.02</c:v>
                </c:pt>
                <c:pt idx="52">
                  <c:v>26521.32</c:v>
                </c:pt>
                <c:pt idx="53">
                  <c:v>27075.94</c:v>
                </c:pt>
                <c:pt idx="54">
                  <c:v>27729.41</c:v>
                </c:pt>
                <c:pt idx="55">
                  <c:v>28030.34</c:v>
                </c:pt>
                <c:pt idx="56">
                  <c:v>30113.59</c:v>
                </c:pt>
                <c:pt idx="57">
                  <c:v>30113.59</c:v>
                </c:pt>
                <c:pt idx="58">
                  <c:v>30113.59</c:v>
                </c:pt>
                <c:pt idx="59">
                  <c:v>30113.59</c:v>
                </c:pt>
                <c:pt idx="60">
                  <c:v>30113.59</c:v>
                </c:pt>
                <c:pt idx="61">
                  <c:v>30113.59</c:v>
                </c:pt>
                <c:pt idx="62">
                  <c:v>30113.59</c:v>
                </c:pt>
                <c:pt idx="63">
                  <c:v>30113.59</c:v>
                </c:pt>
                <c:pt idx="64">
                  <c:v>30113.59</c:v>
                </c:pt>
                <c:pt idx="65">
                  <c:v>30113.59</c:v>
                </c:pt>
                <c:pt idx="66">
                  <c:v>30113.59</c:v>
                </c:pt>
                <c:pt idx="67">
                  <c:v>30113.59</c:v>
                </c:pt>
                <c:pt idx="68">
                  <c:v>30113.59</c:v>
                </c:pt>
                <c:pt idx="69">
                  <c:v>30113.59</c:v>
                </c:pt>
                <c:pt idx="70">
                  <c:v>30113.59</c:v>
                </c:pt>
                <c:pt idx="71">
                  <c:v>30113.59</c:v>
                </c:pt>
                <c:pt idx="72">
                  <c:v>30113.59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E89-47E9-8C4F-49015CDE794F}"/>
            </c:ext>
          </c:extLst>
        </c:ser>
        <c:ser>
          <c:idx val="19"/>
          <c:order val="19"/>
          <c:tx>
            <c:strRef>
              <c:f>每年积分汇总2!$U$1</c:f>
              <c:strCache>
                <c:ptCount val="1"/>
                <c:pt idx="0">
                  <c:v>奥斯卡-罗波特森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每年积分汇总2!$U$2:$U$74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1471.12</c:v>
                </c:pt>
                <c:pt idx="15">
                  <c:v>4119.12</c:v>
                </c:pt>
                <c:pt idx="16">
                  <c:v>5809.98</c:v>
                </c:pt>
                <c:pt idx="17">
                  <c:v>18002.7</c:v>
                </c:pt>
                <c:pt idx="18">
                  <c:v>20549.099999999999</c:v>
                </c:pt>
                <c:pt idx="19">
                  <c:v>23179.62</c:v>
                </c:pt>
                <c:pt idx="20">
                  <c:v>24507.32</c:v>
                </c:pt>
                <c:pt idx="21">
                  <c:v>25161.68</c:v>
                </c:pt>
                <c:pt idx="22">
                  <c:v>26373.760000000002</c:v>
                </c:pt>
                <c:pt idx="23">
                  <c:v>26640.36</c:v>
                </c:pt>
                <c:pt idx="24">
                  <c:v>29694.31</c:v>
                </c:pt>
                <c:pt idx="25">
                  <c:v>30042.280000000002</c:v>
                </c:pt>
                <c:pt idx="26">
                  <c:v>30445.460000000003</c:v>
                </c:pt>
                <c:pt idx="27">
                  <c:v>30732.190000000002</c:v>
                </c:pt>
                <c:pt idx="28">
                  <c:v>30732.190000000002</c:v>
                </c:pt>
                <c:pt idx="29">
                  <c:v>30732.190000000002</c:v>
                </c:pt>
                <c:pt idx="30">
                  <c:v>30732.190000000002</c:v>
                </c:pt>
                <c:pt idx="31">
                  <c:v>30732.190000000002</c:v>
                </c:pt>
                <c:pt idx="32">
                  <c:v>30732.190000000002</c:v>
                </c:pt>
                <c:pt idx="33">
                  <c:v>30732.190000000002</c:v>
                </c:pt>
                <c:pt idx="34">
                  <c:v>30732.190000000002</c:v>
                </c:pt>
                <c:pt idx="35">
                  <c:v>30732.190000000002</c:v>
                </c:pt>
                <c:pt idx="36">
                  <c:v>30732.190000000002</c:v>
                </c:pt>
                <c:pt idx="37">
                  <c:v>30732.190000000002</c:v>
                </c:pt>
                <c:pt idx="38">
                  <c:v>30732.190000000002</c:v>
                </c:pt>
                <c:pt idx="39">
                  <c:v>30732.190000000002</c:v>
                </c:pt>
                <c:pt idx="40">
                  <c:v>30732.190000000002</c:v>
                </c:pt>
                <c:pt idx="41">
                  <c:v>30732.190000000002</c:v>
                </c:pt>
                <c:pt idx="42">
                  <c:v>30732.190000000002</c:v>
                </c:pt>
                <c:pt idx="43">
                  <c:v>30732.190000000002</c:v>
                </c:pt>
                <c:pt idx="44">
                  <c:v>30732.190000000002</c:v>
                </c:pt>
                <c:pt idx="45">
                  <c:v>30732.190000000002</c:v>
                </c:pt>
                <c:pt idx="46">
                  <c:v>30732.190000000002</c:v>
                </c:pt>
                <c:pt idx="47">
                  <c:v>30732.190000000002</c:v>
                </c:pt>
                <c:pt idx="48">
                  <c:v>30732.190000000002</c:v>
                </c:pt>
                <c:pt idx="49">
                  <c:v>30732.190000000002</c:v>
                </c:pt>
                <c:pt idx="50">
                  <c:v>30732.190000000002</c:v>
                </c:pt>
                <c:pt idx="51">
                  <c:v>30732.190000000002</c:v>
                </c:pt>
                <c:pt idx="52">
                  <c:v>30732.190000000002</c:v>
                </c:pt>
                <c:pt idx="53">
                  <c:v>30732.190000000002</c:v>
                </c:pt>
                <c:pt idx="54">
                  <c:v>30732.190000000002</c:v>
                </c:pt>
                <c:pt idx="55">
                  <c:v>30732.190000000002</c:v>
                </c:pt>
                <c:pt idx="56">
                  <c:v>30732.190000000002</c:v>
                </c:pt>
                <c:pt idx="57">
                  <c:v>30732.190000000002</c:v>
                </c:pt>
                <c:pt idx="58">
                  <c:v>30732.190000000002</c:v>
                </c:pt>
                <c:pt idx="59">
                  <c:v>30732.190000000002</c:v>
                </c:pt>
                <c:pt idx="60">
                  <c:v>30732.190000000002</c:v>
                </c:pt>
                <c:pt idx="61">
                  <c:v>30732.190000000002</c:v>
                </c:pt>
                <c:pt idx="62">
                  <c:v>30732.190000000002</c:v>
                </c:pt>
                <c:pt idx="63">
                  <c:v>30732.190000000002</c:v>
                </c:pt>
                <c:pt idx="64">
                  <c:v>30732.190000000002</c:v>
                </c:pt>
                <c:pt idx="65">
                  <c:v>30732.190000000002</c:v>
                </c:pt>
                <c:pt idx="66">
                  <c:v>30732.190000000002</c:v>
                </c:pt>
                <c:pt idx="67">
                  <c:v>30732.190000000002</c:v>
                </c:pt>
                <c:pt idx="68">
                  <c:v>30732.190000000002</c:v>
                </c:pt>
                <c:pt idx="69">
                  <c:v>30732.190000000002</c:v>
                </c:pt>
                <c:pt idx="70">
                  <c:v>30732.190000000002</c:v>
                </c:pt>
                <c:pt idx="71">
                  <c:v>30732.190000000002</c:v>
                </c:pt>
                <c:pt idx="72">
                  <c:v>30732.190000000002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E89-47E9-8C4F-49015CDE794F}"/>
            </c:ext>
          </c:extLst>
        </c:ser>
        <c:ser>
          <c:idx val="20"/>
          <c:order val="20"/>
          <c:tx>
            <c:strRef>
              <c:f>每年积分汇总2!$V$1</c:f>
              <c:strCache>
                <c:ptCount val="1"/>
                <c:pt idx="0">
                  <c:v>德克-诺维茨基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每年积分汇总2!$V$2:$V$74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23.040000000000003</c:v>
                </c:pt>
                <c:pt idx="53">
                  <c:v>182.29</c:v>
                </c:pt>
                <c:pt idx="54">
                  <c:v>839.02</c:v>
                </c:pt>
                <c:pt idx="55">
                  <c:v>1483.6599999999999</c:v>
                </c:pt>
                <c:pt idx="56">
                  <c:v>2339.02</c:v>
                </c:pt>
                <c:pt idx="57">
                  <c:v>2936.52</c:v>
                </c:pt>
                <c:pt idx="58">
                  <c:v>4245.24</c:v>
                </c:pt>
                <c:pt idx="59">
                  <c:v>7011.38</c:v>
                </c:pt>
                <c:pt idx="60">
                  <c:v>13458.18</c:v>
                </c:pt>
                <c:pt idx="61">
                  <c:v>14049.970000000001</c:v>
                </c:pt>
                <c:pt idx="62">
                  <c:v>15451.750000000002</c:v>
                </c:pt>
                <c:pt idx="63">
                  <c:v>16095.920000000002</c:v>
                </c:pt>
                <c:pt idx="64">
                  <c:v>27311.54</c:v>
                </c:pt>
                <c:pt idx="65">
                  <c:v>27655.66</c:v>
                </c:pt>
                <c:pt idx="66">
                  <c:v>27774.46</c:v>
                </c:pt>
                <c:pt idx="67">
                  <c:v>28131.75</c:v>
                </c:pt>
                <c:pt idx="68">
                  <c:v>28415.19</c:v>
                </c:pt>
                <c:pt idx="69">
                  <c:v>28666.239999999998</c:v>
                </c:pt>
                <c:pt idx="70">
                  <c:v>28725.739999999998</c:v>
                </c:pt>
                <c:pt idx="71">
                  <c:v>28822.6</c:v>
                </c:pt>
                <c:pt idx="72">
                  <c:v>28835.079999999998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E89-47E9-8C4F-49015CDE794F}"/>
            </c:ext>
          </c:extLst>
        </c:ser>
        <c:ser>
          <c:idx val="21"/>
          <c:order val="21"/>
          <c:tx>
            <c:strRef>
              <c:f>每年积分汇总2!$W$1</c:f>
              <c:strCache>
                <c:ptCount val="1"/>
                <c:pt idx="0">
                  <c:v>斯科蒂-皮蓬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每年积分汇总2!$W$2:$W$74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97.57</c:v>
                </c:pt>
                <c:pt idx="42">
                  <c:v>337.66999999999996</c:v>
                </c:pt>
                <c:pt idx="43">
                  <c:v>718.03</c:v>
                </c:pt>
                <c:pt idx="44">
                  <c:v>4799.95</c:v>
                </c:pt>
                <c:pt idx="45">
                  <c:v>9039.5499999999993</c:v>
                </c:pt>
                <c:pt idx="46">
                  <c:v>11362.27</c:v>
                </c:pt>
                <c:pt idx="47">
                  <c:v>12963.79</c:v>
                </c:pt>
                <c:pt idx="48">
                  <c:v>15449.69</c:v>
                </c:pt>
                <c:pt idx="49">
                  <c:v>20120.79</c:v>
                </c:pt>
                <c:pt idx="50">
                  <c:v>23714.670000000002</c:v>
                </c:pt>
                <c:pt idx="51">
                  <c:v>26926.410000000003</c:v>
                </c:pt>
                <c:pt idx="52">
                  <c:v>27147.08</c:v>
                </c:pt>
                <c:pt idx="53">
                  <c:v>27536.400000000001</c:v>
                </c:pt>
                <c:pt idx="54">
                  <c:v>27668.93</c:v>
                </c:pt>
                <c:pt idx="55">
                  <c:v>27878.71</c:v>
                </c:pt>
                <c:pt idx="56">
                  <c:v>27999.649999999998</c:v>
                </c:pt>
                <c:pt idx="57">
                  <c:v>28015.769999999997</c:v>
                </c:pt>
                <c:pt idx="58">
                  <c:v>28015.769999999997</c:v>
                </c:pt>
                <c:pt idx="59">
                  <c:v>28015.769999999997</c:v>
                </c:pt>
                <c:pt idx="60">
                  <c:v>28015.769999999997</c:v>
                </c:pt>
                <c:pt idx="61">
                  <c:v>28015.769999999997</c:v>
                </c:pt>
                <c:pt idx="62">
                  <c:v>28015.769999999997</c:v>
                </c:pt>
                <c:pt idx="63">
                  <c:v>28015.769999999997</c:v>
                </c:pt>
                <c:pt idx="64">
                  <c:v>28015.769999999997</c:v>
                </c:pt>
                <c:pt idx="65">
                  <c:v>28015.769999999997</c:v>
                </c:pt>
                <c:pt idx="66">
                  <c:v>28015.769999999997</c:v>
                </c:pt>
                <c:pt idx="67">
                  <c:v>28015.769999999997</c:v>
                </c:pt>
                <c:pt idx="68">
                  <c:v>28015.769999999997</c:v>
                </c:pt>
                <c:pt idx="69">
                  <c:v>28015.769999999997</c:v>
                </c:pt>
                <c:pt idx="70">
                  <c:v>28015.769999999997</c:v>
                </c:pt>
                <c:pt idx="71">
                  <c:v>28015.769999999997</c:v>
                </c:pt>
                <c:pt idx="72">
                  <c:v>28015.769999999997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E89-47E9-8C4F-49015CDE794F}"/>
            </c:ext>
          </c:extLst>
        </c:ser>
        <c:ser>
          <c:idx val="22"/>
          <c:order val="22"/>
          <c:tx>
            <c:strRef>
              <c:f>每年积分汇总2!$X$1</c:f>
              <c:strCache>
                <c:ptCount val="1"/>
                <c:pt idx="0">
                  <c:v>约翰-斯托克顿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每年积分汇总2!$X$2:$X$74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161.02999999999997</c:v>
                </c:pt>
                <c:pt idx="39">
                  <c:v>381.53</c:v>
                </c:pt>
                <c:pt idx="40">
                  <c:v>682.53</c:v>
                </c:pt>
                <c:pt idx="41">
                  <c:v>2745.99</c:v>
                </c:pt>
                <c:pt idx="42">
                  <c:v>5747.44</c:v>
                </c:pt>
                <c:pt idx="43">
                  <c:v>7229.62</c:v>
                </c:pt>
                <c:pt idx="44">
                  <c:v>9132.82</c:v>
                </c:pt>
                <c:pt idx="45">
                  <c:v>12035.42</c:v>
                </c:pt>
                <c:pt idx="46">
                  <c:v>13223.06</c:v>
                </c:pt>
                <c:pt idx="47">
                  <c:v>15615.46</c:v>
                </c:pt>
                <c:pt idx="48">
                  <c:v>17550.14</c:v>
                </c:pt>
                <c:pt idx="49">
                  <c:v>19285.939999999999</c:v>
                </c:pt>
                <c:pt idx="50">
                  <c:v>20073.949999999997</c:v>
                </c:pt>
                <c:pt idx="51">
                  <c:v>20590.149999999998</c:v>
                </c:pt>
                <c:pt idx="52">
                  <c:v>20915.109999999997</c:v>
                </c:pt>
                <c:pt idx="53">
                  <c:v>21372.389999999996</c:v>
                </c:pt>
                <c:pt idx="54">
                  <c:v>21832.629999999997</c:v>
                </c:pt>
                <c:pt idx="55">
                  <c:v>22277.559999999998</c:v>
                </c:pt>
                <c:pt idx="56">
                  <c:v>22590.159999999996</c:v>
                </c:pt>
                <c:pt idx="57">
                  <c:v>22590.159999999996</c:v>
                </c:pt>
                <c:pt idx="58">
                  <c:v>22590.159999999996</c:v>
                </c:pt>
                <c:pt idx="59">
                  <c:v>22590.159999999996</c:v>
                </c:pt>
                <c:pt idx="60">
                  <c:v>22590.159999999996</c:v>
                </c:pt>
                <c:pt idx="61">
                  <c:v>22590.159999999996</c:v>
                </c:pt>
                <c:pt idx="62">
                  <c:v>22590.159999999996</c:v>
                </c:pt>
                <c:pt idx="63">
                  <c:v>22590.159999999996</c:v>
                </c:pt>
                <c:pt idx="64">
                  <c:v>22590.159999999996</c:v>
                </c:pt>
                <c:pt idx="65">
                  <c:v>22590.159999999996</c:v>
                </c:pt>
                <c:pt idx="66">
                  <c:v>22590.159999999996</c:v>
                </c:pt>
                <c:pt idx="67">
                  <c:v>22590.159999999996</c:v>
                </c:pt>
                <c:pt idx="68">
                  <c:v>22590.159999999996</c:v>
                </c:pt>
                <c:pt idx="69">
                  <c:v>22590.159999999996</c:v>
                </c:pt>
                <c:pt idx="70">
                  <c:v>22590.159999999996</c:v>
                </c:pt>
                <c:pt idx="71">
                  <c:v>22590.159999999996</c:v>
                </c:pt>
                <c:pt idx="72">
                  <c:v>22590.159999999996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89-47E9-8C4F-49015CDE794F}"/>
            </c:ext>
          </c:extLst>
        </c:ser>
        <c:ser>
          <c:idx val="23"/>
          <c:order val="23"/>
          <c:tx>
            <c:strRef>
              <c:f>每年积分汇总2!$Y$1</c:f>
              <c:strCache>
                <c:ptCount val="1"/>
                <c:pt idx="0">
                  <c:v>斯蒂芬-库里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每年积分汇总2!$Y$2:$Y$74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92.910000000000011</c:v>
                </c:pt>
                <c:pt idx="64">
                  <c:v>240.34999999999997</c:v>
                </c:pt>
                <c:pt idx="65">
                  <c:v>308.18999999999994</c:v>
                </c:pt>
                <c:pt idx="66">
                  <c:v>844.8</c:v>
                </c:pt>
                <c:pt idx="67">
                  <c:v>1361.04</c:v>
                </c:pt>
                <c:pt idx="68">
                  <c:v>16310.939999999999</c:v>
                </c:pt>
                <c:pt idx="69">
                  <c:v>29172.739999999998</c:v>
                </c:pt>
                <c:pt idx="70">
                  <c:v>33826.54</c:v>
                </c:pt>
                <c:pt idx="71">
                  <c:v>36978.89</c:v>
                </c:pt>
                <c:pt idx="72">
                  <c:v>38477.15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E89-47E9-8C4F-49015CDE794F}"/>
            </c:ext>
          </c:extLst>
        </c:ser>
        <c:ser>
          <c:idx val="24"/>
          <c:order val="24"/>
          <c:tx>
            <c:strRef>
              <c:f>每年积分汇总2!$Z$1</c:f>
              <c:strCache>
                <c:ptCount val="1"/>
                <c:pt idx="0">
                  <c:v>查尔斯-巴克利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每年积分汇总2!$Z$2:$Z$74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390.75</c:v>
                </c:pt>
                <c:pt idx="39">
                  <c:v>1012.0699999999999</c:v>
                </c:pt>
                <c:pt idx="40">
                  <c:v>2506.0699999999997</c:v>
                </c:pt>
                <c:pt idx="41">
                  <c:v>3483.1099999999997</c:v>
                </c:pt>
                <c:pt idx="42">
                  <c:v>4795.3099999999995</c:v>
                </c:pt>
                <c:pt idx="43">
                  <c:v>6412.17</c:v>
                </c:pt>
                <c:pt idx="44">
                  <c:v>7914.49</c:v>
                </c:pt>
                <c:pt idx="45">
                  <c:v>8240.34</c:v>
                </c:pt>
                <c:pt idx="46">
                  <c:v>19200.939999999999</c:v>
                </c:pt>
                <c:pt idx="47">
                  <c:v>19813.579999999998</c:v>
                </c:pt>
                <c:pt idx="48">
                  <c:v>20465</c:v>
                </c:pt>
                <c:pt idx="49">
                  <c:v>20983.95</c:v>
                </c:pt>
                <c:pt idx="50">
                  <c:v>21540.9</c:v>
                </c:pt>
                <c:pt idx="51">
                  <c:v>21845.460000000003</c:v>
                </c:pt>
                <c:pt idx="52">
                  <c:v>22286.640000000003</c:v>
                </c:pt>
                <c:pt idx="53">
                  <c:v>22344.06</c:v>
                </c:pt>
                <c:pt idx="54">
                  <c:v>22344.06</c:v>
                </c:pt>
                <c:pt idx="55">
                  <c:v>22344.06</c:v>
                </c:pt>
                <c:pt idx="56">
                  <c:v>22344.06</c:v>
                </c:pt>
                <c:pt idx="57">
                  <c:v>22344.06</c:v>
                </c:pt>
                <c:pt idx="58">
                  <c:v>22344.06</c:v>
                </c:pt>
                <c:pt idx="59">
                  <c:v>22344.06</c:v>
                </c:pt>
                <c:pt idx="60">
                  <c:v>22344.06</c:v>
                </c:pt>
                <c:pt idx="61">
                  <c:v>22344.06</c:v>
                </c:pt>
                <c:pt idx="62">
                  <c:v>22344.06</c:v>
                </c:pt>
                <c:pt idx="63">
                  <c:v>22344.06</c:v>
                </c:pt>
                <c:pt idx="64">
                  <c:v>22344.06</c:v>
                </c:pt>
                <c:pt idx="65">
                  <c:v>22344.06</c:v>
                </c:pt>
                <c:pt idx="66">
                  <c:v>22344.06</c:v>
                </c:pt>
                <c:pt idx="67">
                  <c:v>22344.06</c:v>
                </c:pt>
                <c:pt idx="68">
                  <c:v>22344.06</c:v>
                </c:pt>
                <c:pt idx="69">
                  <c:v>22344.06</c:v>
                </c:pt>
                <c:pt idx="70">
                  <c:v>22344.06</c:v>
                </c:pt>
                <c:pt idx="71">
                  <c:v>22344.06</c:v>
                </c:pt>
                <c:pt idx="72">
                  <c:v>22344.06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89-47E9-8C4F-49015CDE794F}"/>
            </c:ext>
          </c:extLst>
        </c:ser>
        <c:ser>
          <c:idx val="25"/>
          <c:order val="25"/>
          <c:tx>
            <c:strRef>
              <c:f>每年积分汇总2!$AA$1</c:f>
              <c:strCache>
                <c:ptCount val="1"/>
                <c:pt idx="0">
                  <c:v>鲍勃-佩蒂特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每年积分汇总2!$AA$2:$AA$74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570.95999999999992</c:v>
                </c:pt>
                <c:pt idx="9">
                  <c:v>8635.5199999999986</c:v>
                </c:pt>
                <c:pt idx="10">
                  <c:v>10021.339999999998</c:v>
                </c:pt>
                <c:pt idx="11">
                  <c:v>13406.539999999999</c:v>
                </c:pt>
                <c:pt idx="12">
                  <c:v>21501.26</c:v>
                </c:pt>
                <c:pt idx="13">
                  <c:v>22819.16</c:v>
                </c:pt>
                <c:pt idx="14">
                  <c:v>24222.62</c:v>
                </c:pt>
                <c:pt idx="15">
                  <c:v>24827.62</c:v>
                </c:pt>
                <c:pt idx="16">
                  <c:v>26453.919999999998</c:v>
                </c:pt>
                <c:pt idx="17">
                  <c:v>27552.1</c:v>
                </c:pt>
                <c:pt idx="18">
                  <c:v>27826.959999999999</c:v>
                </c:pt>
                <c:pt idx="19">
                  <c:v>27826.959999999999</c:v>
                </c:pt>
                <c:pt idx="20">
                  <c:v>27826.959999999999</c:v>
                </c:pt>
                <c:pt idx="21">
                  <c:v>27826.959999999999</c:v>
                </c:pt>
                <c:pt idx="22">
                  <c:v>27826.959999999999</c:v>
                </c:pt>
                <c:pt idx="23">
                  <c:v>27826.959999999999</c:v>
                </c:pt>
                <c:pt idx="24">
                  <c:v>27826.959999999999</c:v>
                </c:pt>
                <c:pt idx="25">
                  <c:v>27826.959999999999</c:v>
                </c:pt>
                <c:pt idx="26">
                  <c:v>27826.959999999999</c:v>
                </c:pt>
                <c:pt idx="27">
                  <c:v>27826.959999999999</c:v>
                </c:pt>
                <c:pt idx="28">
                  <c:v>27826.959999999999</c:v>
                </c:pt>
                <c:pt idx="29">
                  <c:v>27826.959999999999</c:v>
                </c:pt>
                <c:pt idx="30">
                  <c:v>27826.959999999999</c:v>
                </c:pt>
                <c:pt idx="31">
                  <c:v>27826.959999999999</c:v>
                </c:pt>
                <c:pt idx="32">
                  <c:v>27826.959999999999</c:v>
                </c:pt>
                <c:pt idx="33">
                  <c:v>27826.959999999999</c:v>
                </c:pt>
                <c:pt idx="34">
                  <c:v>27826.959999999999</c:v>
                </c:pt>
                <c:pt idx="35">
                  <c:v>27826.959999999999</c:v>
                </c:pt>
                <c:pt idx="36">
                  <c:v>27826.959999999999</c:v>
                </c:pt>
                <c:pt idx="37">
                  <c:v>27826.959999999999</c:v>
                </c:pt>
                <c:pt idx="38">
                  <c:v>27826.959999999999</c:v>
                </c:pt>
                <c:pt idx="39">
                  <c:v>27826.959999999999</c:v>
                </c:pt>
                <c:pt idx="40">
                  <c:v>27826.959999999999</c:v>
                </c:pt>
                <c:pt idx="41">
                  <c:v>27826.959999999999</c:v>
                </c:pt>
                <c:pt idx="42">
                  <c:v>27826.959999999999</c:v>
                </c:pt>
                <c:pt idx="43">
                  <c:v>27826.959999999999</c:v>
                </c:pt>
                <c:pt idx="44">
                  <c:v>27826.959999999999</c:v>
                </c:pt>
                <c:pt idx="45">
                  <c:v>27826.959999999999</c:v>
                </c:pt>
                <c:pt idx="46">
                  <c:v>27826.959999999999</c:v>
                </c:pt>
                <c:pt idx="47">
                  <c:v>27826.959999999999</c:v>
                </c:pt>
                <c:pt idx="48">
                  <c:v>27826.959999999999</c:v>
                </c:pt>
                <c:pt idx="49">
                  <c:v>27826.959999999999</c:v>
                </c:pt>
                <c:pt idx="50">
                  <c:v>27826.959999999999</c:v>
                </c:pt>
                <c:pt idx="51">
                  <c:v>27826.959999999999</c:v>
                </c:pt>
                <c:pt idx="52">
                  <c:v>27826.959999999999</c:v>
                </c:pt>
                <c:pt idx="53">
                  <c:v>27826.959999999999</c:v>
                </c:pt>
                <c:pt idx="54">
                  <c:v>27826.959999999999</c:v>
                </c:pt>
                <c:pt idx="55">
                  <c:v>27826.959999999999</c:v>
                </c:pt>
                <c:pt idx="56">
                  <c:v>27826.959999999999</c:v>
                </c:pt>
                <c:pt idx="57">
                  <c:v>27826.959999999999</c:v>
                </c:pt>
                <c:pt idx="58">
                  <c:v>27826.959999999999</c:v>
                </c:pt>
                <c:pt idx="59">
                  <c:v>27826.959999999999</c:v>
                </c:pt>
                <c:pt idx="60">
                  <c:v>27826.959999999999</c:v>
                </c:pt>
                <c:pt idx="61">
                  <c:v>27826.959999999999</c:v>
                </c:pt>
                <c:pt idx="62">
                  <c:v>27826.959999999999</c:v>
                </c:pt>
                <c:pt idx="63">
                  <c:v>27826.959999999999</c:v>
                </c:pt>
                <c:pt idx="64">
                  <c:v>27826.959999999999</c:v>
                </c:pt>
                <c:pt idx="65">
                  <c:v>27826.959999999999</c:v>
                </c:pt>
                <c:pt idx="66">
                  <c:v>27826.959999999999</c:v>
                </c:pt>
                <c:pt idx="67">
                  <c:v>27826.959999999999</c:v>
                </c:pt>
                <c:pt idx="68">
                  <c:v>27826.959999999999</c:v>
                </c:pt>
                <c:pt idx="69">
                  <c:v>27826.959999999999</c:v>
                </c:pt>
                <c:pt idx="70">
                  <c:v>27826.959999999999</c:v>
                </c:pt>
                <c:pt idx="71">
                  <c:v>27826.959999999999</c:v>
                </c:pt>
                <c:pt idx="72">
                  <c:v>27826.959999999999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89-47E9-8C4F-49015CDE794F}"/>
            </c:ext>
          </c:extLst>
        </c:ser>
        <c:ser>
          <c:idx val="26"/>
          <c:order val="26"/>
          <c:tx>
            <c:strRef>
              <c:f>每年积分汇总2!$AB$1</c:f>
              <c:strCache>
                <c:ptCount val="1"/>
                <c:pt idx="0">
                  <c:v>德维恩-韦德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每年积分汇总2!$AB$2:$AB$74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284.41000000000003</c:v>
                </c:pt>
                <c:pt idx="58">
                  <c:v>938.26</c:v>
                </c:pt>
                <c:pt idx="59">
                  <c:v>16605.079999999998</c:v>
                </c:pt>
                <c:pt idx="60">
                  <c:v>16949.099999999999</c:v>
                </c:pt>
                <c:pt idx="61">
                  <c:v>17041.55</c:v>
                </c:pt>
                <c:pt idx="62">
                  <c:v>20107.87</c:v>
                </c:pt>
                <c:pt idx="63">
                  <c:v>21479.87</c:v>
                </c:pt>
                <c:pt idx="64">
                  <c:v>22451.200000000001</c:v>
                </c:pt>
                <c:pt idx="65">
                  <c:v>25850.25</c:v>
                </c:pt>
                <c:pt idx="66">
                  <c:v>28431.25</c:v>
                </c:pt>
                <c:pt idx="67">
                  <c:v>28777.75</c:v>
                </c:pt>
                <c:pt idx="68">
                  <c:v>28874.05</c:v>
                </c:pt>
                <c:pt idx="69">
                  <c:v>29272.57</c:v>
                </c:pt>
                <c:pt idx="70">
                  <c:v>29446.97</c:v>
                </c:pt>
                <c:pt idx="71">
                  <c:v>29574.170000000002</c:v>
                </c:pt>
                <c:pt idx="72">
                  <c:v>29627.890000000003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89-47E9-8C4F-49015CDE794F}"/>
            </c:ext>
          </c:extLst>
        </c:ser>
        <c:ser>
          <c:idx val="27"/>
          <c:order val="27"/>
          <c:tx>
            <c:strRef>
              <c:f>每年积分汇总2!$AC$1</c:f>
              <c:strCache>
                <c:ptCount val="1"/>
                <c:pt idx="0">
                  <c:v>约翰-哈福利切克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每年积分汇总2!$AC$2:$AC$74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1076.05</c:v>
                </c:pt>
                <c:pt idx="17">
                  <c:v>2478.4499999999998</c:v>
                </c:pt>
                <c:pt idx="18">
                  <c:v>3295.7</c:v>
                </c:pt>
                <c:pt idx="19">
                  <c:v>4757</c:v>
                </c:pt>
                <c:pt idx="20">
                  <c:v>5164.3599999999997</c:v>
                </c:pt>
                <c:pt idx="21">
                  <c:v>7815.9599999999991</c:v>
                </c:pt>
                <c:pt idx="22">
                  <c:v>10373.959999999999</c:v>
                </c:pt>
                <c:pt idx="23">
                  <c:v>10605.96</c:v>
                </c:pt>
                <c:pt idx="24">
                  <c:v>11167.56</c:v>
                </c:pt>
                <c:pt idx="25">
                  <c:v>12721.83</c:v>
                </c:pt>
                <c:pt idx="26">
                  <c:v>14250.66</c:v>
                </c:pt>
                <c:pt idx="27">
                  <c:v>23962.11</c:v>
                </c:pt>
                <c:pt idx="28">
                  <c:v>24664.89</c:v>
                </c:pt>
                <c:pt idx="29">
                  <c:v>26343.09</c:v>
                </c:pt>
                <c:pt idx="30">
                  <c:v>26529.360000000001</c:v>
                </c:pt>
                <c:pt idx="31">
                  <c:v>26616.59</c:v>
                </c:pt>
                <c:pt idx="32">
                  <c:v>26616.59</c:v>
                </c:pt>
                <c:pt idx="33">
                  <c:v>26616.59</c:v>
                </c:pt>
                <c:pt idx="34">
                  <c:v>26616.59</c:v>
                </c:pt>
                <c:pt idx="35">
                  <c:v>26616.59</c:v>
                </c:pt>
                <c:pt idx="36">
                  <c:v>26616.59</c:v>
                </c:pt>
                <c:pt idx="37">
                  <c:v>26616.59</c:v>
                </c:pt>
                <c:pt idx="38">
                  <c:v>26616.59</c:v>
                </c:pt>
                <c:pt idx="39">
                  <c:v>26616.59</c:v>
                </c:pt>
                <c:pt idx="40">
                  <c:v>26616.59</c:v>
                </c:pt>
                <c:pt idx="41">
                  <c:v>26616.59</c:v>
                </c:pt>
                <c:pt idx="42">
                  <c:v>26616.59</c:v>
                </c:pt>
                <c:pt idx="43">
                  <c:v>26616.59</c:v>
                </c:pt>
                <c:pt idx="44">
                  <c:v>26616.59</c:v>
                </c:pt>
                <c:pt idx="45">
                  <c:v>26616.59</c:v>
                </c:pt>
                <c:pt idx="46">
                  <c:v>26616.59</c:v>
                </c:pt>
                <c:pt idx="47">
                  <c:v>26616.59</c:v>
                </c:pt>
                <c:pt idx="48">
                  <c:v>26616.59</c:v>
                </c:pt>
                <c:pt idx="49">
                  <c:v>26616.59</c:v>
                </c:pt>
                <c:pt idx="50">
                  <c:v>26616.59</c:v>
                </c:pt>
                <c:pt idx="51">
                  <c:v>26616.59</c:v>
                </c:pt>
                <c:pt idx="52">
                  <c:v>26616.59</c:v>
                </c:pt>
                <c:pt idx="53">
                  <c:v>26616.59</c:v>
                </c:pt>
                <c:pt idx="54">
                  <c:v>26616.59</c:v>
                </c:pt>
                <c:pt idx="55">
                  <c:v>26616.59</c:v>
                </c:pt>
                <c:pt idx="56">
                  <c:v>26616.59</c:v>
                </c:pt>
                <c:pt idx="57">
                  <c:v>26616.59</c:v>
                </c:pt>
                <c:pt idx="58">
                  <c:v>26616.59</c:v>
                </c:pt>
                <c:pt idx="59">
                  <c:v>26616.59</c:v>
                </c:pt>
                <c:pt idx="60">
                  <c:v>26616.59</c:v>
                </c:pt>
                <c:pt idx="61">
                  <c:v>26616.59</c:v>
                </c:pt>
                <c:pt idx="62">
                  <c:v>26616.59</c:v>
                </c:pt>
                <c:pt idx="63">
                  <c:v>26616.59</c:v>
                </c:pt>
                <c:pt idx="64">
                  <c:v>26616.59</c:v>
                </c:pt>
                <c:pt idx="65">
                  <c:v>26616.59</c:v>
                </c:pt>
                <c:pt idx="66">
                  <c:v>26616.59</c:v>
                </c:pt>
                <c:pt idx="67">
                  <c:v>26616.59</c:v>
                </c:pt>
                <c:pt idx="68">
                  <c:v>26616.59</c:v>
                </c:pt>
                <c:pt idx="69">
                  <c:v>26616.59</c:v>
                </c:pt>
                <c:pt idx="70">
                  <c:v>26616.59</c:v>
                </c:pt>
                <c:pt idx="71">
                  <c:v>26616.59</c:v>
                </c:pt>
                <c:pt idx="72">
                  <c:v>26616.59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89-47E9-8C4F-49015CDE794F}"/>
            </c:ext>
          </c:extLst>
        </c:ser>
        <c:ser>
          <c:idx val="28"/>
          <c:order val="28"/>
          <c:tx>
            <c:strRef>
              <c:f>每年积分汇总2!$AD$1</c:f>
              <c:strCache>
                <c:ptCount val="1"/>
                <c:pt idx="0">
                  <c:v>科怀-伦纳德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每年积分汇总2!$AD$2:$AD$74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274</c:v>
                </c:pt>
                <c:pt idx="66">
                  <c:v>779.53</c:v>
                </c:pt>
                <c:pt idx="67">
                  <c:v>7714.119999999999</c:v>
                </c:pt>
                <c:pt idx="68">
                  <c:v>9996.2199999999993</c:v>
                </c:pt>
                <c:pt idx="69">
                  <c:v>13980.72</c:v>
                </c:pt>
                <c:pt idx="70">
                  <c:v>16985.099999999999</c:v>
                </c:pt>
                <c:pt idx="71">
                  <c:v>17034.5</c:v>
                </c:pt>
                <c:pt idx="72">
                  <c:v>31294.2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E89-47E9-8C4F-49015CDE794F}"/>
            </c:ext>
          </c:extLst>
        </c:ser>
        <c:ser>
          <c:idx val="29"/>
          <c:order val="29"/>
          <c:tx>
            <c:strRef>
              <c:f>每年积分汇总2!$AE$1</c:f>
              <c:strCache>
                <c:ptCount val="1"/>
                <c:pt idx="0">
                  <c:v>詹姆斯-哈登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每年积分汇总2!$AE$2:$AE$74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195.5</c:v>
                </c:pt>
                <c:pt idx="64">
                  <c:v>633.94000000000005</c:v>
                </c:pt>
                <c:pt idx="65">
                  <c:v>1206.5700000000002</c:v>
                </c:pt>
                <c:pt idx="66">
                  <c:v>1679.9700000000003</c:v>
                </c:pt>
                <c:pt idx="67">
                  <c:v>2621.3700000000003</c:v>
                </c:pt>
                <c:pt idx="68">
                  <c:v>4468.13</c:v>
                </c:pt>
                <c:pt idx="69">
                  <c:v>4982.5200000000004</c:v>
                </c:pt>
                <c:pt idx="70">
                  <c:v>7794.1200000000008</c:v>
                </c:pt>
                <c:pt idx="71">
                  <c:v>18290.16</c:v>
                </c:pt>
                <c:pt idx="72">
                  <c:v>21639.239999999998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E89-47E9-8C4F-49015CDE794F}"/>
            </c:ext>
          </c:extLst>
        </c:ser>
        <c:ser>
          <c:idx val="30"/>
          <c:order val="30"/>
          <c:tx>
            <c:strRef>
              <c:f>每年积分汇总2!$AF$1</c:f>
              <c:strCache>
                <c:ptCount val="1"/>
                <c:pt idx="0">
                  <c:v>史蒂夫-纳什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每年积分汇总2!$AF$2:$AF$74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-4.59</c:v>
                </c:pt>
                <c:pt idx="51">
                  <c:v>176.64000000000001</c:v>
                </c:pt>
                <c:pt idx="52">
                  <c:v>198.44000000000003</c:v>
                </c:pt>
                <c:pt idx="53">
                  <c:v>252.44000000000003</c:v>
                </c:pt>
                <c:pt idx="54">
                  <c:v>557.48</c:v>
                </c:pt>
                <c:pt idx="55">
                  <c:v>942.06</c:v>
                </c:pt>
                <c:pt idx="56">
                  <c:v>1471.17</c:v>
                </c:pt>
                <c:pt idx="57">
                  <c:v>1780.5700000000002</c:v>
                </c:pt>
                <c:pt idx="58">
                  <c:v>9274.57</c:v>
                </c:pt>
                <c:pt idx="59">
                  <c:v>17622.010000000002</c:v>
                </c:pt>
                <c:pt idx="60">
                  <c:v>19967.93</c:v>
                </c:pt>
                <c:pt idx="61">
                  <c:v>20328.18</c:v>
                </c:pt>
                <c:pt idx="62">
                  <c:v>20490.03</c:v>
                </c:pt>
                <c:pt idx="63">
                  <c:v>22204.35</c:v>
                </c:pt>
                <c:pt idx="64">
                  <c:v>22759.71</c:v>
                </c:pt>
                <c:pt idx="65">
                  <c:v>22899.78</c:v>
                </c:pt>
                <c:pt idx="66">
                  <c:v>23057.079999999998</c:v>
                </c:pt>
                <c:pt idx="67">
                  <c:v>23070.499999999996</c:v>
                </c:pt>
                <c:pt idx="68">
                  <c:v>23070.499999999996</c:v>
                </c:pt>
                <c:pt idx="69">
                  <c:v>23070.499999999996</c:v>
                </c:pt>
                <c:pt idx="70">
                  <c:v>23070.499999999996</c:v>
                </c:pt>
                <c:pt idx="71">
                  <c:v>23070.499999999996</c:v>
                </c:pt>
                <c:pt idx="72">
                  <c:v>23070.499999999996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E89-47E9-8C4F-49015CDE794F}"/>
            </c:ext>
          </c:extLst>
        </c:ser>
        <c:ser>
          <c:idx val="31"/>
          <c:order val="31"/>
          <c:tx>
            <c:strRef>
              <c:f>每年积分汇总2!$AG$1</c:f>
              <c:strCache>
                <c:ptCount val="1"/>
                <c:pt idx="0">
                  <c:v>马努-吉诺比利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每年积分汇总2!$AG$2:$AG$74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1544.7</c:v>
                </c:pt>
                <c:pt idx="57">
                  <c:v>1986.85</c:v>
                </c:pt>
                <c:pt idx="58">
                  <c:v>6548.85</c:v>
                </c:pt>
                <c:pt idx="59">
                  <c:v>7026.3700000000008</c:v>
                </c:pt>
                <c:pt idx="60">
                  <c:v>10395.170000000002</c:v>
                </c:pt>
                <c:pt idx="61">
                  <c:v>10885.850000000002</c:v>
                </c:pt>
                <c:pt idx="62">
                  <c:v>11023.250000000002</c:v>
                </c:pt>
                <c:pt idx="63">
                  <c:v>11488.700000000003</c:v>
                </c:pt>
                <c:pt idx="64">
                  <c:v>11903.630000000003</c:v>
                </c:pt>
                <c:pt idx="65">
                  <c:v>12198.950000000003</c:v>
                </c:pt>
                <c:pt idx="66">
                  <c:v>12493.200000000003</c:v>
                </c:pt>
                <c:pt idx="67">
                  <c:v>14787.200000000003</c:v>
                </c:pt>
                <c:pt idx="68">
                  <c:v>14974.490000000003</c:v>
                </c:pt>
                <c:pt idx="69">
                  <c:v>15203.930000000004</c:v>
                </c:pt>
                <c:pt idx="70">
                  <c:v>15365.280000000004</c:v>
                </c:pt>
                <c:pt idx="71">
                  <c:v>15498.360000000004</c:v>
                </c:pt>
                <c:pt idx="72">
                  <c:v>15498.360000000004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E89-47E9-8C4F-49015CDE794F}"/>
            </c:ext>
          </c:extLst>
        </c:ser>
        <c:ser>
          <c:idx val="32"/>
          <c:order val="32"/>
          <c:tx>
            <c:strRef>
              <c:f>每年积分汇总2!$AH$1</c:f>
              <c:strCache>
                <c:ptCount val="1"/>
                <c:pt idx="0">
                  <c:v>阿伦-艾弗森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每年积分汇总2!$AH$2:$AH$74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91.8</c:v>
                </c:pt>
                <c:pt idx="51">
                  <c:v>295.8</c:v>
                </c:pt>
                <c:pt idx="52">
                  <c:v>1927.9599999999998</c:v>
                </c:pt>
                <c:pt idx="53">
                  <c:v>2202.16</c:v>
                </c:pt>
                <c:pt idx="54">
                  <c:v>12330.460000000001</c:v>
                </c:pt>
                <c:pt idx="55">
                  <c:v>14167.51</c:v>
                </c:pt>
                <c:pt idx="56">
                  <c:v>15736.630000000001</c:v>
                </c:pt>
                <c:pt idx="57">
                  <c:v>15809.970000000001</c:v>
                </c:pt>
                <c:pt idx="58">
                  <c:v>17540.370000000003</c:v>
                </c:pt>
                <c:pt idx="59">
                  <c:v>17840.810000000001</c:v>
                </c:pt>
                <c:pt idx="60">
                  <c:v>18046.93</c:v>
                </c:pt>
                <c:pt idx="61">
                  <c:v>18422.47</c:v>
                </c:pt>
                <c:pt idx="62">
                  <c:v>18484.09</c:v>
                </c:pt>
                <c:pt idx="63">
                  <c:v>18506.87</c:v>
                </c:pt>
                <c:pt idx="64">
                  <c:v>18506.87</c:v>
                </c:pt>
                <c:pt idx="65">
                  <c:v>18506.87</c:v>
                </c:pt>
                <c:pt idx="66">
                  <c:v>18506.87</c:v>
                </c:pt>
                <c:pt idx="67">
                  <c:v>18506.87</c:v>
                </c:pt>
                <c:pt idx="68">
                  <c:v>18506.87</c:v>
                </c:pt>
                <c:pt idx="69">
                  <c:v>18506.87</c:v>
                </c:pt>
                <c:pt idx="70">
                  <c:v>18506.87</c:v>
                </c:pt>
                <c:pt idx="71">
                  <c:v>18506.87</c:v>
                </c:pt>
                <c:pt idx="72">
                  <c:v>18506.87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E89-47E9-8C4F-49015CDE794F}"/>
            </c:ext>
          </c:extLst>
        </c:ser>
        <c:ser>
          <c:idx val="33"/>
          <c:order val="33"/>
          <c:tx>
            <c:strRef>
              <c:f>每年积分汇总2!$AI$1</c:f>
              <c:strCache>
                <c:ptCount val="1"/>
                <c:pt idx="0">
                  <c:v>拉塞尔-威斯布鲁克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每年积分汇总2!$AI$2:$AI$74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44.08</c:v>
                </c:pt>
                <c:pt idx="63">
                  <c:v>401.31</c:v>
                </c:pt>
                <c:pt idx="64">
                  <c:v>852.55</c:v>
                </c:pt>
                <c:pt idx="65">
                  <c:v>1406.6599999999999</c:v>
                </c:pt>
                <c:pt idx="66">
                  <c:v>1861.3999999999999</c:v>
                </c:pt>
                <c:pt idx="67">
                  <c:v>2450.29</c:v>
                </c:pt>
                <c:pt idx="68">
                  <c:v>3462.9700000000003</c:v>
                </c:pt>
                <c:pt idx="69">
                  <c:v>5340.07</c:v>
                </c:pt>
                <c:pt idx="70">
                  <c:v>12844.39</c:v>
                </c:pt>
                <c:pt idx="71">
                  <c:v>14062.75</c:v>
                </c:pt>
                <c:pt idx="72">
                  <c:v>14822.14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E89-47E9-8C4F-49015CDE794F}"/>
            </c:ext>
          </c:extLst>
        </c:ser>
        <c:ser>
          <c:idx val="34"/>
          <c:order val="34"/>
          <c:tx>
            <c:strRef>
              <c:f>每年积分汇总2!$AJ$1</c:f>
              <c:strCache>
                <c:ptCount val="1"/>
                <c:pt idx="0">
                  <c:v>托尼-帕克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每年积分汇总2!$AJ$2:$AJ$74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187.35999999999999</c:v>
                </c:pt>
                <c:pt idx="56">
                  <c:v>1529.86</c:v>
                </c:pt>
                <c:pt idx="57">
                  <c:v>1852.31</c:v>
                </c:pt>
                <c:pt idx="58">
                  <c:v>3151.31</c:v>
                </c:pt>
                <c:pt idx="59">
                  <c:v>3494.29</c:v>
                </c:pt>
                <c:pt idx="60">
                  <c:v>9603.5099999999984</c:v>
                </c:pt>
                <c:pt idx="61">
                  <c:v>10032.159999999998</c:v>
                </c:pt>
                <c:pt idx="62">
                  <c:v>10476.549999999997</c:v>
                </c:pt>
                <c:pt idx="63">
                  <c:v>10660.539999999997</c:v>
                </c:pt>
                <c:pt idx="64">
                  <c:v>10962.619999999997</c:v>
                </c:pt>
                <c:pt idx="65">
                  <c:v>11373.619999999997</c:v>
                </c:pt>
                <c:pt idx="66">
                  <c:v>11976.019999999997</c:v>
                </c:pt>
                <c:pt idx="67">
                  <c:v>13457.569999999996</c:v>
                </c:pt>
                <c:pt idx="68">
                  <c:v>13561.409999999996</c:v>
                </c:pt>
                <c:pt idx="69">
                  <c:v>13771.669999999996</c:v>
                </c:pt>
                <c:pt idx="70">
                  <c:v>13979.669999999996</c:v>
                </c:pt>
                <c:pt idx="71">
                  <c:v>14041.349999999997</c:v>
                </c:pt>
                <c:pt idx="72">
                  <c:v>14072.349999999997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E89-47E9-8C4F-49015CDE794F}"/>
            </c:ext>
          </c:extLst>
        </c:ser>
        <c:ser>
          <c:idx val="35"/>
          <c:order val="35"/>
          <c:tx>
            <c:strRef>
              <c:f>每年积分汇总2!$AK$1</c:f>
              <c:strCache>
                <c:ptCount val="1"/>
                <c:pt idx="0">
                  <c:v>特雷西-麦克格雷迪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每年积分汇总2!$AK$2:$AK$74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52.199999999999996</c:v>
                </c:pt>
                <c:pt idx="52">
                  <c:v>140.78</c:v>
                </c:pt>
                <c:pt idx="53">
                  <c:v>384.58000000000004</c:v>
                </c:pt>
                <c:pt idx="54">
                  <c:v>914.26</c:v>
                </c:pt>
                <c:pt idx="55">
                  <c:v>1951.3600000000001</c:v>
                </c:pt>
                <c:pt idx="56">
                  <c:v>5211.880000000001</c:v>
                </c:pt>
                <c:pt idx="57">
                  <c:v>5925.3400000000011</c:v>
                </c:pt>
                <c:pt idx="58">
                  <c:v>6495.0400000000009</c:v>
                </c:pt>
                <c:pt idx="59">
                  <c:v>6606.7300000000005</c:v>
                </c:pt>
                <c:pt idx="60">
                  <c:v>6999.05</c:v>
                </c:pt>
                <c:pt idx="61">
                  <c:v>7319.37</c:v>
                </c:pt>
                <c:pt idx="62">
                  <c:v>7379.68</c:v>
                </c:pt>
                <c:pt idx="63">
                  <c:v>7392.08</c:v>
                </c:pt>
                <c:pt idx="64">
                  <c:v>7438.2699999999995</c:v>
                </c:pt>
                <c:pt idx="65">
                  <c:v>7502.8799999999992</c:v>
                </c:pt>
                <c:pt idx="66">
                  <c:v>7534.3799999999992</c:v>
                </c:pt>
                <c:pt idx="67">
                  <c:v>7534.3799999999992</c:v>
                </c:pt>
                <c:pt idx="68">
                  <c:v>7534.3799999999992</c:v>
                </c:pt>
                <c:pt idx="69">
                  <c:v>7534.3799999999992</c:v>
                </c:pt>
                <c:pt idx="70">
                  <c:v>7534.3799999999992</c:v>
                </c:pt>
                <c:pt idx="71">
                  <c:v>7534.3799999999992</c:v>
                </c:pt>
                <c:pt idx="72">
                  <c:v>7534.3799999999992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E89-47E9-8C4F-49015CDE794F}"/>
            </c:ext>
          </c:extLst>
        </c:ser>
        <c:ser>
          <c:idx val="36"/>
          <c:order val="36"/>
          <c:tx>
            <c:strRef>
              <c:f>每年积分汇总2!$AL$1</c:f>
              <c:strCache>
                <c:ptCount val="1"/>
                <c:pt idx="0">
                  <c:v>卡梅罗-安东尼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每年积分汇总2!$AL$2:$AL$74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164.16000000000003</c:v>
                </c:pt>
                <c:pt idx="58">
                  <c:v>341.89000000000004</c:v>
                </c:pt>
                <c:pt idx="59">
                  <c:v>624.19000000000005</c:v>
                </c:pt>
                <c:pt idx="60">
                  <c:v>984.42000000000007</c:v>
                </c:pt>
                <c:pt idx="61">
                  <c:v>1245.5900000000001</c:v>
                </c:pt>
                <c:pt idx="62">
                  <c:v>1796.9900000000002</c:v>
                </c:pt>
                <c:pt idx="63">
                  <c:v>2192.6200000000003</c:v>
                </c:pt>
                <c:pt idx="64">
                  <c:v>2554.5000000000005</c:v>
                </c:pt>
                <c:pt idx="65">
                  <c:v>2856.9200000000005</c:v>
                </c:pt>
                <c:pt idx="66">
                  <c:v>4280.7200000000012</c:v>
                </c:pt>
                <c:pt idx="67">
                  <c:v>4566.2000000000007</c:v>
                </c:pt>
                <c:pt idx="68">
                  <c:v>4650.0500000000011</c:v>
                </c:pt>
                <c:pt idx="69">
                  <c:v>4800.2700000000013</c:v>
                </c:pt>
                <c:pt idx="70">
                  <c:v>4902.3000000000011</c:v>
                </c:pt>
                <c:pt idx="71">
                  <c:v>5015.3400000000011</c:v>
                </c:pt>
                <c:pt idx="72">
                  <c:v>5029.6400000000012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E89-47E9-8C4F-49015CDE794F}"/>
            </c:ext>
          </c:extLst>
        </c:ser>
        <c:ser>
          <c:idx val="37"/>
          <c:order val="37"/>
          <c:tx>
            <c:strRef>
              <c:f>每年积分汇总2!$AM$1</c:f>
              <c:strCache>
                <c:ptCount val="1"/>
                <c:pt idx="0">
                  <c:v>保罗-乔治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每年积分汇总2!$AM$2:$AM$74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94.199999999999989</c:v>
                </c:pt>
                <c:pt idx="65">
                  <c:v>322.2</c:v>
                </c:pt>
                <c:pt idx="66">
                  <c:v>730.9</c:v>
                </c:pt>
                <c:pt idx="67">
                  <c:v>1963.7600000000002</c:v>
                </c:pt>
                <c:pt idx="68">
                  <c:v>1976.7600000000002</c:v>
                </c:pt>
                <c:pt idx="69">
                  <c:v>2547.44</c:v>
                </c:pt>
                <c:pt idx="70">
                  <c:v>2868.56</c:v>
                </c:pt>
                <c:pt idx="71">
                  <c:v>3141.29</c:v>
                </c:pt>
                <c:pt idx="72">
                  <c:v>5341.6399999999994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E89-47E9-8C4F-49015CDE794F}"/>
            </c:ext>
          </c:extLst>
        </c:ser>
        <c:ser>
          <c:idx val="38"/>
          <c:order val="38"/>
          <c:tx>
            <c:strRef>
              <c:f>每年积分汇总2!$AN$1</c:f>
              <c:strCache>
                <c:ptCount val="1"/>
                <c:pt idx="0">
                  <c:v>克莱-汤普森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每年积分汇总2!$AN$2:$AN$74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40.230000000000004</c:v>
                </c:pt>
                <c:pt idx="66">
                  <c:v>178.24</c:v>
                </c:pt>
                <c:pt idx="67">
                  <c:v>360.35</c:v>
                </c:pt>
                <c:pt idx="68">
                  <c:v>2452.5500000000002</c:v>
                </c:pt>
                <c:pt idx="69">
                  <c:v>2961.2000000000003</c:v>
                </c:pt>
                <c:pt idx="70">
                  <c:v>4037.9</c:v>
                </c:pt>
                <c:pt idx="71">
                  <c:v>5482.9</c:v>
                </c:pt>
                <c:pt idx="72">
                  <c:v>5746.98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E89-47E9-8C4F-49015CDE794F}"/>
            </c:ext>
          </c:extLst>
        </c:ser>
        <c:ser>
          <c:idx val="39"/>
          <c:order val="39"/>
          <c:tx>
            <c:strRef>
              <c:f>每年积分汇总2!$AO$1</c:f>
              <c:strCache>
                <c:ptCount val="1"/>
                <c:pt idx="0">
                  <c:v>姚明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每年积分汇总2!$AO$2:$AO$74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199.82</c:v>
                </c:pt>
                <c:pt idx="57">
                  <c:v>568.23</c:v>
                </c:pt>
                <c:pt idx="58">
                  <c:v>1129.67</c:v>
                </c:pt>
                <c:pt idx="59">
                  <c:v>1375.43</c:v>
                </c:pt>
                <c:pt idx="60">
                  <c:v>1747.2800000000002</c:v>
                </c:pt>
                <c:pt idx="61">
                  <c:v>1956.5300000000002</c:v>
                </c:pt>
                <c:pt idx="62">
                  <c:v>2477.8500000000004</c:v>
                </c:pt>
                <c:pt idx="63">
                  <c:v>2477.8500000000004</c:v>
                </c:pt>
                <c:pt idx="64">
                  <c:v>2503.59</c:v>
                </c:pt>
                <c:pt idx="65">
                  <c:v>2503.59</c:v>
                </c:pt>
                <c:pt idx="66">
                  <c:v>2503.59</c:v>
                </c:pt>
                <c:pt idx="67">
                  <c:v>2503.59</c:v>
                </c:pt>
                <c:pt idx="68">
                  <c:v>2503.59</c:v>
                </c:pt>
                <c:pt idx="69">
                  <c:v>2503.59</c:v>
                </c:pt>
                <c:pt idx="70">
                  <c:v>2503.59</c:v>
                </c:pt>
                <c:pt idx="71">
                  <c:v>2503.59</c:v>
                </c:pt>
                <c:pt idx="72">
                  <c:v>2503.59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E89-47E9-8C4F-49015CDE7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688688"/>
        <c:axId val="735689016"/>
      </c:lineChart>
      <c:lineChart>
        <c:grouping val="standard"/>
        <c:varyColors val="0"/>
        <c:ser>
          <c:idx val="0"/>
          <c:order val="0"/>
          <c:tx>
            <c:strRef>
              <c:f>每年积分汇总2!$B$1</c:f>
              <c:strCache>
                <c:ptCount val="1"/>
                <c:pt idx="0">
                  <c:v>迈克尔-乔丹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68"/>
              <c:layout>
                <c:manualLayout>
                  <c:x val="-7.485457877206679E-2"/>
                  <c:y val="3.700130511045763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5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思源黑体 CN Bold" panose="020B0800000000000000" pitchFamily="34" charset="-122"/>
                        <a:ea typeface="思源黑体 CN Bold" panose="020B0800000000000000" pitchFamily="34" charset="-122"/>
                        <a:cs typeface="+mn-cs"/>
                      </a:defRPr>
                    </a:pPr>
                    <a:r>
                      <a:rPr lang="zh-CN" altLang="en-US" sz="1500"/>
                      <a:t>迈克尔</a:t>
                    </a:r>
                    <a:r>
                      <a:rPr lang="en-US" altLang="zh-CN" sz="1500"/>
                      <a:t>-</a:t>
                    </a:r>
                    <a:r>
                      <a:rPr lang="zh-CN" altLang="en-US" sz="1500"/>
                      <a:t>乔丹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思源黑体 CN Bold" panose="020B0800000000000000" pitchFamily="34" charset="-122"/>
                      <a:ea typeface="思源黑体 CN Bold" panose="020B0800000000000000" pitchFamily="34" charset="-122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95-4F94-AD1D-C29BB7344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思源黑体 CN Bold" panose="020B0800000000000000" pitchFamily="34" charset="-122"/>
                    <a:ea typeface="思源黑体 CN Bold" panose="020B0800000000000000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每年积分汇总2!$A$2:$A$74</c:f>
              <c:numCache>
                <c:formatCode>General</c:formatCode>
                <c:ptCount val="73"/>
                <c:pt idx="0">
                  <c:v>1947</c:v>
                </c:pt>
                <c:pt idx="1">
                  <c:v>1948</c:v>
                </c:pt>
                <c:pt idx="2">
                  <c:v>1949</c:v>
                </c:pt>
                <c:pt idx="3">
                  <c:v>1950</c:v>
                </c:pt>
                <c:pt idx="4">
                  <c:v>1951</c:v>
                </c:pt>
                <c:pt idx="5">
                  <c:v>1952</c:v>
                </c:pt>
                <c:pt idx="6">
                  <c:v>1953</c:v>
                </c:pt>
                <c:pt idx="7">
                  <c:v>1954</c:v>
                </c:pt>
                <c:pt idx="8">
                  <c:v>1955</c:v>
                </c:pt>
                <c:pt idx="9">
                  <c:v>1956</c:v>
                </c:pt>
                <c:pt idx="10">
                  <c:v>1957</c:v>
                </c:pt>
                <c:pt idx="11">
                  <c:v>1958</c:v>
                </c:pt>
                <c:pt idx="12">
                  <c:v>1959</c:v>
                </c:pt>
                <c:pt idx="13">
                  <c:v>1960</c:v>
                </c:pt>
                <c:pt idx="14">
                  <c:v>1961</c:v>
                </c:pt>
                <c:pt idx="15">
                  <c:v>1962</c:v>
                </c:pt>
                <c:pt idx="16">
                  <c:v>1963</c:v>
                </c:pt>
                <c:pt idx="17">
                  <c:v>1964</c:v>
                </c:pt>
                <c:pt idx="18">
                  <c:v>1965</c:v>
                </c:pt>
                <c:pt idx="19">
                  <c:v>1966</c:v>
                </c:pt>
                <c:pt idx="20">
                  <c:v>1967</c:v>
                </c:pt>
                <c:pt idx="21">
                  <c:v>1968</c:v>
                </c:pt>
                <c:pt idx="22">
                  <c:v>1969</c:v>
                </c:pt>
                <c:pt idx="23">
                  <c:v>1970</c:v>
                </c:pt>
                <c:pt idx="24">
                  <c:v>1971</c:v>
                </c:pt>
                <c:pt idx="25">
                  <c:v>1972</c:v>
                </c:pt>
                <c:pt idx="26">
                  <c:v>1973</c:v>
                </c:pt>
                <c:pt idx="27">
                  <c:v>1974</c:v>
                </c:pt>
                <c:pt idx="28">
                  <c:v>1975</c:v>
                </c:pt>
                <c:pt idx="29">
                  <c:v>1976</c:v>
                </c:pt>
                <c:pt idx="30">
                  <c:v>1977</c:v>
                </c:pt>
                <c:pt idx="31">
                  <c:v>1978</c:v>
                </c:pt>
                <c:pt idx="32">
                  <c:v>1979</c:v>
                </c:pt>
                <c:pt idx="33">
                  <c:v>1980</c:v>
                </c:pt>
                <c:pt idx="34">
                  <c:v>1981</c:v>
                </c:pt>
                <c:pt idx="35">
                  <c:v>1982</c:v>
                </c:pt>
                <c:pt idx="36">
                  <c:v>1983</c:v>
                </c:pt>
                <c:pt idx="37">
                  <c:v>1984</c:v>
                </c:pt>
                <c:pt idx="38">
                  <c:v>1985</c:v>
                </c:pt>
                <c:pt idx="39">
                  <c:v>1986</c:v>
                </c:pt>
                <c:pt idx="40">
                  <c:v>1987</c:v>
                </c:pt>
                <c:pt idx="41">
                  <c:v>1988</c:v>
                </c:pt>
                <c:pt idx="42">
                  <c:v>1989</c:v>
                </c:pt>
                <c:pt idx="43">
                  <c:v>1990</c:v>
                </c:pt>
                <c:pt idx="44">
                  <c:v>1991</c:v>
                </c:pt>
                <c:pt idx="45">
                  <c:v>1992</c:v>
                </c:pt>
                <c:pt idx="46">
                  <c:v>1993</c:v>
                </c:pt>
                <c:pt idx="47">
                  <c:v>1994</c:v>
                </c:pt>
                <c:pt idx="48">
                  <c:v>1995</c:v>
                </c:pt>
                <c:pt idx="49">
                  <c:v>1996</c:v>
                </c:pt>
                <c:pt idx="50">
                  <c:v>1997</c:v>
                </c:pt>
                <c:pt idx="51">
                  <c:v>1998</c:v>
                </c:pt>
                <c:pt idx="52">
                  <c:v>1999</c:v>
                </c:pt>
                <c:pt idx="53">
                  <c:v>2000</c:v>
                </c:pt>
                <c:pt idx="54">
                  <c:v>2001</c:v>
                </c:pt>
                <c:pt idx="55">
                  <c:v>2002</c:v>
                </c:pt>
                <c:pt idx="56">
                  <c:v>2003</c:v>
                </c:pt>
                <c:pt idx="57">
                  <c:v>2004</c:v>
                </c:pt>
                <c:pt idx="58">
                  <c:v>2005</c:v>
                </c:pt>
                <c:pt idx="59">
                  <c:v>2006</c:v>
                </c:pt>
                <c:pt idx="60">
                  <c:v>2007</c:v>
                </c:pt>
                <c:pt idx="61">
                  <c:v>2008</c:v>
                </c:pt>
                <c:pt idx="62">
                  <c:v>2009</c:v>
                </c:pt>
                <c:pt idx="63">
                  <c:v>2010</c:v>
                </c:pt>
                <c:pt idx="64">
                  <c:v>2011</c:v>
                </c:pt>
                <c:pt idx="65">
                  <c:v>2012</c:v>
                </c:pt>
                <c:pt idx="66">
                  <c:v>2013</c:v>
                </c:pt>
                <c:pt idx="67">
                  <c:v>2014</c:v>
                </c:pt>
                <c:pt idx="68">
                  <c:v>2015</c:v>
                </c:pt>
                <c:pt idx="69">
                  <c:v>2016</c:v>
                </c:pt>
                <c:pt idx="70">
                  <c:v>2017</c:v>
                </c:pt>
                <c:pt idx="71">
                  <c:v>2018</c:v>
                </c:pt>
                <c:pt idx="72">
                  <c:v>2019</c:v>
                </c:pt>
              </c:numCache>
            </c:numRef>
          </c:cat>
          <c:val>
            <c:numRef>
              <c:f>每年积分汇总2!$B$2:$B$74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596.95000000000005</c:v>
                </c:pt>
                <c:pt idx="39">
                  <c:v>891.45</c:v>
                </c:pt>
                <c:pt idx="40">
                  <c:v>3811.9299999999994</c:v>
                </c:pt>
                <c:pt idx="41">
                  <c:v>23258.91</c:v>
                </c:pt>
                <c:pt idx="42">
                  <c:v>30230.81</c:v>
                </c:pt>
                <c:pt idx="43">
                  <c:v>40146.31</c:v>
                </c:pt>
                <c:pt idx="44">
                  <c:v>80173.31</c:v>
                </c:pt>
                <c:pt idx="45">
                  <c:v>110463.06</c:v>
                </c:pt>
                <c:pt idx="46">
                  <c:v>136174.62</c:v>
                </c:pt>
                <c:pt idx="47">
                  <c:v>136174.62</c:v>
                </c:pt>
                <c:pt idx="48">
                  <c:v>136532.75</c:v>
                </c:pt>
                <c:pt idx="49">
                  <c:v>171285.5</c:v>
                </c:pt>
                <c:pt idx="50">
                  <c:v>191693.83000000002</c:v>
                </c:pt>
                <c:pt idx="51">
                  <c:v>222650.33000000002</c:v>
                </c:pt>
                <c:pt idx="52">
                  <c:v>222650.33000000002</c:v>
                </c:pt>
                <c:pt idx="53">
                  <c:v>222650.33000000002</c:v>
                </c:pt>
                <c:pt idx="54">
                  <c:v>222739.34000000003</c:v>
                </c:pt>
                <c:pt idx="55">
                  <c:v>222878.30000000002</c:v>
                </c:pt>
                <c:pt idx="56">
                  <c:v>222878.30000000002</c:v>
                </c:pt>
                <c:pt idx="57">
                  <c:v>222878.30000000002</c:v>
                </c:pt>
                <c:pt idx="58">
                  <c:v>222878.30000000002</c:v>
                </c:pt>
                <c:pt idx="59">
                  <c:v>222878.30000000002</c:v>
                </c:pt>
                <c:pt idx="60">
                  <c:v>222878.30000000002</c:v>
                </c:pt>
                <c:pt idx="61">
                  <c:v>222878.30000000002</c:v>
                </c:pt>
                <c:pt idx="62">
                  <c:v>222878.30000000002</c:v>
                </c:pt>
                <c:pt idx="63">
                  <c:v>222878.30000000002</c:v>
                </c:pt>
                <c:pt idx="64">
                  <c:v>222878.30000000002</c:v>
                </c:pt>
                <c:pt idx="65">
                  <c:v>222878.30000000002</c:v>
                </c:pt>
                <c:pt idx="66">
                  <c:v>222878.30000000002</c:v>
                </c:pt>
                <c:pt idx="67">
                  <c:v>222878.30000000002</c:v>
                </c:pt>
                <c:pt idx="68">
                  <c:v>222878.30000000002</c:v>
                </c:pt>
                <c:pt idx="69">
                  <c:v>222878.30000000002</c:v>
                </c:pt>
                <c:pt idx="70">
                  <c:v>222878.30000000002</c:v>
                </c:pt>
                <c:pt idx="71">
                  <c:v>222878.30000000002</c:v>
                </c:pt>
                <c:pt idx="72">
                  <c:v>222878.30000000002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89-47E9-8C4F-49015CDE7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52584"/>
        <c:axId val="392751600"/>
      </c:lineChart>
      <c:catAx>
        <c:axId val="735688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思源黑体 CN Bold" panose="020B0800000000000000" pitchFamily="34" charset="-122"/>
                <a:ea typeface="思源黑体 CN Bold" panose="020B0800000000000000" pitchFamily="34" charset="-122"/>
                <a:cs typeface="+mn-cs"/>
              </a:defRPr>
            </a:pPr>
            <a:endParaRPr lang="zh-CN"/>
          </a:p>
        </c:txPr>
        <c:crossAx val="735689016"/>
        <c:crosses val="autoZero"/>
        <c:auto val="1"/>
        <c:lblAlgn val="ctr"/>
        <c:lblOffset val="100"/>
        <c:tickLblSkip val="5"/>
        <c:tickMarkSkip val="2"/>
        <c:noMultiLvlLbl val="0"/>
      </c:catAx>
      <c:valAx>
        <c:axId val="735689016"/>
        <c:scaling>
          <c:orientation val="minMax"/>
          <c:max val="250000"/>
          <c:min val="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思源黑体 CN Bold" panose="020B0800000000000000" pitchFamily="34" charset="-122"/>
                <a:ea typeface="思源黑体 CN Bold" panose="020B0800000000000000" pitchFamily="34" charset="-122"/>
                <a:cs typeface="+mn-cs"/>
              </a:defRPr>
            </a:pPr>
            <a:endParaRPr lang="zh-CN"/>
          </a:p>
        </c:txPr>
        <c:crossAx val="735688688"/>
        <c:crosses val="autoZero"/>
        <c:crossBetween val="between"/>
      </c:valAx>
      <c:valAx>
        <c:axId val="392751600"/>
        <c:scaling>
          <c:orientation val="minMax"/>
          <c:max val="2500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思源黑体 CN Bold" panose="020B0800000000000000" pitchFamily="34" charset="-122"/>
                <a:ea typeface="思源黑体 CN Bold" panose="020B0800000000000000" pitchFamily="34" charset="-122"/>
                <a:cs typeface="+mn-cs"/>
              </a:defRPr>
            </a:pPr>
            <a:endParaRPr lang="zh-CN"/>
          </a:p>
        </c:txPr>
        <c:crossAx val="392752584"/>
        <c:crosses val="max"/>
        <c:crossBetween val="between"/>
      </c:valAx>
      <c:catAx>
        <c:axId val="39275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2751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1302279376654188E-2"/>
          <c:y val="1.0471913626776876E-2"/>
          <c:w val="0.59444900672857626"/>
          <c:h val="0.4658675396376360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思源黑体 CN Bold" panose="020B0800000000000000" pitchFamily="34" charset="-122"/>
              <a:ea typeface="思源黑体 CN Bold" panose="020B0800000000000000" pitchFamily="34" charset="-122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latin typeface="思源黑体 CN Bold" panose="020B0800000000000000" pitchFamily="34" charset="-122"/>
          <a:ea typeface="思源黑体 CN Bold" panose="020B0800000000000000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1015336</xdr:colOff>
      <xdr:row>96</xdr:row>
      <xdr:rowOff>100938</xdr:rowOff>
    </xdr:from>
    <xdr:to>
      <xdr:col>30</xdr:col>
      <xdr:colOff>634999</xdr:colOff>
      <xdr:row>138</xdr:row>
      <xdr:rowOff>103909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8F543-D5D4-4771-AD19-0375AEF7192E}">
  <sheetPr codeName="Sheet46"/>
  <dimension ref="A1:A8"/>
  <sheetViews>
    <sheetView tabSelected="1" workbookViewId="0">
      <selection activeCell="I3" sqref="I3"/>
    </sheetView>
  </sheetViews>
  <sheetFormatPr defaultRowHeight="16"/>
  <cols>
    <col min="1" max="16384" width="8.6640625" style="33"/>
  </cols>
  <sheetData>
    <row r="1" spans="1:1">
      <c r="A1" s="33" t="s">
        <v>128</v>
      </c>
    </row>
    <row r="2" spans="1:1">
      <c r="A2" s="33" t="s">
        <v>129</v>
      </c>
    </row>
    <row r="3" spans="1:1">
      <c r="A3" s="33" t="s">
        <v>130</v>
      </c>
    </row>
    <row r="4" spans="1:1">
      <c r="A4" s="33" t="s">
        <v>131</v>
      </c>
    </row>
    <row r="5" spans="1:1">
      <c r="A5" s="33" t="s">
        <v>132</v>
      </c>
    </row>
    <row r="6" spans="1:1">
      <c r="A6" s="33" t="s">
        <v>133</v>
      </c>
    </row>
    <row r="8" spans="1:1">
      <c r="A8" s="33" t="s">
        <v>134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51"/>
  <sheetViews>
    <sheetView zoomScale="40" zoomScaleNormal="40"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ColWidth="9.25" defaultRowHeight="29"/>
  <cols>
    <col min="1" max="1" width="9.25" style="14"/>
    <col min="2" max="2" width="22.83203125" style="14" customWidth="1"/>
    <col min="3" max="3" width="9.58203125" style="14" customWidth="1"/>
    <col min="4" max="4" width="9.33203125" style="14" customWidth="1"/>
    <col min="5" max="15" width="9.25" style="14"/>
    <col min="16" max="16" width="14.33203125" style="14" customWidth="1"/>
    <col min="17" max="17" width="14.08203125" style="14" customWidth="1"/>
    <col min="18" max="18" width="15.08203125" style="14" customWidth="1"/>
    <col min="19" max="19" width="13" style="14" customWidth="1"/>
    <col min="20" max="20" width="16.1640625" style="14" customWidth="1"/>
    <col min="21" max="21" width="14.33203125" style="14" customWidth="1"/>
    <col min="22" max="22" width="14.4140625" style="14" customWidth="1"/>
    <col min="23" max="23" width="13.4140625" style="14" customWidth="1"/>
    <col min="24" max="24" width="15.1640625" style="14" customWidth="1"/>
    <col min="25" max="25" width="12.9140625" style="14" customWidth="1"/>
    <col min="26" max="26" width="17.25" style="14" customWidth="1"/>
    <col min="27" max="16384" width="9.25" style="14"/>
  </cols>
  <sheetData>
    <row r="1" spans="1:26" ht="33" customHeight="1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32" t="s">
        <v>126</v>
      </c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s="15" customFormat="1" ht="28">
      <c r="A2" s="18" t="s">
        <v>117</v>
      </c>
      <c r="B2" s="18" t="s">
        <v>116</v>
      </c>
      <c r="C2" s="18" t="s">
        <v>31</v>
      </c>
      <c r="D2" s="18" t="s">
        <v>32</v>
      </c>
      <c r="E2" s="18" t="s">
        <v>6</v>
      </c>
      <c r="F2" s="19" t="s">
        <v>8</v>
      </c>
      <c r="G2" s="18" t="s">
        <v>9</v>
      </c>
      <c r="H2" s="18" t="s">
        <v>13</v>
      </c>
      <c r="I2" s="18" t="s">
        <v>14</v>
      </c>
      <c r="J2" s="18" t="s">
        <v>15</v>
      </c>
      <c r="K2" s="18" t="s">
        <v>16</v>
      </c>
      <c r="L2" s="18" t="s">
        <v>10</v>
      </c>
      <c r="M2" s="19" t="s">
        <v>11</v>
      </c>
      <c r="N2" s="18" t="s">
        <v>12</v>
      </c>
      <c r="O2" s="18" t="s">
        <v>7</v>
      </c>
      <c r="P2" s="18" t="s">
        <v>122</v>
      </c>
      <c r="Q2" s="18" t="s">
        <v>123</v>
      </c>
      <c r="R2" s="18" t="s">
        <v>118</v>
      </c>
      <c r="S2" s="18" t="s">
        <v>119</v>
      </c>
      <c r="T2" s="18" t="s">
        <v>66</v>
      </c>
      <c r="U2" s="18" t="s">
        <v>68</v>
      </c>
      <c r="V2" s="18" t="s">
        <v>120</v>
      </c>
      <c r="W2" s="18" t="s">
        <v>70</v>
      </c>
      <c r="X2" s="18" t="s">
        <v>72</v>
      </c>
      <c r="Y2" s="18" t="s">
        <v>74</v>
      </c>
      <c r="Z2" s="18" t="s">
        <v>121</v>
      </c>
    </row>
    <row r="3" spans="1:26">
      <c r="A3" s="20">
        <v>1</v>
      </c>
      <c r="B3" s="21" t="str">
        <f>'C01'!B2</f>
        <v>迈克尔-乔丹</v>
      </c>
      <c r="C3" s="22">
        <f>'C01'!C5</f>
        <v>15</v>
      </c>
      <c r="D3" s="22">
        <f>'C01'!D5</f>
        <v>13</v>
      </c>
      <c r="E3" s="23">
        <f>'C01'!G5</f>
        <v>5</v>
      </c>
      <c r="F3" s="24">
        <f>'C01'!H5</f>
        <v>10</v>
      </c>
      <c r="G3" s="24">
        <f>'C01'!I5</f>
        <v>1</v>
      </c>
      <c r="H3" s="24">
        <f>'C01'!J5</f>
        <v>0</v>
      </c>
      <c r="I3" s="24">
        <f>'C01'!K5</f>
        <v>0</v>
      </c>
      <c r="J3" s="24">
        <f>'C01'!L5</f>
        <v>3</v>
      </c>
      <c r="K3" s="24">
        <f>'C01'!M5</f>
        <v>0</v>
      </c>
      <c r="L3" s="25">
        <f>'C01'!N5</f>
        <v>10</v>
      </c>
      <c r="M3" s="25">
        <f>'C01'!O5</f>
        <v>9</v>
      </c>
      <c r="N3" s="23">
        <f>'C01'!P5</f>
        <v>6</v>
      </c>
      <c r="O3" s="23">
        <f>'C01'!Q5</f>
        <v>6</v>
      </c>
      <c r="P3" s="25">
        <f>'C01'!R5</f>
        <v>410.59999999999997</v>
      </c>
      <c r="Q3" s="25">
        <f>'C01'!S5</f>
        <v>213.9</v>
      </c>
      <c r="R3" s="23">
        <f>'C01'!T5</f>
        <v>368.90000000000003</v>
      </c>
      <c r="S3" s="23">
        <f>'C01'!U5</f>
        <v>39.699999999999996</v>
      </c>
      <c r="T3" s="26">
        <f>'C01'!V5</f>
        <v>6585.36</v>
      </c>
      <c r="U3" s="26">
        <f>'C01'!W5</f>
        <v>7571.8999999999987</v>
      </c>
      <c r="V3" s="26">
        <f t="shared" ref="V3:V42" si="0">T3+U3</f>
        <v>14157.259999999998</v>
      </c>
      <c r="W3" s="26">
        <f>'C01'!X5</f>
        <v>208721.04</v>
      </c>
      <c r="X3" s="27">
        <f>'C01'!Y5</f>
        <v>222878.30000000002</v>
      </c>
      <c r="Y3" s="28">
        <f>'C01'!Z5</f>
        <v>159</v>
      </c>
      <c r="Z3" s="29">
        <f t="shared" ref="Z3:Z42" si="1">X3/C3</f>
        <v>14858.553333333335</v>
      </c>
    </row>
    <row r="4" spans="1:26">
      <c r="A4" s="20">
        <v>2</v>
      </c>
      <c r="B4" s="30" t="str">
        <f>'C03'!B2</f>
        <v>勒布朗-詹姆斯</v>
      </c>
      <c r="C4" s="22">
        <f>'C03'!C5</f>
        <v>16</v>
      </c>
      <c r="D4" s="22">
        <f>'C03'!D5</f>
        <v>13</v>
      </c>
      <c r="E4" s="23">
        <f>'C03'!G5</f>
        <v>4</v>
      </c>
      <c r="F4" s="24">
        <f>'C03'!H5</f>
        <v>1</v>
      </c>
      <c r="G4" s="24">
        <f>'C03'!I5</f>
        <v>0</v>
      </c>
      <c r="H4" s="24">
        <f>'C03'!J5</f>
        <v>0</v>
      </c>
      <c r="I4" s="24">
        <f>'C03'!K5</f>
        <v>0</v>
      </c>
      <c r="J4" s="24">
        <f>'C03'!L5</f>
        <v>0</v>
      </c>
      <c r="K4" s="24">
        <f>'C03'!M5</f>
        <v>0</v>
      </c>
      <c r="L4" s="25">
        <f>'C03'!N5</f>
        <v>12</v>
      </c>
      <c r="M4" s="25">
        <f>'C03'!O5</f>
        <v>6</v>
      </c>
      <c r="N4" s="23">
        <f>'C03'!P5</f>
        <v>3</v>
      </c>
      <c r="O4" s="23">
        <f>'C03'!Q5</f>
        <v>3</v>
      </c>
      <c r="P4" s="25">
        <f>'C03'!R5</f>
        <v>442</v>
      </c>
      <c r="Q4" s="25">
        <f>'C03'!S5</f>
        <v>226.8</v>
      </c>
      <c r="R4" s="23">
        <f>'C03'!T5</f>
        <v>368.2</v>
      </c>
      <c r="S4" s="23">
        <f>'C03'!U5</f>
        <v>51</v>
      </c>
      <c r="T4" s="26">
        <f>'C03'!V5</f>
        <v>6880.8600000000006</v>
      </c>
      <c r="U4" s="26">
        <f>'C03'!W5</f>
        <v>9271.25</v>
      </c>
      <c r="V4" s="26">
        <f t="shared" si="0"/>
        <v>16152.11</v>
      </c>
      <c r="W4" s="26">
        <f>'C03'!X5</f>
        <v>122589.95999999999</v>
      </c>
      <c r="X4" s="27">
        <f>'C03'!Y5</f>
        <v>138742.07</v>
      </c>
      <c r="Y4" s="28">
        <f>'C03'!Z5</f>
        <v>88</v>
      </c>
      <c r="Z4" s="29">
        <f t="shared" si="1"/>
        <v>8671.3793750000004</v>
      </c>
    </row>
    <row r="5" spans="1:26">
      <c r="A5" s="20">
        <v>3</v>
      </c>
      <c r="B5" s="21" t="str">
        <f>'C02'!B2</f>
        <v>卡里姆-贾巴尔</v>
      </c>
      <c r="C5" s="22">
        <f>'C02'!C5</f>
        <v>20</v>
      </c>
      <c r="D5" s="22">
        <f>'C02'!D5</f>
        <v>18</v>
      </c>
      <c r="E5" s="23">
        <f>'C02'!G5</f>
        <v>6</v>
      </c>
      <c r="F5" s="24">
        <f>'C02'!H5</f>
        <v>2</v>
      </c>
      <c r="G5" s="24">
        <f>'C02'!I5</f>
        <v>0</v>
      </c>
      <c r="H5" s="24">
        <f>'C02'!J5</f>
        <v>1</v>
      </c>
      <c r="I5" s="24">
        <f>'C02'!K5</f>
        <v>0</v>
      </c>
      <c r="J5" s="24">
        <f>'C02'!L5</f>
        <v>0</v>
      </c>
      <c r="K5" s="24">
        <f>'C02'!M5</f>
        <v>4</v>
      </c>
      <c r="L5" s="25">
        <f>'C02'!N5</f>
        <v>10</v>
      </c>
      <c r="M5" s="25">
        <f>'C02'!O5</f>
        <v>5</v>
      </c>
      <c r="N5" s="23">
        <f>'C02'!P5</f>
        <v>6</v>
      </c>
      <c r="O5" s="23">
        <f>'C02'!Q5</f>
        <v>2</v>
      </c>
      <c r="P5" s="25">
        <f>'C02'!R5</f>
        <v>481.69999999999993</v>
      </c>
      <c r="Q5" s="25">
        <f>'C02'!S5</f>
        <v>273.3</v>
      </c>
      <c r="R5" s="23">
        <f>'C02'!T5</f>
        <v>409.5</v>
      </c>
      <c r="S5" s="23">
        <f>'C02'!U5</f>
        <v>35.79999999999999</v>
      </c>
      <c r="T5" s="26">
        <f>'C02'!V5</f>
        <v>7483.11</v>
      </c>
      <c r="U5" s="26">
        <f>'C02'!W5</f>
        <v>6527.3</v>
      </c>
      <c r="V5" s="26">
        <f t="shared" si="0"/>
        <v>14010.41</v>
      </c>
      <c r="W5" s="26">
        <f>'C02'!X5</f>
        <v>105185.91</v>
      </c>
      <c r="X5" s="27">
        <f>'C02'!Y5</f>
        <v>119196.32</v>
      </c>
      <c r="Y5" s="28">
        <f>'C02'!Z5</f>
        <v>117</v>
      </c>
      <c r="Z5" s="29">
        <f t="shared" si="1"/>
        <v>5959.8160000000007</v>
      </c>
    </row>
    <row r="6" spans="1:26">
      <c r="A6" s="20">
        <v>4</v>
      </c>
      <c r="B6" s="21" t="str">
        <f>'C04'!B2</f>
        <v>威尔特-张伯伦</v>
      </c>
      <c r="C6" s="22">
        <f>'C04'!C5</f>
        <v>14</v>
      </c>
      <c r="D6" s="22">
        <f>'C04'!D5</f>
        <v>13</v>
      </c>
      <c r="E6" s="23">
        <f>'C04'!G5</f>
        <v>4</v>
      </c>
      <c r="F6" s="24">
        <f>'C04'!H5</f>
        <v>7</v>
      </c>
      <c r="G6" s="24">
        <f>'C04'!I5</f>
        <v>0</v>
      </c>
      <c r="H6" s="24">
        <f>'C04'!J5</f>
        <v>11</v>
      </c>
      <c r="I6" s="24">
        <f>'C04'!K5</f>
        <v>1</v>
      </c>
      <c r="J6" s="24">
        <f>'C04'!L5</f>
        <v>0</v>
      </c>
      <c r="K6" s="24">
        <f>'C04'!M5</f>
        <v>0</v>
      </c>
      <c r="L6" s="25">
        <f>'C04'!N5</f>
        <v>7</v>
      </c>
      <c r="M6" s="25">
        <f>'C04'!O5</f>
        <v>2</v>
      </c>
      <c r="N6" s="23">
        <f>'C04'!P5</f>
        <v>2</v>
      </c>
      <c r="O6" s="23">
        <f>'C04'!Q5</f>
        <v>1</v>
      </c>
      <c r="P6" s="25">
        <f>'C04'!R5</f>
        <v>363.6</v>
      </c>
      <c r="Q6" s="25">
        <f>'C04'!S5</f>
        <v>247.2</v>
      </c>
      <c r="R6" s="23">
        <f>'C04'!T5</f>
        <v>308.00000000000006</v>
      </c>
      <c r="S6" s="23">
        <f>'C04'!U5</f>
        <v>31.6</v>
      </c>
      <c r="T6" s="26">
        <f>'C04'!V5</f>
        <v>6945.51</v>
      </c>
      <c r="U6" s="26">
        <f>'C04'!W5</f>
        <v>5311.4499999999989</v>
      </c>
      <c r="V6" s="26">
        <f t="shared" si="0"/>
        <v>12256.96</v>
      </c>
      <c r="W6" s="26">
        <f>'C04'!X5</f>
        <v>88347.48000000001</v>
      </c>
      <c r="X6" s="27">
        <f>'C04'!Y5</f>
        <v>100604.44</v>
      </c>
      <c r="Y6" s="28">
        <f>'C04'!Z5</f>
        <v>95</v>
      </c>
      <c r="Z6" s="29">
        <f t="shared" si="1"/>
        <v>7186.0314285714285</v>
      </c>
    </row>
    <row r="7" spans="1:26">
      <c r="A7" s="20">
        <v>5</v>
      </c>
      <c r="B7" s="21" t="str">
        <f>'C07'!B2</f>
        <v>蒂姆-邓肯</v>
      </c>
      <c r="C7" s="22">
        <f>'C07'!C5</f>
        <v>19</v>
      </c>
      <c r="D7" s="22">
        <f>'C07'!D5</f>
        <v>18</v>
      </c>
      <c r="E7" s="23">
        <f>'C07'!G5</f>
        <v>2</v>
      </c>
      <c r="F7" s="24">
        <f>'C07'!H5</f>
        <v>0</v>
      </c>
      <c r="G7" s="24">
        <f>'C07'!I5</f>
        <v>0</v>
      </c>
      <c r="H7" s="24">
        <f>'C07'!J5</f>
        <v>0</v>
      </c>
      <c r="I7" s="24">
        <f>'C07'!K5</f>
        <v>0</v>
      </c>
      <c r="J7" s="24">
        <f>'C07'!L5</f>
        <v>0</v>
      </c>
      <c r="K7" s="24">
        <f>'C07'!M5</f>
        <v>0</v>
      </c>
      <c r="L7" s="25">
        <f>'C07'!N5</f>
        <v>10</v>
      </c>
      <c r="M7" s="25">
        <f>'C07'!O5</f>
        <v>8</v>
      </c>
      <c r="N7" s="23">
        <f>'C07'!P5</f>
        <v>5</v>
      </c>
      <c r="O7" s="23">
        <f>'C07'!Q5</f>
        <v>3</v>
      </c>
      <c r="P7" s="25">
        <f>'C07'!R5</f>
        <v>454.69999999999987</v>
      </c>
      <c r="Q7" s="25">
        <f>'C07'!S5</f>
        <v>206.29999999999998</v>
      </c>
      <c r="R7" s="23">
        <f>'C07'!T5</f>
        <v>423.40000000000003</v>
      </c>
      <c r="S7" s="23">
        <f>'C07'!U5</f>
        <v>37.900000000000013</v>
      </c>
      <c r="T7" s="26">
        <f>'C07'!V5</f>
        <v>5505.89</v>
      </c>
      <c r="U7" s="26">
        <f>'C07'!W5</f>
        <v>6895.4999999999991</v>
      </c>
      <c r="V7" s="26">
        <f t="shared" si="0"/>
        <v>12401.39</v>
      </c>
      <c r="W7" s="26">
        <f>'C07'!X5</f>
        <v>78353.86</v>
      </c>
      <c r="X7" s="27">
        <f>'C07'!Y5</f>
        <v>90755.250000000015</v>
      </c>
      <c r="Y7" s="28">
        <f>'C07'!Z5</f>
        <v>78</v>
      </c>
      <c r="Z7" s="29">
        <f t="shared" si="1"/>
        <v>4776.5921052631584</v>
      </c>
    </row>
    <row r="8" spans="1:26">
      <c r="A8" s="20">
        <v>6</v>
      </c>
      <c r="B8" s="21" t="str">
        <f>'C06'!B2</f>
        <v>埃尔文-约翰逊</v>
      </c>
      <c r="C8" s="22">
        <f>'C06'!C5</f>
        <v>13</v>
      </c>
      <c r="D8" s="22">
        <f>'C06'!D5</f>
        <v>13</v>
      </c>
      <c r="E8" s="23">
        <f>'C06'!G5</f>
        <v>3</v>
      </c>
      <c r="F8" s="24">
        <f>'C06'!H5</f>
        <v>0</v>
      </c>
      <c r="G8" s="24">
        <f>'C06'!I5</f>
        <v>0</v>
      </c>
      <c r="H8" s="24">
        <f>'C06'!J5</f>
        <v>0</v>
      </c>
      <c r="I8" s="24">
        <f>'C06'!K5</f>
        <v>4</v>
      </c>
      <c r="J8" s="24">
        <f>'C06'!L5</f>
        <v>2</v>
      </c>
      <c r="K8" s="24">
        <f>'C06'!M5</f>
        <v>0</v>
      </c>
      <c r="L8" s="25">
        <f>'C06'!N5</f>
        <v>9</v>
      </c>
      <c r="M8" s="25">
        <f>'C06'!O5</f>
        <v>0</v>
      </c>
      <c r="N8" s="23">
        <f>'C06'!P5</f>
        <v>5</v>
      </c>
      <c r="O8" s="23">
        <f>'C06'!Q5</f>
        <v>3</v>
      </c>
      <c r="P8" s="25">
        <f>'C06'!R5</f>
        <v>311.8</v>
      </c>
      <c r="Q8" s="25">
        <f>'C06'!S5</f>
        <v>155.70000000000002</v>
      </c>
      <c r="R8" s="23">
        <f>'C06'!T5</f>
        <v>292.10000000000002</v>
      </c>
      <c r="S8" s="23">
        <f>'C06'!U5</f>
        <v>32.699999999999996</v>
      </c>
      <c r="T8" s="26">
        <f>'C06'!V5</f>
        <v>4106.63</v>
      </c>
      <c r="U8" s="26">
        <f>'C06'!W5</f>
        <v>5259.0999999999995</v>
      </c>
      <c r="V8" s="26">
        <f t="shared" si="0"/>
        <v>9365.73</v>
      </c>
      <c r="W8" s="26">
        <f>'C06'!X5</f>
        <v>73765.11</v>
      </c>
      <c r="X8" s="27">
        <f>'C06'!Y5</f>
        <v>83130.84</v>
      </c>
      <c r="Y8" s="28">
        <f>'C06'!Z5</f>
        <v>89</v>
      </c>
      <c r="Z8" s="29">
        <f t="shared" si="1"/>
        <v>6394.6799999999994</v>
      </c>
    </row>
    <row r="9" spans="1:26">
      <c r="A9" s="20">
        <v>7</v>
      </c>
      <c r="B9" s="21" t="str">
        <f>'C08'!B2</f>
        <v>沙奎尔-奥尼尔</v>
      </c>
      <c r="C9" s="22">
        <f>'C08'!C5</f>
        <v>19</v>
      </c>
      <c r="D9" s="22">
        <f>'C08'!D5</f>
        <v>17</v>
      </c>
      <c r="E9" s="23">
        <f>'C08'!G5</f>
        <v>1</v>
      </c>
      <c r="F9" s="24">
        <f>'C08'!H5</f>
        <v>2</v>
      </c>
      <c r="G9" s="24">
        <f>'C08'!I5</f>
        <v>0</v>
      </c>
      <c r="H9" s="24">
        <f>'C08'!J5</f>
        <v>0</v>
      </c>
      <c r="I9" s="24">
        <f>'C08'!K5</f>
        <v>0</v>
      </c>
      <c r="J9" s="24">
        <f>'C08'!L5</f>
        <v>0</v>
      </c>
      <c r="K9" s="24">
        <f>'C08'!M5</f>
        <v>0</v>
      </c>
      <c r="L9" s="25">
        <f>'C08'!N5</f>
        <v>8</v>
      </c>
      <c r="M9" s="25">
        <f>'C08'!O5</f>
        <v>0</v>
      </c>
      <c r="N9" s="23">
        <f>'C08'!P5</f>
        <v>4</v>
      </c>
      <c r="O9" s="23">
        <f>'C08'!Q5</f>
        <v>3</v>
      </c>
      <c r="P9" s="25">
        <f>'C08'!R5</f>
        <v>485.09999999999991</v>
      </c>
      <c r="Q9" s="25">
        <f>'C08'!S5</f>
        <v>181.60000000000002</v>
      </c>
      <c r="R9" s="23">
        <f>'C08'!T5</f>
        <v>399.59999999999997</v>
      </c>
      <c r="S9" s="23">
        <f>'C08'!U5</f>
        <v>31.2</v>
      </c>
      <c r="T9" s="26">
        <f>'C08'!V5</f>
        <v>5448.9</v>
      </c>
      <c r="U9" s="26">
        <f>'C08'!W5</f>
        <v>6269.5</v>
      </c>
      <c r="V9" s="26">
        <f t="shared" si="0"/>
        <v>11718.4</v>
      </c>
      <c r="W9" s="26">
        <f>'C08'!X5</f>
        <v>70286.159999999989</v>
      </c>
      <c r="X9" s="27">
        <f>'C08'!Y5</f>
        <v>82004.560000000012</v>
      </c>
      <c r="Y9" s="28">
        <f>'C08'!Z5</f>
        <v>60</v>
      </c>
      <c r="Z9" s="29">
        <f t="shared" si="1"/>
        <v>4316.0294736842116</v>
      </c>
    </row>
    <row r="10" spans="1:26">
      <c r="A10" s="20">
        <v>8</v>
      </c>
      <c r="B10" s="21" t="str">
        <f>'C05'!B2</f>
        <v>比尔-拉塞尔</v>
      </c>
      <c r="C10" s="22">
        <f>'C05'!C5</f>
        <v>13</v>
      </c>
      <c r="D10" s="22">
        <f>'C05'!D5</f>
        <v>13</v>
      </c>
      <c r="E10" s="23">
        <f>'C05'!G5</f>
        <v>5</v>
      </c>
      <c r="F10" s="24">
        <f>'C05'!H5</f>
        <v>0</v>
      </c>
      <c r="G10" s="24">
        <f>'C05'!I5</f>
        <v>0</v>
      </c>
      <c r="H10" s="24">
        <f>'C05'!J5</f>
        <v>4</v>
      </c>
      <c r="I10" s="24">
        <f>'C05'!K5</f>
        <v>0</v>
      </c>
      <c r="J10" s="24">
        <f>'C05'!L5</f>
        <v>0</v>
      </c>
      <c r="K10" s="24">
        <f>'C05'!M5</f>
        <v>0</v>
      </c>
      <c r="L10" s="25">
        <f>'C05'!N5</f>
        <v>3</v>
      </c>
      <c r="M10" s="25">
        <f>'C05'!O5</f>
        <v>1</v>
      </c>
      <c r="N10" s="23">
        <f>'C05'!P5</f>
        <v>11</v>
      </c>
      <c r="O10" s="23">
        <f>'C05'!Q5</f>
        <v>0</v>
      </c>
      <c r="P10" s="25">
        <f>'C05'!R5</f>
        <v>247.1</v>
      </c>
      <c r="Q10" s="25">
        <f>'C05'!S5</f>
        <v>163.39999999999998</v>
      </c>
      <c r="R10" s="23">
        <f>'C05'!T5</f>
        <v>254</v>
      </c>
      <c r="S10" s="23">
        <f>'C05'!U5</f>
        <v>27.599999999999998</v>
      </c>
      <c r="T10" s="26">
        <f>'C05'!V5</f>
        <v>3358.2799999999997</v>
      </c>
      <c r="U10" s="26">
        <f>'C05'!W5</f>
        <v>4059.5</v>
      </c>
      <c r="V10" s="26">
        <f t="shared" si="0"/>
        <v>7417.78</v>
      </c>
      <c r="W10" s="26">
        <f>'C05'!X5</f>
        <v>60298.48</v>
      </c>
      <c r="X10" s="27">
        <f>'C05'!Y5</f>
        <v>67716.259999999995</v>
      </c>
      <c r="Y10" s="28">
        <f>'C05'!Z5</f>
        <v>96</v>
      </c>
      <c r="Z10" s="29">
        <f t="shared" si="1"/>
        <v>5208.9430769230767</v>
      </c>
    </row>
    <row r="11" spans="1:26">
      <c r="A11" s="20">
        <v>9</v>
      </c>
      <c r="B11" s="21" t="str">
        <f>'C09'!B2</f>
        <v>拉里-伯德</v>
      </c>
      <c r="C11" s="22">
        <f>'C09'!C5</f>
        <v>13</v>
      </c>
      <c r="D11" s="22">
        <f>'C09'!D5</f>
        <v>12</v>
      </c>
      <c r="E11" s="23">
        <f>'C09'!G5</f>
        <v>3</v>
      </c>
      <c r="F11" s="24">
        <f>'C09'!H5</f>
        <v>0</v>
      </c>
      <c r="G11" s="24">
        <f>'C09'!I5</f>
        <v>0</v>
      </c>
      <c r="H11" s="24">
        <f>'C09'!J5</f>
        <v>0</v>
      </c>
      <c r="I11" s="24">
        <f>'C09'!K5</f>
        <v>0</v>
      </c>
      <c r="J11" s="24">
        <f>'C09'!L5</f>
        <v>0</v>
      </c>
      <c r="K11" s="24">
        <f>'C09'!M5</f>
        <v>0</v>
      </c>
      <c r="L11" s="25">
        <f>'C09'!N5</f>
        <v>9</v>
      </c>
      <c r="M11" s="25">
        <f>'C09'!O5</f>
        <v>0</v>
      </c>
      <c r="N11" s="23">
        <f>'C09'!P5</f>
        <v>3</v>
      </c>
      <c r="O11" s="23">
        <f>'C09'!Q5</f>
        <v>2</v>
      </c>
      <c r="P11" s="25">
        <f>'C09'!R5</f>
        <v>300</v>
      </c>
      <c r="Q11" s="25">
        <f>'C09'!S5</f>
        <v>145.9</v>
      </c>
      <c r="R11" s="23">
        <f>'C09'!T5</f>
        <v>244.3</v>
      </c>
      <c r="S11" s="23">
        <f>'C09'!U5</f>
        <v>24.799999999999997</v>
      </c>
      <c r="T11" s="26">
        <f>'C09'!V5</f>
        <v>3795.8199999999993</v>
      </c>
      <c r="U11" s="26">
        <f>'C09'!W5</f>
        <v>3962.3500000000004</v>
      </c>
      <c r="V11" s="26">
        <f t="shared" si="0"/>
        <v>7758.17</v>
      </c>
      <c r="W11" s="26">
        <f>'C09'!X5</f>
        <v>59206.48</v>
      </c>
      <c r="X11" s="27">
        <f>'C09'!Y5</f>
        <v>66964.649999999994</v>
      </c>
      <c r="Y11" s="28">
        <f>'C09'!Z5</f>
        <v>61</v>
      </c>
      <c r="Z11" s="29">
        <f t="shared" si="1"/>
        <v>5151.126923076923</v>
      </c>
    </row>
    <row r="12" spans="1:26">
      <c r="A12" s="20">
        <v>10</v>
      </c>
      <c r="B12" s="21" t="str">
        <f>'C10'!B2</f>
        <v>科比-布莱恩特</v>
      </c>
      <c r="C12" s="22">
        <f>'C10'!C5</f>
        <v>20</v>
      </c>
      <c r="D12" s="22">
        <f>'C10'!D5</f>
        <v>15</v>
      </c>
      <c r="E12" s="23">
        <f>'C10'!G5</f>
        <v>1</v>
      </c>
      <c r="F12" s="24">
        <f>'C10'!H5</f>
        <v>2</v>
      </c>
      <c r="G12" s="24">
        <f>'C10'!I5</f>
        <v>0</v>
      </c>
      <c r="H12" s="24">
        <f>'C10'!J5</f>
        <v>0</v>
      </c>
      <c r="I12" s="24">
        <f>'C10'!K5</f>
        <v>0</v>
      </c>
      <c r="J12" s="24">
        <f>'C10'!L5</f>
        <v>0</v>
      </c>
      <c r="K12" s="24">
        <f>'C10'!M5</f>
        <v>0</v>
      </c>
      <c r="L12" s="25">
        <f>'C10'!N5</f>
        <v>11</v>
      </c>
      <c r="M12" s="25">
        <f>'C10'!O5</f>
        <v>9</v>
      </c>
      <c r="N12" s="23">
        <f>'C10'!P5</f>
        <v>5</v>
      </c>
      <c r="O12" s="23">
        <f>'C10'!Q5</f>
        <v>2</v>
      </c>
      <c r="P12" s="25">
        <f>'C10'!R5</f>
        <v>430.99999999999989</v>
      </c>
      <c r="Q12" s="25">
        <f>'C10'!S5</f>
        <v>172.59999999999997</v>
      </c>
      <c r="R12" s="23">
        <f>'C10'!T5</f>
        <v>317.90000000000003</v>
      </c>
      <c r="S12" s="23">
        <f>'C10'!U5</f>
        <v>28.299999999999997</v>
      </c>
      <c r="T12" s="26">
        <f>'C10'!V5</f>
        <v>4549.29</v>
      </c>
      <c r="U12" s="26">
        <f>'C10'!W5</f>
        <v>4899.1500000000005</v>
      </c>
      <c r="V12" s="26">
        <f t="shared" si="0"/>
        <v>9448.44</v>
      </c>
      <c r="W12" s="26">
        <f>'C10'!X5</f>
        <v>54163.969999999994</v>
      </c>
      <c r="X12" s="27">
        <f>'C10'!Y5</f>
        <v>63612.41</v>
      </c>
      <c r="Y12" s="28">
        <f>'C10'!Z5</f>
        <v>68</v>
      </c>
      <c r="Z12" s="29">
        <f t="shared" si="1"/>
        <v>3180.6205</v>
      </c>
    </row>
    <row r="13" spans="1:26">
      <c r="A13" s="20">
        <v>11</v>
      </c>
      <c r="B13" s="21" t="str">
        <f>'C16'!B2</f>
        <v>朱利叶斯-欧文</v>
      </c>
      <c r="C13" s="22">
        <f>'C16'!C5</f>
        <v>16</v>
      </c>
      <c r="D13" s="22">
        <f>'C16'!D5</f>
        <v>16</v>
      </c>
      <c r="E13" s="23">
        <f>'C16'!G5</f>
        <v>4</v>
      </c>
      <c r="F13" s="24">
        <f>'C16'!H5</f>
        <v>3</v>
      </c>
      <c r="G13" s="24">
        <f>'C16'!I5</f>
        <v>0</v>
      </c>
      <c r="H13" s="24">
        <f>'C16'!J5</f>
        <v>0</v>
      </c>
      <c r="I13" s="24">
        <f>'C16'!K5</f>
        <v>0</v>
      </c>
      <c r="J13" s="24">
        <f>'C16'!L5</f>
        <v>0</v>
      </c>
      <c r="K13" s="24">
        <f>'C16'!M5</f>
        <v>0</v>
      </c>
      <c r="L13" s="25">
        <f>'C16'!N5</f>
        <v>10</v>
      </c>
      <c r="M13" s="25">
        <f>'C16'!O5</f>
        <v>1</v>
      </c>
      <c r="N13" s="23">
        <f>'C16'!P5</f>
        <v>3</v>
      </c>
      <c r="O13" s="23">
        <f>'C16'!Q5</f>
        <v>0</v>
      </c>
      <c r="P13" s="25">
        <f>'C16'!R5</f>
        <v>371.69999999999993</v>
      </c>
      <c r="Q13" s="25">
        <f>'C16'!S5</f>
        <v>181.00000000000003</v>
      </c>
      <c r="R13" s="23">
        <f>'C16'!T5</f>
        <v>340.29999999999995</v>
      </c>
      <c r="S13" s="23">
        <f>'C16'!U5</f>
        <v>27.000000000000004</v>
      </c>
      <c r="T13" s="26">
        <f>'C16'!V5</f>
        <v>4756.3900000000003</v>
      </c>
      <c r="U13" s="26">
        <f>'C16'!W5</f>
        <v>4915.3500000000013</v>
      </c>
      <c r="V13" s="26">
        <f t="shared" si="0"/>
        <v>9671.7400000000016</v>
      </c>
      <c r="W13" s="26">
        <f>'C16'!X5</f>
        <v>53477.320000000007</v>
      </c>
      <c r="X13" s="27">
        <f>'C16'!Y5</f>
        <v>63149.060000000012</v>
      </c>
      <c r="Y13" s="28">
        <f>'C16'!Z5</f>
        <v>61</v>
      </c>
      <c r="Z13" s="29">
        <f t="shared" si="1"/>
        <v>3946.8162500000008</v>
      </c>
    </row>
    <row r="14" spans="1:26">
      <c r="A14" s="20">
        <v>12</v>
      </c>
      <c r="B14" s="21" t="str">
        <f>'C11'!B2</f>
        <v>哈基姆-奥拉朱旺</v>
      </c>
      <c r="C14" s="22">
        <f>'C11'!C5</f>
        <v>18</v>
      </c>
      <c r="D14" s="22">
        <f>'C11'!D5</f>
        <v>15</v>
      </c>
      <c r="E14" s="23">
        <f>'C11'!G5</f>
        <v>1</v>
      </c>
      <c r="F14" s="24">
        <f>'C11'!H5</f>
        <v>0</v>
      </c>
      <c r="G14" s="24">
        <f>'C11'!I5</f>
        <v>2</v>
      </c>
      <c r="H14" s="24">
        <f>'C11'!J5</f>
        <v>2</v>
      </c>
      <c r="I14" s="24">
        <f>'C11'!K5</f>
        <v>0</v>
      </c>
      <c r="J14" s="24">
        <f>'C11'!L5</f>
        <v>0</v>
      </c>
      <c r="K14" s="24">
        <f>'C11'!M5</f>
        <v>3</v>
      </c>
      <c r="L14" s="25">
        <f>'C11'!N5</f>
        <v>6</v>
      </c>
      <c r="M14" s="25">
        <f>'C11'!O5</f>
        <v>5</v>
      </c>
      <c r="N14" s="23">
        <f>'C11'!P5</f>
        <v>2</v>
      </c>
      <c r="O14" s="23">
        <f>'C11'!Q5</f>
        <v>2</v>
      </c>
      <c r="P14" s="25">
        <f>'C11'!R5</f>
        <v>412.3</v>
      </c>
      <c r="Q14" s="25">
        <f>'C11'!S5</f>
        <v>162.59999999999997</v>
      </c>
      <c r="R14" s="23">
        <f>'C11'!T5</f>
        <v>360.00000000000006</v>
      </c>
      <c r="S14" s="23">
        <f>'C11'!U5</f>
        <v>22.5</v>
      </c>
      <c r="T14" s="26">
        <f>'C11'!V5</f>
        <v>4320.32</v>
      </c>
      <c r="U14" s="26">
        <f>'C11'!W5</f>
        <v>4829.8</v>
      </c>
      <c r="V14" s="26">
        <f t="shared" si="0"/>
        <v>9150.119999999999</v>
      </c>
      <c r="W14" s="26">
        <f>'C11'!X5</f>
        <v>50310.219999999994</v>
      </c>
      <c r="X14" s="27">
        <f>'C11'!Y5</f>
        <v>59460.339999999982</v>
      </c>
      <c r="Y14" s="28">
        <f>'C11'!Z5</f>
        <v>57</v>
      </c>
      <c r="Z14" s="29">
        <f t="shared" si="1"/>
        <v>3303.3522222222214</v>
      </c>
    </row>
    <row r="15" spans="1:26">
      <c r="A15" s="20">
        <v>13</v>
      </c>
      <c r="B15" s="30" t="str">
        <f>'C18'!B2</f>
        <v>凯文-杜兰特</v>
      </c>
      <c r="C15" s="22">
        <f>'C18'!C5</f>
        <v>12</v>
      </c>
      <c r="D15" s="22">
        <f>'C18'!D5</f>
        <v>9</v>
      </c>
      <c r="E15" s="23">
        <f>'C18'!G5</f>
        <v>1</v>
      </c>
      <c r="F15" s="24">
        <f>'C18'!H5</f>
        <v>4</v>
      </c>
      <c r="G15" s="24">
        <f>'C18'!I5</f>
        <v>0</v>
      </c>
      <c r="H15" s="24">
        <f>'C18'!J5</f>
        <v>0</v>
      </c>
      <c r="I15" s="24">
        <f>'C18'!K5</f>
        <v>0</v>
      </c>
      <c r="J15" s="24">
        <f>'C18'!L5</f>
        <v>0</v>
      </c>
      <c r="K15" s="24">
        <f>'C18'!M5</f>
        <v>0</v>
      </c>
      <c r="L15" s="25">
        <f>'C18'!N5</f>
        <v>6</v>
      </c>
      <c r="M15" s="25">
        <f>'C18'!O5</f>
        <v>0</v>
      </c>
      <c r="N15" s="23">
        <f>'C18'!P5</f>
        <v>2</v>
      </c>
      <c r="O15" s="23">
        <f>'C18'!Q5</f>
        <v>2</v>
      </c>
      <c r="P15" s="25">
        <f>'C18'!R5</f>
        <v>304.3</v>
      </c>
      <c r="Q15" s="25">
        <f>'C18'!S5</f>
        <v>141.80000000000001</v>
      </c>
      <c r="R15" s="23">
        <f>'C18'!T5</f>
        <v>216.60000000000002</v>
      </c>
      <c r="S15" s="23">
        <f>'C18'!U5</f>
        <v>23.2</v>
      </c>
      <c r="T15" s="26">
        <f>'C18'!V5</f>
        <v>4057.93</v>
      </c>
      <c r="U15" s="26">
        <f>'C18'!W5</f>
        <v>3997.8500000000004</v>
      </c>
      <c r="V15" s="26">
        <f t="shared" si="0"/>
        <v>8055.7800000000007</v>
      </c>
      <c r="W15" s="26">
        <f>'C18'!X5</f>
        <v>42262.16</v>
      </c>
      <c r="X15" s="27">
        <f>'C18'!Y5</f>
        <v>50317.94</v>
      </c>
      <c r="Y15" s="28">
        <f>'C18'!Z5</f>
        <v>46</v>
      </c>
      <c r="Z15" s="29">
        <f t="shared" si="1"/>
        <v>4193.1616666666669</v>
      </c>
    </row>
    <row r="16" spans="1:26">
      <c r="A16" s="20">
        <v>14</v>
      </c>
      <c r="B16" s="21" t="str">
        <f>'C13'!B2</f>
        <v>摩西-马龙</v>
      </c>
      <c r="C16" s="22">
        <f>'C13'!C5</f>
        <v>21</v>
      </c>
      <c r="D16" s="22">
        <f>'C13'!D5</f>
        <v>13</v>
      </c>
      <c r="E16" s="23">
        <f>'C13'!G5</f>
        <v>3</v>
      </c>
      <c r="F16" s="24">
        <f>'C13'!H5</f>
        <v>0</v>
      </c>
      <c r="G16" s="24">
        <f>'C13'!I5</f>
        <v>0</v>
      </c>
      <c r="H16" s="24">
        <f>'C13'!J5</f>
        <v>6</v>
      </c>
      <c r="I16" s="24">
        <f>'C13'!K5</f>
        <v>0</v>
      </c>
      <c r="J16" s="24">
        <f>'C13'!L5</f>
        <v>0</v>
      </c>
      <c r="K16" s="24">
        <f>'C13'!M5</f>
        <v>0</v>
      </c>
      <c r="L16" s="25">
        <f>'C13'!N5</f>
        <v>4</v>
      </c>
      <c r="M16" s="25">
        <f>'C13'!O5</f>
        <v>1</v>
      </c>
      <c r="N16" s="23">
        <f>'C13'!P5</f>
        <v>1</v>
      </c>
      <c r="O16" s="23">
        <f>'C13'!Q5</f>
        <v>1</v>
      </c>
      <c r="P16" s="25">
        <f>'C13'!R5</f>
        <v>439.3</v>
      </c>
      <c r="Q16" s="25">
        <f>'C13'!S5</f>
        <v>179.2</v>
      </c>
      <c r="R16" s="23">
        <f>'C13'!T5</f>
        <v>279.40000000000003</v>
      </c>
      <c r="S16" s="23">
        <f>'C13'!U5</f>
        <v>14.9</v>
      </c>
      <c r="T16" s="26">
        <f>'C13'!V5</f>
        <v>4462.5699999999988</v>
      </c>
      <c r="U16" s="26">
        <f>'C13'!W5</f>
        <v>3047.4999999999995</v>
      </c>
      <c r="V16" s="26">
        <f t="shared" si="0"/>
        <v>7510.0699999999979</v>
      </c>
      <c r="W16" s="26">
        <f>'C13'!X5</f>
        <v>38307.440000000002</v>
      </c>
      <c r="X16" s="27">
        <f>'C13'!Y5</f>
        <v>45817.510000000009</v>
      </c>
      <c r="Y16" s="28">
        <f>'C13'!Z5</f>
        <v>53</v>
      </c>
      <c r="Z16" s="29">
        <f t="shared" si="1"/>
        <v>2181.7861904761908</v>
      </c>
    </row>
    <row r="17" spans="1:26">
      <c r="A17" s="20">
        <v>15</v>
      </c>
      <c r="B17" s="30" t="str">
        <f>'C25'!B2</f>
        <v>斯蒂芬-库里</v>
      </c>
      <c r="C17" s="22">
        <f>'C25'!C5</f>
        <v>10</v>
      </c>
      <c r="D17" s="22">
        <f>'C25'!D5</f>
        <v>7</v>
      </c>
      <c r="E17" s="23">
        <f>'C25'!G5</f>
        <v>2</v>
      </c>
      <c r="F17" s="24">
        <f>'C25'!H5</f>
        <v>1</v>
      </c>
      <c r="G17" s="24">
        <f>'C25'!I5</f>
        <v>0</v>
      </c>
      <c r="H17" s="24">
        <f>'C25'!J5</f>
        <v>0</v>
      </c>
      <c r="I17" s="24">
        <f>'C25'!K5</f>
        <v>0</v>
      </c>
      <c r="J17" s="24">
        <f>'C25'!L5</f>
        <v>1</v>
      </c>
      <c r="K17" s="24">
        <f>'C25'!M5</f>
        <v>0</v>
      </c>
      <c r="L17" s="25">
        <f>'C25'!N5</f>
        <v>3</v>
      </c>
      <c r="M17" s="25">
        <f>'C25'!O5</f>
        <v>0</v>
      </c>
      <c r="N17" s="23">
        <f>'C25'!P5</f>
        <v>3</v>
      </c>
      <c r="O17" s="23">
        <f>'C25'!Q5</f>
        <v>0</v>
      </c>
      <c r="P17" s="25">
        <f>'C25'!R5</f>
        <v>239</v>
      </c>
      <c r="Q17" s="25">
        <f>'C25'!S5</f>
        <v>103.09999999999998</v>
      </c>
      <c r="R17" s="23">
        <f>'C25'!T5</f>
        <v>158.19999999999999</v>
      </c>
      <c r="S17" s="23">
        <f>'C25'!U5</f>
        <v>17.100000000000001</v>
      </c>
      <c r="T17" s="26">
        <f>'C25'!V5</f>
        <v>2858.5</v>
      </c>
      <c r="U17" s="26">
        <f>'C25'!W5</f>
        <v>2799.4500000000003</v>
      </c>
      <c r="V17" s="26">
        <f t="shared" si="0"/>
        <v>5657.9500000000007</v>
      </c>
      <c r="W17" s="26">
        <f>'C25'!X5</f>
        <v>32819.199999999997</v>
      </c>
      <c r="X17" s="27">
        <f>'C25'!Y5</f>
        <v>38477.15</v>
      </c>
      <c r="Y17" s="28">
        <f>'C25'!Z5</f>
        <v>35</v>
      </c>
      <c r="Z17" s="29">
        <f t="shared" si="1"/>
        <v>3847.7150000000001</v>
      </c>
    </row>
    <row r="18" spans="1:26">
      <c r="A18" s="20">
        <v>16</v>
      </c>
      <c r="B18" s="21" t="str">
        <f>'C21'!B2</f>
        <v>凯文-加内特</v>
      </c>
      <c r="C18" s="22">
        <f>'C21'!C5</f>
        <v>21</v>
      </c>
      <c r="D18" s="22">
        <f>'C21'!D5</f>
        <v>14</v>
      </c>
      <c r="E18" s="23">
        <f>'C21'!G5</f>
        <v>1</v>
      </c>
      <c r="F18" s="24">
        <f>'C21'!H5</f>
        <v>0</v>
      </c>
      <c r="G18" s="24">
        <f>'C21'!I5</f>
        <v>1</v>
      </c>
      <c r="H18" s="24">
        <f>'C21'!J5</f>
        <v>4</v>
      </c>
      <c r="I18" s="24">
        <f>'C21'!K5</f>
        <v>0</v>
      </c>
      <c r="J18" s="24">
        <f>'C21'!L5</f>
        <v>0</v>
      </c>
      <c r="K18" s="24">
        <f>'C21'!M5</f>
        <v>0</v>
      </c>
      <c r="L18" s="25">
        <f>'C21'!N5</f>
        <v>4</v>
      </c>
      <c r="M18" s="25">
        <f>'C21'!O5</f>
        <v>9</v>
      </c>
      <c r="N18" s="23">
        <f>'C21'!P5</f>
        <v>1</v>
      </c>
      <c r="O18" s="23">
        <f>'C21'!Q5</f>
        <v>0</v>
      </c>
      <c r="P18" s="25">
        <f>'C21'!R5</f>
        <v>484.00000000000006</v>
      </c>
      <c r="Q18" s="25">
        <f>'C21'!S5</f>
        <v>193.39999999999998</v>
      </c>
      <c r="R18" s="23">
        <f>'C21'!T5</f>
        <v>292.70000000000005</v>
      </c>
      <c r="S18" s="23">
        <f>'C21'!U5</f>
        <v>16.5</v>
      </c>
      <c r="T18" s="26">
        <f>'C21'!V5</f>
        <v>5064.7000000000007</v>
      </c>
      <c r="U18" s="26">
        <f>'C21'!W5</f>
        <v>3253.3499999999995</v>
      </c>
      <c r="V18" s="26">
        <f t="shared" si="0"/>
        <v>8318.0499999999993</v>
      </c>
      <c r="W18" s="26">
        <f>'C21'!X5</f>
        <v>26505.520000000004</v>
      </c>
      <c r="X18" s="27">
        <f>'C21'!Y5</f>
        <v>34823.570000000014</v>
      </c>
      <c r="Y18" s="28">
        <f>'C21'!Z5</f>
        <v>35</v>
      </c>
      <c r="Z18" s="29">
        <f t="shared" si="1"/>
        <v>1658.2652380952388</v>
      </c>
    </row>
    <row r="19" spans="1:26">
      <c r="A19" s="20">
        <v>17</v>
      </c>
      <c r="B19" s="21" t="str">
        <f>'C14'!B2</f>
        <v>卡尔-马龙</v>
      </c>
      <c r="C19" s="22">
        <f>'C14'!C5</f>
        <v>19</v>
      </c>
      <c r="D19" s="22">
        <f>'C14'!D5</f>
        <v>19</v>
      </c>
      <c r="E19" s="23">
        <f>'C14'!G5</f>
        <v>2</v>
      </c>
      <c r="F19" s="24">
        <f>'C14'!H5</f>
        <v>0</v>
      </c>
      <c r="G19" s="24">
        <f>'C14'!I5</f>
        <v>0</v>
      </c>
      <c r="H19" s="24">
        <f>'C14'!J5</f>
        <v>0</v>
      </c>
      <c r="I19" s="24">
        <f>'C14'!K5</f>
        <v>0</v>
      </c>
      <c r="J19" s="24">
        <f>'C14'!L5</f>
        <v>0</v>
      </c>
      <c r="K19" s="24">
        <f>'C14'!M5</f>
        <v>0</v>
      </c>
      <c r="L19" s="25">
        <f>'C14'!N5</f>
        <v>11</v>
      </c>
      <c r="M19" s="25">
        <f>'C14'!O5</f>
        <v>3</v>
      </c>
      <c r="N19" s="23">
        <f>'C14'!P5</f>
        <v>0</v>
      </c>
      <c r="O19" s="23">
        <f>'C14'!Q5</f>
        <v>0</v>
      </c>
      <c r="P19" s="25">
        <f>'C14'!R5</f>
        <v>449.20000000000005</v>
      </c>
      <c r="Q19" s="25">
        <f>'C14'!S5</f>
        <v>234.60000000000002</v>
      </c>
      <c r="R19" s="23">
        <f>'C14'!T5</f>
        <v>383.9</v>
      </c>
      <c r="S19" s="23">
        <f>'C14'!U5</f>
        <v>23.1</v>
      </c>
      <c r="T19" s="26">
        <f>'C14'!V5</f>
        <v>6277.46</v>
      </c>
      <c r="U19" s="26">
        <f>'C14'!W5</f>
        <v>4521.6000000000004</v>
      </c>
      <c r="V19" s="26">
        <f t="shared" si="0"/>
        <v>10799.060000000001</v>
      </c>
      <c r="W19" s="26">
        <f>'C14'!X5</f>
        <v>21273.089999999997</v>
      </c>
      <c r="X19" s="27">
        <f>'C14'!Y5</f>
        <v>32072.15</v>
      </c>
      <c r="Y19" s="28">
        <f>'C14'!Z5</f>
        <v>30</v>
      </c>
      <c r="Z19" s="29">
        <f t="shared" si="1"/>
        <v>1688.0078947368422</v>
      </c>
    </row>
    <row r="20" spans="1:26">
      <c r="A20" s="20">
        <v>18</v>
      </c>
      <c r="B20" s="30" t="str">
        <f>'C29'!B2</f>
        <v>克里斯-保罗</v>
      </c>
      <c r="C20" s="22">
        <f>'C29'!C5</f>
        <v>14</v>
      </c>
      <c r="D20" s="22">
        <f>'C29'!D5</f>
        <v>11</v>
      </c>
      <c r="E20" s="23">
        <f>'C29'!G5</f>
        <v>0</v>
      </c>
      <c r="F20" s="24">
        <f>'C29'!H5</f>
        <v>0</v>
      </c>
      <c r="G20" s="24">
        <f>'C29'!I5</f>
        <v>0</v>
      </c>
      <c r="H20" s="24">
        <f>'C29'!J5</f>
        <v>0</v>
      </c>
      <c r="I20" s="24">
        <f>'C29'!K5</f>
        <v>4</v>
      </c>
      <c r="J20" s="24">
        <f>'C29'!L5</f>
        <v>6</v>
      </c>
      <c r="K20" s="24">
        <f>'C29'!M5</f>
        <v>0</v>
      </c>
      <c r="L20" s="25">
        <f>'C29'!N5</f>
        <v>4</v>
      </c>
      <c r="M20" s="25">
        <f>'C29'!O5</f>
        <v>7</v>
      </c>
      <c r="N20" s="23">
        <f>'C29'!P5</f>
        <v>0</v>
      </c>
      <c r="O20" s="23">
        <f>'C29'!Q5</f>
        <v>0</v>
      </c>
      <c r="P20" s="25">
        <f>'C29'!R5</f>
        <v>351.59999999999997</v>
      </c>
      <c r="Q20" s="25">
        <f>'C29'!S5</f>
        <v>171.49999999999997</v>
      </c>
      <c r="R20" s="23">
        <f>'C29'!T5</f>
        <v>275.60000000000002</v>
      </c>
      <c r="S20" s="23">
        <f>'C29'!U5</f>
        <v>15.7</v>
      </c>
      <c r="T20" s="26">
        <f>'C29'!V5</f>
        <v>4764.0200000000004</v>
      </c>
      <c r="U20" s="26">
        <f>'C29'!W5</f>
        <v>3437.6</v>
      </c>
      <c r="V20" s="26">
        <f t="shared" si="0"/>
        <v>8201.6200000000008</v>
      </c>
      <c r="W20" s="26">
        <f>'C29'!X5</f>
        <v>23371.29</v>
      </c>
      <c r="X20" s="27">
        <f>'C29'!Y5</f>
        <v>31572.91</v>
      </c>
      <c r="Y20" s="28">
        <f>'C29'!Z5</f>
        <v>31</v>
      </c>
      <c r="Z20" s="29">
        <f t="shared" si="1"/>
        <v>2255.2078571428569</v>
      </c>
    </row>
    <row r="21" spans="1:26">
      <c r="A21" s="20">
        <v>19</v>
      </c>
      <c r="B21" s="30" t="str">
        <f>'C33'!B2</f>
        <v>科怀-伦纳德</v>
      </c>
      <c r="C21" s="22">
        <f>'C33'!C5</f>
        <v>8</v>
      </c>
      <c r="D21" s="22">
        <f>'C33'!D5</f>
        <v>7</v>
      </c>
      <c r="E21" s="23">
        <f>'C33'!G5</f>
        <v>0</v>
      </c>
      <c r="F21" s="24">
        <f>'C33'!H5</f>
        <v>0</v>
      </c>
      <c r="G21" s="24">
        <f>'C33'!I5</f>
        <v>2</v>
      </c>
      <c r="H21" s="24">
        <f>'C33'!J5</f>
        <v>0</v>
      </c>
      <c r="I21" s="24">
        <f>'C33'!K5</f>
        <v>0</v>
      </c>
      <c r="J21" s="24">
        <f>'C33'!L5</f>
        <v>1</v>
      </c>
      <c r="K21" s="24">
        <f>'C33'!M5</f>
        <v>0</v>
      </c>
      <c r="L21" s="25">
        <f>'C33'!N5</f>
        <v>2</v>
      </c>
      <c r="M21" s="25">
        <f>'C33'!O5</f>
        <v>3</v>
      </c>
      <c r="N21" s="23">
        <f>'C33'!P5</f>
        <v>2</v>
      </c>
      <c r="O21" s="23">
        <f>'C33'!Q5</f>
        <v>2</v>
      </c>
      <c r="P21" s="25">
        <f>'C33'!R5</f>
        <v>179.8</v>
      </c>
      <c r="Q21" s="25">
        <f>'C33'!S5</f>
        <v>65.7</v>
      </c>
      <c r="R21" s="23">
        <f>'C33'!T5</f>
        <v>160.69999999999999</v>
      </c>
      <c r="S21" s="23">
        <f>'C33'!U5</f>
        <v>17.5</v>
      </c>
      <c r="T21" s="26">
        <f>'C33'!V5</f>
        <v>1711.4200000000003</v>
      </c>
      <c r="U21" s="26">
        <f>'C33'!W5</f>
        <v>2926.55</v>
      </c>
      <c r="V21" s="26">
        <f t="shared" si="0"/>
        <v>4637.97</v>
      </c>
      <c r="W21" s="26">
        <f>'C33'!X5</f>
        <v>26656.230000000003</v>
      </c>
      <c r="X21" s="27">
        <f>'C33'!Y5</f>
        <v>31294.2</v>
      </c>
      <c r="Y21" s="28">
        <f>'C33'!Z5</f>
        <v>35</v>
      </c>
      <c r="Z21" s="29">
        <f t="shared" si="1"/>
        <v>3911.7750000000001</v>
      </c>
    </row>
    <row r="22" spans="1:26">
      <c r="A22" s="20">
        <v>20</v>
      </c>
      <c r="B22" s="21" t="str">
        <f>'C19'!B2</f>
        <v>奥斯卡-罗波特森</v>
      </c>
      <c r="C22" s="22">
        <f>'C19'!C5</f>
        <v>14</v>
      </c>
      <c r="D22" s="22">
        <f>'C19'!D5</f>
        <v>10</v>
      </c>
      <c r="E22" s="23">
        <f>'C19'!G5</f>
        <v>1</v>
      </c>
      <c r="F22" s="24">
        <f>'C19'!H5</f>
        <v>0</v>
      </c>
      <c r="G22" s="24">
        <f>'C19'!I5</f>
        <v>0</v>
      </c>
      <c r="H22" s="24">
        <f>'C19'!J5</f>
        <v>0</v>
      </c>
      <c r="I22" s="24">
        <f>'C19'!K5</f>
        <v>6</v>
      </c>
      <c r="J22" s="24">
        <f>'C19'!L5</f>
        <v>0</v>
      </c>
      <c r="K22" s="24">
        <f>'C19'!M5</f>
        <v>0</v>
      </c>
      <c r="L22" s="25">
        <f>'C19'!N5</f>
        <v>9</v>
      </c>
      <c r="M22" s="25">
        <f>'C19'!O5</f>
        <v>0</v>
      </c>
      <c r="N22" s="23">
        <f>'C19'!P5</f>
        <v>1</v>
      </c>
      <c r="O22" s="23">
        <f>'C19'!Q5</f>
        <v>0</v>
      </c>
      <c r="P22" s="25">
        <f>'C19'!R5</f>
        <v>319.29999999999995</v>
      </c>
      <c r="Q22" s="25">
        <f>'C19'!S5</f>
        <v>189.10000000000005</v>
      </c>
      <c r="R22" s="23">
        <f>'C19'!T5</f>
        <v>216.6</v>
      </c>
      <c r="S22" s="23">
        <f>'C19'!U5</f>
        <v>13.6</v>
      </c>
      <c r="T22" s="26">
        <f>'C19'!V5</f>
        <v>4829.17</v>
      </c>
      <c r="U22" s="26">
        <f>'C19'!W5</f>
        <v>2565.6499999999996</v>
      </c>
      <c r="V22" s="26">
        <f t="shared" si="0"/>
        <v>7394.82</v>
      </c>
      <c r="W22" s="26">
        <f>'C19'!X5</f>
        <v>23337.370000000003</v>
      </c>
      <c r="X22" s="27">
        <f>'C19'!Y5</f>
        <v>30732.190000000002</v>
      </c>
      <c r="Y22" s="28">
        <f>'C19'!Z5</f>
        <v>33</v>
      </c>
      <c r="Z22" s="29">
        <f t="shared" si="1"/>
        <v>2195.1564285714289</v>
      </c>
    </row>
    <row r="23" spans="1:26">
      <c r="A23" s="20">
        <v>21</v>
      </c>
      <c r="B23" s="21" t="str">
        <f>'C20'!B2</f>
        <v>大卫-罗宾逊</v>
      </c>
      <c r="C23" s="22">
        <f>'C20'!C5</f>
        <v>14</v>
      </c>
      <c r="D23" s="22">
        <f>'C20'!D5</f>
        <v>12</v>
      </c>
      <c r="E23" s="23">
        <f>'C20'!G5</f>
        <v>1</v>
      </c>
      <c r="F23" s="24">
        <f>'C20'!H5</f>
        <v>1</v>
      </c>
      <c r="G23" s="24">
        <f>'C20'!I5</f>
        <v>0</v>
      </c>
      <c r="H23" s="24">
        <f>'C20'!J5</f>
        <v>1</v>
      </c>
      <c r="I23" s="24">
        <f>'C20'!K5</f>
        <v>0</v>
      </c>
      <c r="J23" s="24">
        <f>'C20'!L5</f>
        <v>0</v>
      </c>
      <c r="K23" s="24">
        <f>'C20'!M5</f>
        <v>1</v>
      </c>
      <c r="L23" s="25">
        <f>'C20'!N5</f>
        <v>4</v>
      </c>
      <c r="M23" s="25">
        <f>'C20'!O5</f>
        <v>4</v>
      </c>
      <c r="N23" s="23">
        <f>'C20'!P5</f>
        <v>2</v>
      </c>
      <c r="O23" s="23">
        <f>'C20'!Q5</f>
        <v>0</v>
      </c>
      <c r="P23" s="25">
        <f>'C20'!R5</f>
        <v>364.70000000000005</v>
      </c>
      <c r="Q23" s="25">
        <f>'C20'!S5</f>
        <v>178.79999999999998</v>
      </c>
      <c r="R23" s="23">
        <f>'C20'!T5</f>
        <v>273.59999999999997</v>
      </c>
      <c r="S23" s="23">
        <f>'C20'!U5</f>
        <v>17.5</v>
      </c>
      <c r="T23" s="26">
        <f>'C20'!V5</f>
        <v>5116.1099999999997</v>
      </c>
      <c r="U23" s="26">
        <f>'C20'!W5</f>
        <v>3399.8999999999996</v>
      </c>
      <c r="V23" s="26">
        <f t="shared" si="0"/>
        <v>8516.0099999999984</v>
      </c>
      <c r="W23" s="26">
        <f>'C20'!X5</f>
        <v>21597.579999999994</v>
      </c>
      <c r="X23" s="27">
        <f>'C20'!Y5</f>
        <v>30113.59</v>
      </c>
      <c r="Y23" s="28">
        <f>'C20'!Z5</f>
        <v>30</v>
      </c>
      <c r="Z23" s="29">
        <f t="shared" si="1"/>
        <v>2150.9707142857142</v>
      </c>
    </row>
    <row r="24" spans="1:26">
      <c r="A24" s="20">
        <v>22</v>
      </c>
      <c r="B24" s="21" t="str">
        <f>'C24'!B2</f>
        <v>德维恩-韦德</v>
      </c>
      <c r="C24" s="22">
        <f>'C24'!C5</f>
        <v>16</v>
      </c>
      <c r="D24" s="22">
        <f>'C24'!D5</f>
        <v>13</v>
      </c>
      <c r="E24" s="23">
        <f>'C24'!G5</f>
        <v>0</v>
      </c>
      <c r="F24" s="24">
        <f>'C24'!H5</f>
        <v>1</v>
      </c>
      <c r="G24" s="24">
        <f>'C24'!I5</f>
        <v>0</v>
      </c>
      <c r="H24" s="24">
        <f>'C24'!J5</f>
        <v>0</v>
      </c>
      <c r="I24" s="24">
        <f>'C24'!K5</f>
        <v>0</v>
      </c>
      <c r="J24" s="24">
        <f>'C24'!L5</f>
        <v>0</v>
      </c>
      <c r="K24" s="24">
        <f>'C24'!M5</f>
        <v>0</v>
      </c>
      <c r="L24" s="25">
        <f>'C24'!N5</f>
        <v>2</v>
      </c>
      <c r="M24" s="25">
        <f>'C24'!O5</f>
        <v>0</v>
      </c>
      <c r="N24" s="23">
        <f>'C24'!P5</f>
        <v>3</v>
      </c>
      <c r="O24" s="23">
        <f>'C24'!Q5</f>
        <v>1</v>
      </c>
      <c r="P24" s="25">
        <f>'C24'!R5</f>
        <v>366</v>
      </c>
      <c r="Q24" s="25">
        <f>'C24'!S5</f>
        <v>120.7</v>
      </c>
      <c r="R24" s="23">
        <f>'C24'!T5</f>
        <v>280.5</v>
      </c>
      <c r="S24" s="23">
        <f>'C24'!U5</f>
        <v>21.6</v>
      </c>
      <c r="T24" s="26">
        <f>'C24'!V5</f>
        <v>3407.9300000000003</v>
      </c>
      <c r="U24" s="26">
        <f>'C24'!W5</f>
        <v>3988.5</v>
      </c>
      <c r="V24" s="26">
        <f t="shared" si="0"/>
        <v>7396.43</v>
      </c>
      <c r="W24" s="26">
        <f>'C24'!X5</f>
        <v>22231.459999999995</v>
      </c>
      <c r="X24" s="27">
        <f>'C24'!Y5</f>
        <v>29627.890000000003</v>
      </c>
      <c r="Y24" s="28">
        <f>'C24'!Z5</f>
        <v>24</v>
      </c>
      <c r="Z24" s="29">
        <f t="shared" si="1"/>
        <v>1851.7431250000002</v>
      </c>
    </row>
    <row r="25" spans="1:26">
      <c r="A25" s="20">
        <v>23</v>
      </c>
      <c r="B25" s="21" t="str">
        <f>'C12'!B2</f>
        <v>杰里-韦斯特</v>
      </c>
      <c r="C25" s="22">
        <f>'C12'!C5</f>
        <v>14</v>
      </c>
      <c r="D25" s="22">
        <f>'C12'!D5</f>
        <v>13</v>
      </c>
      <c r="E25" s="23">
        <f>'C12'!G5</f>
        <v>0</v>
      </c>
      <c r="F25" s="24">
        <f>'C12'!H5</f>
        <v>1</v>
      </c>
      <c r="G25" s="24">
        <f>'C12'!I5</f>
        <v>0</v>
      </c>
      <c r="H25" s="24">
        <f>'C12'!J5</f>
        <v>0</v>
      </c>
      <c r="I25" s="24">
        <f>'C12'!K5</f>
        <v>1</v>
      </c>
      <c r="J25" s="24">
        <f>'C12'!L5</f>
        <v>0</v>
      </c>
      <c r="K25" s="24">
        <f>'C12'!M5</f>
        <v>0</v>
      </c>
      <c r="L25" s="25">
        <f>'C12'!N5</f>
        <v>10</v>
      </c>
      <c r="M25" s="25">
        <f>'C12'!O5</f>
        <v>4</v>
      </c>
      <c r="N25" s="23">
        <f>'C12'!P5</f>
        <v>1</v>
      </c>
      <c r="O25" s="23">
        <f>'C12'!Q5</f>
        <v>1</v>
      </c>
      <c r="P25" s="25">
        <f>'C12'!R5</f>
        <v>319.29999999999995</v>
      </c>
      <c r="Q25" s="25">
        <f>'C12'!S5</f>
        <v>162.6</v>
      </c>
      <c r="R25" s="23">
        <f>'C12'!T5</f>
        <v>272.49999999999994</v>
      </c>
      <c r="S25" s="23">
        <f>'C12'!U5</f>
        <v>26.699999999999996</v>
      </c>
      <c r="T25" s="26">
        <f>'C12'!V5</f>
        <v>4099.49</v>
      </c>
      <c r="U25" s="26">
        <f>'C12'!W5</f>
        <v>4521.6500000000005</v>
      </c>
      <c r="V25" s="26">
        <f t="shared" si="0"/>
        <v>8621.14</v>
      </c>
      <c r="W25" s="26">
        <f>'C12'!X5</f>
        <v>20929.660000000003</v>
      </c>
      <c r="X25" s="27">
        <f>'C12'!Y5</f>
        <v>29550.800000000003</v>
      </c>
      <c r="Y25" s="28">
        <f>'C12'!Z5</f>
        <v>30</v>
      </c>
      <c r="Z25" s="29">
        <f t="shared" si="1"/>
        <v>2110.7714285714287</v>
      </c>
    </row>
    <row r="26" spans="1:26">
      <c r="A26" s="20">
        <v>24</v>
      </c>
      <c r="B26" s="21" t="str">
        <f>'C17'!B2</f>
        <v>德克-诺维茨基</v>
      </c>
      <c r="C26" s="22">
        <f>'C17'!C5</f>
        <v>21</v>
      </c>
      <c r="D26" s="22">
        <f>'C17'!D5</f>
        <v>15</v>
      </c>
      <c r="E26" s="23">
        <f>'C17'!G5</f>
        <v>1</v>
      </c>
      <c r="F26" s="24">
        <f>'C17'!H5</f>
        <v>0</v>
      </c>
      <c r="G26" s="24">
        <f>'C17'!I5</f>
        <v>0</v>
      </c>
      <c r="H26" s="24">
        <f>'C17'!J5</f>
        <v>0</v>
      </c>
      <c r="I26" s="24">
        <f>'C17'!K5</f>
        <v>0</v>
      </c>
      <c r="J26" s="24">
        <f>'C17'!L5</f>
        <v>0</v>
      </c>
      <c r="K26" s="24">
        <f>'C17'!M5</f>
        <v>0</v>
      </c>
      <c r="L26" s="25">
        <f>'C17'!N5</f>
        <v>4</v>
      </c>
      <c r="M26" s="25">
        <f>'C17'!O5</f>
        <v>0</v>
      </c>
      <c r="N26" s="23">
        <f>'C17'!P5</f>
        <v>1</v>
      </c>
      <c r="O26" s="23">
        <f>'C17'!Q5</f>
        <v>1</v>
      </c>
      <c r="P26" s="25">
        <f>'C17'!R5</f>
        <v>447.7</v>
      </c>
      <c r="Q26" s="25">
        <f>'C17'!S5</f>
        <v>206.40000000000003</v>
      </c>
      <c r="R26" s="23">
        <f>'C17'!T5</f>
        <v>346.90000000000003</v>
      </c>
      <c r="S26" s="23">
        <f>'C17'!U5</f>
        <v>23.1</v>
      </c>
      <c r="T26" s="26">
        <f>'C17'!V5</f>
        <v>5305.5099999999993</v>
      </c>
      <c r="U26" s="26">
        <f>'C17'!W5</f>
        <v>4636.2499999999991</v>
      </c>
      <c r="V26" s="26">
        <f t="shared" si="0"/>
        <v>9941.7599999999984</v>
      </c>
      <c r="W26" s="26">
        <f>'C17'!X5</f>
        <v>18893.32</v>
      </c>
      <c r="X26" s="27">
        <f>'C17'!Y5</f>
        <v>28835.079999999998</v>
      </c>
      <c r="Y26" s="28">
        <f>'C17'!Z5</f>
        <v>24</v>
      </c>
      <c r="Z26" s="29">
        <f t="shared" si="1"/>
        <v>1373.0990476190475</v>
      </c>
    </row>
    <row r="27" spans="1:26">
      <c r="A27" s="20">
        <v>25</v>
      </c>
      <c r="B27" s="21" t="str">
        <f>'C26'!B2</f>
        <v>斯科蒂-皮蓬</v>
      </c>
      <c r="C27" s="22">
        <f>'C26'!C5</f>
        <v>17</v>
      </c>
      <c r="D27" s="22">
        <f>'C26'!D5</f>
        <v>16</v>
      </c>
      <c r="E27" s="23">
        <f>'C26'!G5</f>
        <v>0</v>
      </c>
      <c r="F27" s="24">
        <f>'C26'!H5</f>
        <v>0</v>
      </c>
      <c r="G27" s="24">
        <f>'C26'!I5</f>
        <v>0</v>
      </c>
      <c r="H27" s="24">
        <f>'C26'!J5</f>
        <v>0</v>
      </c>
      <c r="I27" s="24">
        <f>'C26'!K5</f>
        <v>0</v>
      </c>
      <c r="J27" s="24">
        <f>'C26'!L5</f>
        <v>1</v>
      </c>
      <c r="K27" s="24">
        <f>'C26'!M5</f>
        <v>0</v>
      </c>
      <c r="L27" s="25">
        <f>'C26'!N5</f>
        <v>3</v>
      </c>
      <c r="M27" s="25">
        <f>'C26'!O5</f>
        <v>8</v>
      </c>
      <c r="N27" s="23">
        <f>'C26'!P5</f>
        <v>6</v>
      </c>
      <c r="O27" s="23">
        <f>'C26'!Q5</f>
        <v>0</v>
      </c>
      <c r="P27" s="25">
        <f>'C26'!R5</f>
        <v>305</v>
      </c>
      <c r="Q27" s="25">
        <f>'C26'!S5</f>
        <v>125.09999999999998</v>
      </c>
      <c r="R27" s="23">
        <f>'C26'!T5</f>
        <v>277.79999999999995</v>
      </c>
      <c r="S27" s="23">
        <f>'C26'!U5</f>
        <v>23.5</v>
      </c>
      <c r="T27" s="26">
        <f>'C26'!V5</f>
        <v>2759.82</v>
      </c>
      <c r="U27" s="26">
        <f>'C26'!W5</f>
        <v>3654.2</v>
      </c>
      <c r="V27" s="26">
        <f t="shared" si="0"/>
        <v>6414.02</v>
      </c>
      <c r="W27" s="26">
        <f>'C26'!X5</f>
        <v>21601.75</v>
      </c>
      <c r="X27" s="27">
        <f>'C26'!Y5</f>
        <v>28015.769999999997</v>
      </c>
      <c r="Y27" s="28">
        <f>'C26'!Z5</f>
        <v>37</v>
      </c>
      <c r="Z27" s="29">
        <f t="shared" si="1"/>
        <v>1647.9864705882351</v>
      </c>
    </row>
    <row r="28" spans="1:26">
      <c r="A28" s="20">
        <v>26</v>
      </c>
      <c r="B28" s="21" t="str">
        <f>'C15'!B2</f>
        <v>鲍勃-佩蒂特</v>
      </c>
      <c r="C28" s="22">
        <f>'C15'!C5</f>
        <v>11</v>
      </c>
      <c r="D28" s="22">
        <f>'C15'!D5</f>
        <v>9</v>
      </c>
      <c r="E28" s="23">
        <f>'C15'!G5</f>
        <v>2</v>
      </c>
      <c r="F28" s="24">
        <f>'C15'!H5</f>
        <v>2</v>
      </c>
      <c r="G28" s="24">
        <f>'C15'!I5</f>
        <v>0</v>
      </c>
      <c r="H28" s="24">
        <f>'C15'!J5</f>
        <v>1</v>
      </c>
      <c r="I28" s="24">
        <f>'C15'!K5</f>
        <v>0</v>
      </c>
      <c r="J28" s="24">
        <f>'C15'!L5</f>
        <v>0</v>
      </c>
      <c r="K28" s="24">
        <f>'C15'!M5</f>
        <v>0</v>
      </c>
      <c r="L28" s="25">
        <f>'C15'!N5</f>
        <v>10</v>
      </c>
      <c r="M28" s="25">
        <f>'C15'!O5</f>
        <v>0</v>
      </c>
      <c r="N28" s="23">
        <f>'C15'!P5</f>
        <v>1</v>
      </c>
      <c r="O28" s="23">
        <f>'C15'!Q5</f>
        <v>0</v>
      </c>
      <c r="P28" s="25">
        <f>'C15'!R5</f>
        <v>278.59999999999997</v>
      </c>
      <c r="Q28" s="25">
        <f>'C15'!S5</f>
        <v>136.1</v>
      </c>
      <c r="R28" s="23">
        <f>'C15'!T5</f>
        <v>197.50000000000003</v>
      </c>
      <c r="S28" s="23">
        <f>'C15'!U5</f>
        <v>11.699999999999998</v>
      </c>
      <c r="T28" s="26">
        <f>'C15'!V5</f>
        <v>3744.97</v>
      </c>
      <c r="U28" s="26">
        <f>'C15'!W5</f>
        <v>2348.5000000000005</v>
      </c>
      <c r="V28" s="26">
        <f t="shared" si="0"/>
        <v>6093.47</v>
      </c>
      <c r="W28" s="26">
        <f>'C15'!X5</f>
        <v>21733.49</v>
      </c>
      <c r="X28" s="27">
        <f>'C15'!Y5</f>
        <v>27826.959999999999</v>
      </c>
      <c r="Y28" s="28">
        <f>'C15'!Z5</f>
        <v>36</v>
      </c>
      <c r="Z28" s="29">
        <f t="shared" si="1"/>
        <v>2529.7236363636362</v>
      </c>
    </row>
    <row r="29" spans="1:26">
      <c r="A29" s="20">
        <v>27</v>
      </c>
      <c r="B29" s="21" t="str">
        <f>'C22'!B2</f>
        <v>约翰-哈福利切克</v>
      </c>
      <c r="C29" s="22">
        <f>'C22'!C5</f>
        <v>16</v>
      </c>
      <c r="D29" s="22">
        <f>'C22'!D5</f>
        <v>13</v>
      </c>
      <c r="E29" s="23">
        <f>'C22'!G5</f>
        <v>0</v>
      </c>
      <c r="F29" s="24">
        <f>'C22'!H5</f>
        <v>0</v>
      </c>
      <c r="G29" s="24">
        <f>'C22'!I5</f>
        <v>0</v>
      </c>
      <c r="H29" s="24">
        <f>'C22'!J5</f>
        <v>0</v>
      </c>
      <c r="I29" s="24">
        <f>'C22'!K5</f>
        <v>0</v>
      </c>
      <c r="J29" s="24">
        <f>'C22'!L5</f>
        <v>0</v>
      </c>
      <c r="K29" s="24">
        <f>'C22'!M5</f>
        <v>0</v>
      </c>
      <c r="L29" s="25">
        <f>'C22'!N5</f>
        <v>4</v>
      </c>
      <c r="M29" s="25">
        <f>'C22'!O5</f>
        <v>5</v>
      </c>
      <c r="N29" s="23">
        <f>'C22'!P5</f>
        <v>8</v>
      </c>
      <c r="O29" s="23">
        <f>'C22'!Q5</f>
        <v>1</v>
      </c>
      <c r="P29" s="25">
        <f>'C22'!R5</f>
        <v>277.3</v>
      </c>
      <c r="Q29" s="25">
        <f>'C22'!S5</f>
        <v>131.70000000000002</v>
      </c>
      <c r="R29" s="23">
        <f>'C22'!T5</f>
        <v>219.39999999999998</v>
      </c>
      <c r="S29" s="23">
        <f>'C22'!U5</f>
        <v>19.2</v>
      </c>
      <c r="T29" s="26">
        <f>'C22'!V5</f>
        <v>2623.5</v>
      </c>
      <c r="U29" s="26">
        <f>'C22'!W5</f>
        <v>2869.7</v>
      </c>
      <c r="V29" s="26">
        <f t="shared" si="0"/>
        <v>5493.2</v>
      </c>
      <c r="W29" s="26">
        <f>'C22'!X5</f>
        <v>21123.389999999996</v>
      </c>
      <c r="X29" s="27">
        <f>'C22'!Y5</f>
        <v>26616.59</v>
      </c>
      <c r="Y29" s="28">
        <f>'C22'!Z5</f>
        <v>49</v>
      </c>
      <c r="Z29" s="29">
        <f t="shared" si="1"/>
        <v>1663.536875</v>
      </c>
    </row>
    <row r="30" spans="1:26">
      <c r="A30" s="20">
        <v>28</v>
      </c>
      <c r="B30" s="21" t="str">
        <f>'C28'!B2</f>
        <v>史蒂夫-纳什</v>
      </c>
      <c r="C30" s="22">
        <f>'C28'!C5</f>
        <v>18</v>
      </c>
      <c r="D30" s="22">
        <f>'C28'!D5</f>
        <v>12</v>
      </c>
      <c r="E30" s="23">
        <f>'C28'!G5</f>
        <v>2</v>
      </c>
      <c r="F30" s="24">
        <f>'C28'!H5</f>
        <v>0</v>
      </c>
      <c r="G30" s="24">
        <f>'C28'!I5</f>
        <v>0</v>
      </c>
      <c r="H30" s="24">
        <f>'C28'!J5</f>
        <v>0</v>
      </c>
      <c r="I30" s="24">
        <f>'C28'!K5</f>
        <v>5</v>
      </c>
      <c r="J30" s="24">
        <f>'C28'!L5</f>
        <v>0</v>
      </c>
      <c r="K30" s="24">
        <f>'C28'!M5</f>
        <v>0</v>
      </c>
      <c r="L30" s="25">
        <f>'C28'!N5</f>
        <v>3</v>
      </c>
      <c r="M30" s="25">
        <f>'C28'!O5</f>
        <v>0</v>
      </c>
      <c r="N30" s="23">
        <f>'C28'!P5</f>
        <v>0</v>
      </c>
      <c r="O30" s="23">
        <f>'C28'!Q5</f>
        <v>0</v>
      </c>
      <c r="P30" s="25">
        <f>'C28'!R5</f>
        <v>334.80000000000007</v>
      </c>
      <c r="Q30" s="25">
        <f>'C28'!S5</f>
        <v>130</v>
      </c>
      <c r="R30" s="23">
        <f>'C28'!T5</f>
        <v>199.10000000000002</v>
      </c>
      <c r="S30" s="23">
        <f>'C28'!U5</f>
        <v>11.9</v>
      </c>
      <c r="T30" s="26">
        <f>'C28'!V5</f>
        <v>3041.2200000000003</v>
      </c>
      <c r="U30" s="26">
        <f>'C28'!W5</f>
        <v>2235.3999999999996</v>
      </c>
      <c r="V30" s="26">
        <f t="shared" si="0"/>
        <v>5276.62</v>
      </c>
      <c r="W30" s="26">
        <f>'C28'!X5</f>
        <v>17793.880000000005</v>
      </c>
      <c r="X30" s="27">
        <f>'C28'!Y5</f>
        <v>23070.499999999996</v>
      </c>
      <c r="Y30" s="28">
        <f>'C28'!Z5</f>
        <v>29</v>
      </c>
      <c r="Z30" s="29">
        <f t="shared" si="1"/>
        <v>1281.6944444444443</v>
      </c>
    </row>
    <row r="31" spans="1:26">
      <c r="A31" s="20">
        <v>29</v>
      </c>
      <c r="B31" s="21" t="str">
        <f>'C27'!B2</f>
        <v>约翰-斯托克顿</v>
      </c>
      <c r="C31" s="22">
        <f>'C27'!C5</f>
        <v>19</v>
      </c>
      <c r="D31" s="22">
        <f>'C27'!D5</f>
        <v>19</v>
      </c>
      <c r="E31" s="23">
        <f>'C27'!G5</f>
        <v>0</v>
      </c>
      <c r="F31" s="24">
        <f>'C27'!H5</f>
        <v>0</v>
      </c>
      <c r="G31" s="24">
        <f>'C27'!I5</f>
        <v>0</v>
      </c>
      <c r="H31" s="24">
        <f>'C27'!J5</f>
        <v>0</v>
      </c>
      <c r="I31" s="24">
        <f>'C27'!K5</f>
        <v>9</v>
      </c>
      <c r="J31" s="24">
        <f>'C27'!L5</f>
        <v>2</v>
      </c>
      <c r="K31" s="24">
        <f>'C27'!M5</f>
        <v>0</v>
      </c>
      <c r="L31" s="25">
        <f>'C27'!N5</f>
        <v>2</v>
      </c>
      <c r="M31" s="25">
        <f>'C27'!O5</f>
        <v>0</v>
      </c>
      <c r="N31" s="23">
        <f>'C27'!P5</f>
        <v>0</v>
      </c>
      <c r="O31" s="23">
        <f>'C27'!Q5</f>
        <v>0</v>
      </c>
      <c r="P31" s="25">
        <f>'C27'!R5</f>
        <v>407.90000000000003</v>
      </c>
      <c r="Q31" s="25">
        <f>'C27'!S5</f>
        <v>207.6</v>
      </c>
      <c r="R31" s="23">
        <f>'C27'!T5</f>
        <v>372.59999999999997</v>
      </c>
      <c r="S31" s="23">
        <f>'C27'!U5</f>
        <v>21.5</v>
      </c>
      <c r="T31" s="26">
        <f>'C27'!V5</f>
        <v>4999.8899999999994</v>
      </c>
      <c r="U31" s="26">
        <f>'C27'!W5</f>
        <v>4040.2</v>
      </c>
      <c r="V31" s="26">
        <f t="shared" si="0"/>
        <v>9040.09</v>
      </c>
      <c r="W31" s="26">
        <f>'C27'!X5</f>
        <v>13550.07</v>
      </c>
      <c r="X31" s="27">
        <f>'C27'!Y5</f>
        <v>22590.159999999996</v>
      </c>
      <c r="Y31" s="28">
        <f>'C27'!Z5</f>
        <v>24</v>
      </c>
      <c r="Z31" s="29">
        <f t="shared" si="1"/>
        <v>1188.955789473684</v>
      </c>
    </row>
    <row r="32" spans="1:26">
      <c r="A32" s="20">
        <v>30</v>
      </c>
      <c r="B32" s="21" t="str">
        <f>'C23'!B2</f>
        <v>查尔斯-巴克利</v>
      </c>
      <c r="C32" s="22">
        <f>'C23'!C5</f>
        <v>16</v>
      </c>
      <c r="D32" s="22">
        <f>'C23'!D5</f>
        <v>13</v>
      </c>
      <c r="E32" s="23">
        <f>'C23'!G5</f>
        <v>1</v>
      </c>
      <c r="F32" s="24">
        <f>'C23'!H5</f>
        <v>0</v>
      </c>
      <c r="G32" s="24">
        <f>'C23'!I5</f>
        <v>0</v>
      </c>
      <c r="H32" s="24">
        <f>'C23'!J5</f>
        <v>1</v>
      </c>
      <c r="I32" s="24">
        <f>'C23'!K5</f>
        <v>0</v>
      </c>
      <c r="J32" s="24">
        <f>'C23'!L5</f>
        <v>0</v>
      </c>
      <c r="K32" s="24">
        <f>'C23'!M5</f>
        <v>0</v>
      </c>
      <c r="L32" s="25">
        <f>'C23'!N5</f>
        <v>5</v>
      </c>
      <c r="M32" s="25">
        <f>'C23'!O5</f>
        <v>0</v>
      </c>
      <c r="N32" s="23">
        <f>'C23'!P5</f>
        <v>0</v>
      </c>
      <c r="O32" s="23">
        <f>'C23'!Q5</f>
        <v>0</v>
      </c>
      <c r="P32" s="25">
        <f>'C23'!R5</f>
        <v>387.10000000000008</v>
      </c>
      <c r="Q32" s="25">
        <f>'C23'!S5</f>
        <v>177.10000000000002</v>
      </c>
      <c r="R32" s="23">
        <f>'C23'!T5</f>
        <v>312.2</v>
      </c>
      <c r="S32" s="23">
        <f>'C23'!U5</f>
        <v>19.600000000000001</v>
      </c>
      <c r="T32" s="26">
        <f>'C23'!V5</f>
        <v>4818.3100000000004</v>
      </c>
      <c r="U32" s="26">
        <f>'C23'!W5</f>
        <v>3960.9999999999995</v>
      </c>
      <c r="V32" s="26">
        <f t="shared" si="0"/>
        <v>8779.31</v>
      </c>
      <c r="W32" s="26">
        <f>'C23'!X5</f>
        <v>13564.749999999996</v>
      </c>
      <c r="X32" s="27">
        <f>'C23'!Y5</f>
        <v>22344.06</v>
      </c>
      <c r="Y32" s="28">
        <f>'C23'!Z5</f>
        <v>15</v>
      </c>
      <c r="Z32" s="29">
        <f t="shared" si="1"/>
        <v>1396.5037500000001</v>
      </c>
    </row>
    <row r="33" spans="1:26">
      <c r="A33" s="20">
        <v>31</v>
      </c>
      <c r="B33" s="30" t="str">
        <f>'C32'!B2</f>
        <v>詹姆斯-哈登</v>
      </c>
      <c r="C33" s="22">
        <f>'C32'!C5</f>
        <v>10</v>
      </c>
      <c r="D33" s="22">
        <f>'C32'!D5</f>
        <v>10</v>
      </c>
      <c r="E33" s="23">
        <f>'C32'!G5</f>
        <v>1</v>
      </c>
      <c r="F33" s="24">
        <f>'C32'!H5</f>
        <v>2</v>
      </c>
      <c r="G33" s="24">
        <f>'C32'!I5</f>
        <v>0</v>
      </c>
      <c r="H33" s="24">
        <f>'C32'!J5</f>
        <v>0</v>
      </c>
      <c r="I33" s="24">
        <f>'C32'!K5</f>
        <v>1</v>
      </c>
      <c r="J33" s="24">
        <f>'C32'!L5</f>
        <v>0</v>
      </c>
      <c r="K33" s="24">
        <f>'C32'!M5</f>
        <v>0</v>
      </c>
      <c r="L33" s="25">
        <f>'C32'!N5</f>
        <v>5</v>
      </c>
      <c r="M33" s="25">
        <f>'C32'!O5</f>
        <v>0</v>
      </c>
      <c r="N33" s="23">
        <f>'C32'!P5</f>
        <v>0</v>
      </c>
      <c r="O33" s="23">
        <f>'C32'!Q5</f>
        <v>0</v>
      </c>
      <c r="P33" s="25">
        <f>'C32'!R5</f>
        <v>237.8</v>
      </c>
      <c r="Q33" s="25">
        <f>'C32'!S5</f>
        <v>121.80000000000001</v>
      </c>
      <c r="R33" s="23">
        <f>'C32'!T5</f>
        <v>214.70000000000002</v>
      </c>
      <c r="S33" s="23">
        <f>'C32'!U5</f>
        <v>14.399999999999999</v>
      </c>
      <c r="T33" s="26">
        <f>'C32'!V5</f>
        <v>3318.08</v>
      </c>
      <c r="U33" s="26">
        <f>'C32'!W5</f>
        <v>2685.2</v>
      </c>
      <c r="V33" s="26">
        <f t="shared" si="0"/>
        <v>6003.28</v>
      </c>
      <c r="W33" s="26">
        <f>'C32'!X5</f>
        <v>15635.959999999997</v>
      </c>
      <c r="X33" s="27">
        <f>'C32'!Y5</f>
        <v>21639.239999999998</v>
      </c>
      <c r="Y33" s="28">
        <f>'C32'!Z5</f>
        <v>19</v>
      </c>
      <c r="Z33" s="29">
        <f t="shared" si="1"/>
        <v>2163.924</v>
      </c>
    </row>
    <row r="34" spans="1:26">
      <c r="A34" s="20">
        <v>32</v>
      </c>
      <c r="B34" s="21" t="str">
        <f>'C30'!B2</f>
        <v>阿伦-艾弗森</v>
      </c>
      <c r="C34" s="22">
        <f>'C30'!C5</f>
        <v>14</v>
      </c>
      <c r="D34" s="22">
        <f>'C30'!D5</f>
        <v>8</v>
      </c>
      <c r="E34" s="23">
        <f>'C30'!G5</f>
        <v>1</v>
      </c>
      <c r="F34" s="24">
        <f>'C30'!H5</f>
        <v>4</v>
      </c>
      <c r="G34" s="24">
        <f>'C30'!I5</f>
        <v>0</v>
      </c>
      <c r="H34" s="24">
        <f>'C30'!J5</f>
        <v>0</v>
      </c>
      <c r="I34" s="24">
        <f>'C30'!K5</f>
        <v>0</v>
      </c>
      <c r="J34" s="24">
        <f>'C30'!L5</f>
        <v>3</v>
      </c>
      <c r="K34" s="24">
        <f>'C30'!M5</f>
        <v>0</v>
      </c>
      <c r="L34" s="25">
        <f>'C30'!N5</f>
        <v>3</v>
      </c>
      <c r="M34" s="25">
        <f>'C30'!O5</f>
        <v>0</v>
      </c>
      <c r="N34" s="23">
        <f>'C30'!P5</f>
        <v>0</v>
      </c>
      <c r="O34" s="23">
        <f>'C30'!Q5</f>
        <v>0</v>
      </c>
      <c r="P34" s="25">
        <f>'C30'!R5</f>
        <v>285.79999999999995</v>
      </c>
      <c r="Q34" s="25">
        <f>'C30'!S5</f>
        <v>98.899999999999991</v>
      </c>
      <c r="R34" s="23">
        <f>'C30'!T5</f>
        <v>164.89999999999998</v>
      </c>
      <c r="S34" s="23">
        <f>'C30'!U5</f>
        <v>7.1999999999999993</v>
      </c>
      <c r="T34" s="26">
        <f>'C30'!V5</f>
        <v>2426.9300000000003</v>
      </c>
      <c r="U34" s="26">
        <f>'C30'!W5</f>
        <v>1637.45</v>
      </c>
      <c r="V34" s="26">
        <f t="shared" si="0"/>
        <v>4064.38</v>
      </c>
      <c r="W34" s="26">
        <f>'C30'!X5</f>
        <v>14442.490000000002</v>
      </c>
      <c r="X34" s="27">
        <f>'C30'!Y5</f>
        <v>18506.87</v>
      </c>
      <c r="Y34" s="28">
        <f>'C30'!Z5</f>
        <v>25</v>
      </c>
      <c r="Z34" s="29">
        <f t="shared" si="1"/>
        <v>1321.9192857142857</v>
      </c>
    </row>
    <row r="35" spans="1:26">
      <c r="A35" s="20">
        <v>33</v>
      </c>
      <c r="B35" s="21" t="str">
        <f>'C40'!B2</f>
        <v>马努-吉诺比利</v>
      </c>
      <c r="C35" s="22">
        <f>'C40'!C5</f>
        <v>16</v>
      </c>
      <c r="D35" s="22">
        <f>'C40'!D5</f>
        <v>15</v>
      </c>
      <c r="E35" s="23">
        <f>'C40'!G5</f>
        <v>0</v>
      </c>
      <c r="F35" s="24">
        <f>'C40'!H5</f>
        <v>0</v>
      </c>
      <c r="G35" s="24">
        <f>'C40'!I5</f>
        <v>0</v>
      </c>
      <c r="H35" s="24">
        <f>'C40'!J5</f>
        <v>0</v>
      </c>
      <c r="I35" s="24">
        <f>'C40'!K5</f>
        <v>0</v>
      </c>
      <c r="J35" s="24">
        <f>'C40'!L5</f>
        <v>0</v>
      </c>
      <c r="K35" s="24">
        <f>'C40'!M5</f>
        <v>0</v>
      </c>
      <c r="L35" s="25">
        <f>'C40'!N5</f>
        <v>0</v>
      </c>
      <c r="M35" s="25">
        <f>'C40'!O5</f>
        <v>0</v>
      </c>
      <c r="N35" s="23">
        <f>'C40'!P5</f>
        <v>4</v>
      </c>
      <c r="O35" s="23">
        <f>'C40'!Q5</f>
        <v>0</v>
      </c>
      <c r="P35" s="25">
        <f>'C40'!R5</f>
        <v>317.29999999999995</v>
      </c>
      <c r="Q35" s="25">
        <f>'C40'!S5</f>
        <v>106.50000000000001</v>
      </c>
      <c r="R35" s="23">
        <f>'C40'!T5</f>
        <v>282.50000000000006</v>
      </c>
      <c r="S35" s="23">
        <f>'C40'!U5</f>
        <v>20.9</v>
      </c>
      <c r="T35" s="26">
        <f>'C40'!V5</f>
        <v>2560.96</v>
      </c>
      <c r="U35" s="26">
        <f>'C40'!W5</f>
        <v>3521.8</v>
      </c>
      <c r="V35" s="26">
        <f t="shared" si="0"/>
        <v>6082.76</v>
      </c>
      <c r="W35" s="26">
        <f>'C40'!X5</f>
        <v>9415.6</v>
      </c>
      <c r="X35" s="27">
        <f>'C40'!Y5</f>
        <v>15498.360000000004</v>
      </c>
      <c r="Y35" s="28">
        <f>'C40'!Z5</f>
        <v>16</v>
      </c>
      <c r="Z35" s="29">
        <f t="shared" si="1"/>
        <v>968.64750000000026</v>
      </c>
    </row>
    <row r="36" spans="1:26">
      <c r="A36" s="20">
        <v>34</v>
      </c>
      <c r="B36" s="30" t="str">
        <f>'C31'!B2</f>
        <v>拉塞尔-威斯布鲁克</v>
      </c>
      <c r="C36" s="22">
        <f>'C31'!C5</f>
        <v>11</v>
      </c>
      <c r="D36" s="22">
        <f>'C31'!D5</f>
        <v>9</v>
      </c>
      <c r="E36" s="23">
        <f>'C31'!G5</f>
        <v>1</v>
      </c>
      <c r="F36" s="24">
        <f>'C31'!H5</f>
        <v>2</v>
      </c>
      <c r="G36" s="24">
        <f>'C31'!I5</f>
        <v>0</v>
      </c>
      <c r="H36" s="24">
        <f>'C31'!J5</f>
        <v>0</v>
      </c>
      <c r="I36" s="24">
        <f>'C31'!K5</f>
        <v>2</v>
      </c>
      <c r="J36" s="24">
        <f>'C31'!L5</f>
        <v>0</v>
      </c>
      <c r="K36" s="24">
        <f>'C31'!M5</f>
        <v>0</v>
      </c>
      <c r="L36" s="25">
        <f>'C31'!N5</f>
        <v>2</v>
      </c>
      <c r="M36" s="25">
        <f>'C31'!O5</f>
        <v>0</v>
      </c>
      <c r="N36" s="23">
        <f>'C31'!P5</f>
        <v>0</v>
      </c>
      <c r="O36" s="23">
        <f>'C31'!Q5</f>
        <v>0</v>
      </c>
      <c r="P36" s="25">
        <f>'C31'!R5</f>
        <v>261.2</v>
      </c>
      <c r="Q36" s="25">
        <f>'C31'!S5</f>
        <v>96.699999999999989</v>
      </c>
      <c r="R36" s="23">
        <f>'C31'!T5</f>
        <v>208</v>
      </c>
      <c r="S36" s="23">
        <f>'C31'!U5</f>
        <v>10.5</v>
      </c>
      <c r="T36" s="26">
        <f>'C31'!V5</f>
        <v>2695.76</v>
      </c>
      <c r="U36" s="26">
        <f>'C31'!W5</f>
        <v>2315.25</v>
      </c>
      <c r="V36" s="26">
        <f t="shared" si="0"/>
        <v>5011.01</v>
      </c>
      <c r="W36" s="26">
        <f>'C31'!X5</f>
        <v>9811.130000000001</v>
      </c>
      <c r="X36" s="27">
        <f>'C31'!Y5</f>
        <v>14822.14</v>
      </c>
      <c r="Y36" s="28">
        <f>'C31'!Z5</f>
        <v>18</v>
      </c>
      <c r="Z36" s="29">
        <f t="shared" si="1"/>
        <v>1347.4672727272728</v>
      </c>
    </row>
    <row r="37" spans="1:26">
      <c r="A37" s="20">
        <v>35</v>
      </c>
      <c r="B37" s="21" t="str">
        <f>'C39'!B2</f>
        <v>托尼-帕克</v>
      </c>
      <c r="C37" s="22">
        <f>'C39'!C5</f>
        <v>18</v>
      </c>
      <c r="D37" s="22">
        <f>'C39'!D5</f>
        <v>17</v>
      </c>
      <c r="E37" s="23">
        <f>'C39'!G5</f>
        <v>0</v>
      </c>
      <c r="F37" s="24">
        <f>'C39'!H5</f>
        <v>0</v>
      </c>
      <c r="G37" s="24">
        <f>'C39'!I5</f>
        <v>0</v>
      </c>
      <c r="H37" s="24">
        <f>'C39'!J5</f>
        <v>0</v>
      </c>
      <c r="I37" s="24">
        <f>'C39'!K5</f>
        <v>0</v>
      </c>
      <c r="J37" s="24">
        <f>'C39'!L5</f>
        <v>0</v>
      </c>
      <c r="K37" s="24">
        <f>'C39'!M5</f>
        <v>0</v>
      </c>
      <c r="L37" s="25">
        <f>'C39'!N5</f>
        <v>0</v>
      </c>
      <c r="M37" s="25">
        <f>'C39'!O5</f>
        <v>0</v>
      </c>
      <c r="N37" s="23">
        <f>'C39'!P5</f>
        <v>4</v>
      </c>
      <c r="O37" s="23">
        <f>'C39'!Q5</f>
        <v>1</v>
      </c>
      <c r="P37" s="25">
        <f>'C39'!R5</f>
        <v>321.5</v>
      </c>
      <c r="Q37" s="25">
        <f>'C39'!S5</f>
        <v>111.3</v>
      </c>
      <c r="R37" s="23">
        <f>'C39'!T5</f>
        <v>283.7</v>
      </c>
      <c r="S37" s="23">
        <f>'C39'!U5</f>
        <v>13.500000000000002</v>
      </c>
      <c r="T37" s="26">
        <f>'C39'!V5</f>
        <v>2442.2800000000002</v>
      </c>
      <c r="U37" s="26">
        <f>'C39'!W5</f>
        <v>2692.35</v>
      </c>
      <c r="V37" s="26">
        <f t="shared" si="0"/>
        <v>5134.63</v>
      </c>
      <c r="W37" s="26">
        <f>'C39'!X5</f>
        <v>8937.7199999999975</v>
      </c>
      <c r="X37" s="27">
        <f>'C39'!Y5</f>
        <v>14072.349999999997</v>
      </c>
      <c r="Y37" s="28">
        <f>'C39'!Z5</f>
        <v>24</v>
      </c>
      <c r="Z37" s="29">
        <f t="shared" si="1"/>
        <v>781.79722222222199</v>
      </c>
    </row>
    <row r="38" spans="1:26">
      <c r="A38" s="20">
        <v>36</v>
      </c>
      <c r="B38" s="21" t="str">
        <f>'C36'!B2</f>
        <v>特雷西-麦克格雷迪</v>
      </c>
      <c r="C38" s="22">
        <f>'C36'!C5</f>
        <v>15</v>
      </c>
      <c r="D38" s="22">
        <f>'C36'!D5</f>
        <v>9</v>
      </c>
      <c r="E38" s="23">
        <f>'C36'!G5</f>
        <v>0</v>
      </c>
      <c r="F38" s="24">
        <f>'C36'!H5</f>
        <v>2</v>
      </c>
      <c r="G38" s="24">
        <f>'C36'!I5</f>
        <v>0</v>
      </c>
      <c r="H38" s="24">
        <f>'C36'!J5</f>
        <v>0</v>
      </c>
      <c r="I38" s="24">
        <f>'C36'!K5</f>
        <v>0</v>
      </c>
      <c r="J38" s="24">
        <f>'C36'!L5</f>
        <v>0</v>
      </c>
      <c r="K38" s="24">
        <f>'C36'!M5</f>
        <v>0</v>
      </c>
      <c r="L38" s="25">
        <f>'C36'!N5</f>
        <v>2</v>
      </c>
      <c r="M38" s="25">
        <f>'C36'!O5</f>
        <v>0</v>
      </c>
      <c r="N38" s="23">
        <f>'C36'!P5</f>
        <v>0</v>
      </c>
      <c r="O38" s="23">
        <f>'C36'!Q5</f>
        <v>0</v>
      </c>
      <c r="P38" s="25">
        <f>'C36'!R5</f>
        <v>307.2</v>
      </c>
      <c r="Q38" s="25">
        <f>'C36'!S5</f>
        <v>96.999999999999972</v>
      </c>
      <c r="R38" s="23">
        <f>'C36'!T5</f>
        <v>181</v>
      </c>
      <c r="S38" s="23">
        <f>'C36'!U5</f>
        <v>4.5</v>
      </c>
      <c r="T38" s="26">
        <f>'C36'!V5</f>
        <v>2602.65</v>
      </c>
      <c r="U38" s="26">
        <f>'C36'!W5</f>
        <v>1492.1499999999999</v>
      </c>
      <c r="V38" s="26">
        <f t="shared" si="0"/>
        <v>4094.8</v>
      </c>
      <c r="W38" s="26">
        <f>'C36'!X5</f>
        <v>3439.5800000000004</v>
      </c>
      <c r="X38" s="27">
        <f>'C36'!Y5</f>
        <v>7534.3799999999992</v>
      </c>
      <c r="Y38" s="28">
        <f>'C36'!Z5</f>
        <v>6</v>
      </c>
      <c r="Z38" s="29">
        <f t="shared" si="1"/>
        <v>502.29199999999997</v>
      </c>
    </row>
    <row r="39" spans="1:26">
      <c r="A39" s="20">
        <v>37</v>
      </c>
      <c r="B39" s="30" t="str">
        <f>'C34'!B2</f>
        <v>克莱-汤普森</v>
      </c>
      <c r="C39" s="22">
        <f>'C34'!C5</f>
        <v>8</v>
      </c>
      <c r="D39" s="22">
        <f>'C34'!D5</f>
        <v>7</v>
      </c>
      <c r="E39" s="23">
        <f>'C34'!G5</f>
        <v>0</v>
      </c>
      <c r="F39" s="24">
        <f>'C34'!H5</f>
        <v>0</v>
      </c>
      <c r="G39" s="24">
        <f>'C34'!I5</f>
        <v>0</v>
      </c>
      <c r="H39" s="24">
        <f>'C34'!J5</f>
        <v>0</v>
      </c>
      <c r="I39" s="24">
        <f>'C34'!K5</f>
        <v>0</v>
      </c>
      <c r="J39" s="24">
        <f>'C34'!L5</f>
        <v>0</v>
      </c>
      <c r="K39" s="24">
        <f>'C34'!M5</f>
        <v>0</v>
      </c>
      <c r="L39" s="25">
        <f>'C34'!N5</f>
        <v>0</v>
      </c>
      <c r="M39" s="25">
        <f>'C34'!O5</f>
        <v>0</v>
      </c>
      <c r="N39" s="23">
        <f>'C34'!P5</f>
        <v>3</v>
      </c>
      <c r="O39" s="23">
        <f>'C34'!Q5</f>
        <v>0</v>
      </c>
      <c r="P39" s="25">
        <f>'C34'!R5</f>
        <v>131.30000000000001</v>
      </c>
      <c r="Q39" s="25">
        <f>'C34'!S5</f>
        <v>46.8</v>
      </c>
      <c r="R39" s="23">
        <f>'C34'!T5</f>
        <v>94.100000000000009</v>
      </c>
      <c r="S39" s="23">
        <f>'C34'!U5</f>
        <v>8.6</v>
      </c>
      <c r="T39" s="26">
        <f>'C34'!V5</f>
        <v>928.81</v>
      </c>
      <c r="U39" s="26">
        <f>'C34'!W5</f>
        <v>1127.05</v>
      </c>
      <c r="V39" s="26">
        <f t="shared" si="0"/>
        <v>2055.8599999999997</v>
      </c>
      <c r="W39" s="26">
        <f>'C34'!X5</f>
        <v>3691.12</v>
      </c>
      <c r="X39" s="27">
        <f>'C34'!Y5</f>
        <v>5746.98</v>
      </c>
      <c r="Y39" s="28">
        <f>'C34'!Z5</f>
        <v>12</v>
      </c>
      <c r="Z39" s="29">
        <f t="shared" si="1"/>
        <v>718.37249999999995</v>
      </c>
    </row>
    <row r="40" spans="1:26">
      <c r="A40" s="20">
        <v>38</v>
      </c>
      <c r="B40" s="21" t="str">
        <f>'C37'!B2</f>
        <v>卡梅罗-安东尼</v>
      </c>
      <c r="C40" s="22">
        <f>'C37'!C5</f>
        <v>16</v>
      </c>
      <c r="D40" s="22">
        <f>'C37'!D5</f>
        <v>11</v>
      </c>
      <c r="E40" s="23">
        <f>'C37'!G5</f>
        <v>0</v>
      </c>
      <c r="F40" s="24">
        <f>'C37'!H5</f>
        <v>1</v>
      </c>
      <c r="G40" s="24">
        <f>'C37'!I5</f>
        <v>0</v>
      </c>
      <c r="H40" s="24">
        <f>'C37'!J5</f>
        <v>0</v>
      </c>
      <c r="I40" s="24">
        <f>'C37'!K5</f>
        <v>0</v>
      </c>
      <c r="J40" s="24">
        <f>'C37'!L5</f>
        <v>0</v>
      </c>
      <c r="K40" s="24">
        <f>'C37'!M5</f>
        <v>0</v>
      </c>
      <c r="L40" s="25">
        <f>'C37'!N5</f>
        <v>0</v>
      </c>
      <c r="M40" s="25">
        <f>'C37'!O5</f>
        <v>0</v>
      </c>
      <c r="N40" s="23">
        <f>'C37'!P5</f>
        <v>0</v>
      </c>
      <c r="O40" s="23">
        <f>'C37'!Q5</f>
        <v>0</v>
      </c>
      <c r="P40" s="25">
        <f>'C37'!R5</f>
        <v>316.09999999999997</v>
      </c>
      <c r="Q40" s="25">
        <f>'C37'!S5</f>
        <v>101.10000000000002</v>
      </c>
      <c r="R40" s="23">
        <f>'C37'!T5</f>
        <v>193.6</v>
      </c>
      <c r="S40" s="23">
        <f>'C37'!U5</f>
        <v>5.8000000000000007</v>
      </c>
      <c r="T40" s="26">
        <f>'C37'!V5</f>
        <v>2442.4400000000005</v>
      </c>
      <c r="U40" s="26">
        <f>'C37'!W5</f>
        <v>1638</v>
      </c>
      <c r="V40" s="26">
        <f t="shared" si="0"/>
        <v>4080.4400000000005</v>
      </c>
      <c r="W40" s="26">
        <f>'C37'!X5</f>
        <v>949.2</v>
      </c>
      <c r="X40" s="27">
        <f>'C37'!Y5</f>
        <v>5029.6400000000012</v>
      </c>
      <c r="Y40" s="28">
        <f>'C37'!Z5</f>
        <v>2</v>
      </c>
      <c r="Z40" s="29">
        <f t="shared" si="1"/>
        <v>314.35250000000008</v>
      </c>
    </row>
    <row r="41" spans="1:26">
      <c r="A41" s="20">
        <v>39</v>
      </c>
      <c r="B41" s="21" t="str">
        <f>'C38'!B2</f>
        <v>保罗-乔治</v>
      </c>
      <c r="C41" s="22">
        <f>'C38'!C5</f>
        <v>9</v>
      </c>
      <c r="D41" s="22">
        <f>'C38'!D5</f>
        <v>8</v>
      </c>
      <c r="E41" s="23">
        <f>'C38'!G5</f>
        <v>0</v>
      </c>
      <c r="F41" s="24">
        <f>'C38'!H5</f>
        <v>0</v>
      </c>
      <c r="G41" s="24">
        <f>'C38'!I5</f>
        <v>0</v>
      </c>
      <c r="H41" s="24">
        <f>'C38'!J5</f>
        <v>0</v>
      </c>
      <c r="I41" s="24">
        <f>'C38'!K5</f>
        <v>0</v>
      </c>
      <c r="J41" s="24">
        <f>'C38'!L5</f>
        <v>1</v>
      </c>
      <c r="K41" s="24">
        <f>'C38'!M5</f>
        <v>0</v>
      </c>
      <c r="L41" s="25">
        <f>'C38'!N5</f>
        <v>1</v>
      </c>
      <c r="M41" s="25">
        <f>'C38'!O5</f>
        <v>2</v>
      </c>
      <c r="N41" s="23">
        <f>'C38'!P5</f>
        <v>0</v>
      </c>
      <c r="O41" s="23">
        <f>'C38'!Q5</f>
        <v>0</v>
      </c>
      <c r="P41" s="25">
        <f>'C38'!R5</f>
        <v>162.50000000000003</v>
      </c>
      <c r="Q41" s="25">
        <f>'C38'!S5</f>
        <v>65.3</v>
      </c>
      <c r="R41" s="23">
        <f>'C38'!T5</f>
        <v>141.29999999999998</v>
      </c>
      <c r="S41" s="23">
        <f>'C38'!U5</f>
        <v>8.1999999999999993</v>
      </c>
      <c r="T41" s="26">
        <f>'C38'!V5</f>
        <v>1440.3799999999999</v>
      </c>
      <c r="U41" s="26">
        <f>'C38'!W5</f>
        <v>1524.55</v>
      </c>
      <c r="V41" s="26">
        <f t="shared" si="0"/>
        <v>2964.93</v>
      </c>
      <c r="W41" s="26">
        <f>'C38'!X5</f>
        <v>2376.71</v>
      </c>
      <c r="X41" s="27">
        <f>'C38'!Y5</f>
        <v>5341.6399999999994</v>
      </c>
      <c r="Y41" s="28">
        <f>'C38'!Z5</f>
        <v>5</v>
      </c>
      <c r="Z41" s="29">
        <f t="shared" si="1"/>
        <v>593.51555555555547</v>
      </c>
    </row>
    <row r="42" spans="1:26">
      <c r="A42" s="20">
        <v>40</v>
      </c>
      <c r="B42" s="21" t="str">
        <f>'C35'!B2</f>
        <v>姚明</v>
      </c>
      <c r="C42" s="22">
        <f>'C35'!C5</f>
        <v>8</v>
      </c>
      <c r="D42" s="22">
        <f>'C35'!D5</f>
        <v>4</v>
      </c>
      <c r="E42" s="23">
        <f>'C35'!G5</f>
        <v>0</v>
      </c>
      <c r="F42" s="24">
        <f>'C35'!H5</f>
        <v>0</v>
      </c>
      <c r="G42" s="24">
        <f>'C35'!I5</f>
        <v>0</v>
      </c>
      <c r="H42" s="24">
        <f>'C35'!J5</f>
        <v>0</v>
      </c>
      <c r="I42" s="24">
        <f>'C35'!K5</f>
        <v>0</v>
      </c>
      <c r="J42" s="24">
        <f>'C35'!L5</f>
        <v>0</v>
      </c>
      <c r="K42" s="24">
        <f>'C35'!M5</f>
        <v>0</v>
      </c>
      <c r="L42" s="25">
        <f>'C35'!N5</f>
        <v>0</v>
      </c>
      <c r="M42" s="25">
        <f>'C35'!O5</f>
        <v>0</v>
      </c>
      <c r="N42" s="23">
        <f>'C35'!P5</f>
        <v>0</v>
      </c>
      <c r="O42" s="23">
        <f>'C35'!Q5</f>
        <v>0</v>
      </c>
      <c r="P42" s="25">
        <f>'C35'!R5</f>
        <v>182.8</v>
      </c>
      <c r="Q42" s="25">
        <f>'C35'!S5</f>
        <v>65.999999999999986</v>
      </c>
      <c r="R42" s="23">
        <f>'C35'!T5</f>
        <v>85.3</v>
      </c>
      <c r="S42" s="23">
        <f>'C35'!U5</f>
        <v>3.2</v>
      </c>
      <c r="T42" s="26">
        <f>'C35'!V5</f>
        <v>1709.4899999999998</v>
      </c>
      <c r="U42" s="26">
        <f>'C35'!W5</f>
        <v>794.1</v>
      </c>
      <c r="V42" s="26">
        <f t="shared" si="0"/>
        <v>2503.5899999999997</v>
      </c>
      <c r="W42" s="26">
        <f>'C35'!X5</f>
        <v>0</v>
      </c>
      <c r="X42" s="27">
        <f>'C35'!Y5</f>
        <v>2503.59</v>
      </c>
      <c r="Y42" s="28">
        <f>'C35'!Z5</f>
        <v>0</v>
      </c>
      <c r="Z42" s="29">
        <f t="shared" si="1"/>
        <v>312.94875000000002</v>
      </c>
    </row>
    <row r="43" spans="1:26" ht="53.5">
      <c r="A43" s="31" t="s">
        <v>127</v>
      </c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51" spans="2:19" s="16" customFormat="1" ht="24">
      <c r="B51" s="16" t="s">
        <v>55</v>
      </c>
      <c r="E51" s="16">
        <v>4</v>
      </c>
      <c r="F51" s="16">
        <v>1</v>
      </c>
      <c r="G51" s="16">
        <v>1</v>
      </c>
      <c r="H51" s="16">
        <v>1</v>
      </c>
      <c r="I51" s="16">
        <v>1</v>
      </c>
      <c r="J51" s="16">
        <v>1</v>
      </c>
      <c r="K51" s="16">
        <v>1</v>
      </c>
      <c r="L51" s="16">
        <v>0.5</v>
      </c>
      <c r="M51" s="16">
        <v>0.5</v>
      </c>
      <c r="N51" s="16">
        <v>2</v>
      </c>
      <c r="O51" s="16">
        <v>4</v>
      </c>
      <c r="P51" s="16">
        <v>1</v>
      </c>
      <c r="Q51" s="16">
        <v>1</v>
      </c>
      <c r="R51" s="16">
        <v>1</v>
      </c>
      <c r="S51" s="16">
        <v>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A44"/>
  <sheetViews>
    <sheetView zoomScale="55" zoomScaleNormal="55" workbookViewId="0">
      <pane ySplit="4" topLeftCell="A5" activePane="bottomLeft" state="frozen"/>
      <selection pane="bottomLeft" activeCell="Q7" sqref="Q7"/>
    </sheetView>
  </sheetViews>
  <sheetFormatPr defaultColWidth="9.25" defaultRowHeight="16.5"/>
  <cols>
    <col min="1" max="1" width="9.25" style="1"/>
    <col min="2" max="2" width="15.9140625" style="1" customWidth="1"/>
    <col min="3" max="3" width="9.58203125" style="1" customWidth="1"/>
    <col min="4" max="4" width="8.9140625" style="1" customWidth="1"/>
    <col min="5" max="16384" width="9.25" style="1"/>
  </cols>
  <sheetData>
    <row r="2" spans="1:27">
      <c r="B2" s="1" t="s">
        <v>55</v>
      </c>
      <c r="E2" s="1">
        <v>8</v>
      </c>
      <c r="F2" s="1">
        <v>2</v>
      </c>
      <c r="G2" s="1">
        <v>2</v>
      </c>
      <c r="H2" s="1">
        <v>2</v>
      </c>
      <c r="I2" s="1">
        <v>2</v>
      </c>
      <c r="J2" s="1">
        <v>2</v>
      </c>
      <c r="K2" s="1">
        <v>2</v>
      </c>
      <c r="L2" s="1">
        <v>1</v>
      </c>
      <c r="M2" s="1">
        <v>1</v>
      </c>
      <c r="N2" s="1">
        <v>4</v>
      </c>
      <c r="O2" s="1">
        <v>8</v>
      </c>
      <c r="P2" s="1">
        <v>1</v>
      </c>
      <c r="Q2" s="1">
        <v>1</v>
      </c>
      <c r="R2" s="1">
        <v>1</v>
      </c>
      <c r="S2" s="1">
        <v>5</v>
      </c>
    </row>
    <row r="4" spans="1:27">
      <c r="C4" s="1" t="s">
        <v>31</v>
      </c>
      <c r="D4" s="1" t="s">
        <v>32</v>
      </c>
      <c r="E4" s="1" t="s">
        <v>6</v>
      </c>
      <c r="F4" s="2" t="s">
        <v>8</v>
      </c>
      <c r="G4" s="1" t="s">
        <v>9</v>
      </c>
      <c r="H4" s="1" t="s">
        <v>13</v>
      </c>
      <c r="I4" s="1" t="s">
        <v>14</v>
      </c>
      <c r="J4" s="1" t="s">
        <v>15</v>
      </c>
      <c r="K4" s="1" t="s">
        <v>16</v>
      </c>
      <c r="L4" s="1" t="s">
        <v>10</v>
      </c>
      <c r="M4" s="2" t="s">
        <v>11</v>
      </c>
      <c r="N4" s="1" t="s">
        <v>12</v>
      </c>
      <c r="O4" s="1" t="s">
        <v>7</v>
      </c>
      <c r="P4" s="1" t="s">
        <v>17</v>
      </c>
      <c r="Q4" s="1" t="s">
        <v>18</v>
      </c>
      <c r="R4" s="1" t="s">
        <v>19</v>
      </c>
      <c r="S4" s="1" t="s">
        <v>20</v>
      </c>
      <c r="T4" s="1" t="s">
        <v>66</v>
      </c>
      <c r="U4" s="1" t="s">
        <v>68</v>
      </c>
      <c r="V4" s="1" t="s">
        <v>70</v>
      </c>
      <c r="W4" s="1" t="s">
        <v>72</v>
      </c>
      <c r="X4" s="1" t="s">
        <v>74</v>
      </c>
      <c r="Z4" s="13" t="s">
        <v>125</v>
      </c>
    </row>
    <row r="5" spans="1:27">
      <c r="A5" s="1" t="s">
        <v>33</v>
      </c>
      <c r="B5" s="1" t="str">
        <f>'C01'!B2</f>
        <v>迈克尔-乔丹</v>
      </c>
      <c r="C5" s="1">
        <f>'C01'!C5</f>
        <v>15</v>
      </c>
      <c r="D5" s="1">
        <f>'C01'!D5</f>
        <v>13</v>
      </c>
      <c r="E5" s="1">
        <f>'C01'!G5</f>
        <v>5</v>
      </c>
      <c r="F5" s="1">
        <f>'C01'!H5</f>
        <v>10</v>
      </c>
      <c r="G5" s="1">
        <f>'C01'!I5</f>
        <v>1</v>
      </c>
      <c r="H5" s="1">
        <f>'C01'!J5</f>
        <v>0</v>
      </c>
      <c r="I5" s="1">
        <f>'C01'!K5</f>
        <v>0</v>
      </c>
      <c r="J5" s="1">
        <f>'C01'!L5</f>
        <v>3</v>
      </c>
      <c r="K5" s="1">
        <f>'C01'!M5</f>
        <v>0</v>
      </c>
      <c r="L5" s="1">
        <f>'C01'!N5</f>
        <v>10</v>
      </c>
      <c r="M5" s="1">
        <f>'C01'!O5</f>
        <v>9</v>
      </c>
      <c r="N5" s="1">
        <f>'C01'!P5</f>
        <v>6</v>
      </c>
      <c r="O5" s="1">
        <f>'C01'!Q5</f>
        <v>6</v>
      </c>
      <c r="P5" s="1">
        <f>'C01'!R5</f>
        <v>410.59999999999997</v>
      </c>
      <c r="Q5" s="1">
        <f>'C01'!S5</f>
        <v>213.9</v>
      </c>
      <c r="R5" s="1">
        <f>'C01'!T5</f>
        <v>368.90000000000003</v>
      </c>
      <c r="S5" s="1">
        <f>'C01'!U5</f>
        <v>39.699999999999996</v>
      </c>
      <c r="T5" s="1">
        <f>'C01'!V5</f>
        <v>6585.36</v>
      </c>
      <c r="U5" s="1">
        <f>'C01'!W5</f>
        <v>7571.8999999999987</v>
      </c>
      <c r="V5" s="1">
        <f>'C01'!X5</f>
        <v>208721.04</v>
      </c>
      <c r="W5" s="1">
        <f>'C01'!Y5</f>
        <v>222878.30000000002</v>
      </c>
      <c r="X5" s="1">
        <f>'C01'!Z5</f>
        <v>159</v>
      </c>
      <c r="Y5" s="1">
        <f>RANK(W5,W:W)</f>
        <v>1</v>
      </c>
      <c r="Z5" s="1">
        <f>W5/C5</f>
        <v>14858.553333333335</v>
      </c>
      <c r="AA5" s="1">
        <f>RANK(Z5,Z:Z)</f>
        <v>1</v>
      </c>
    </row>
    <row r="6" spans="1:27">
      <c r="A6" s="1" t="s">
        <v>34</v>
      </c>
      <c r="B6" s="1" t="str">
        <f>'C02'!B2</f>
        <v>卡里姆-贾巴尔</v>
      </c>
      <c r="C6" s="1">
        <f>'C02'!C5</f>
        <v>20</v>
      </c>
      <c r="D6" s="1">
        <f>'C02'!D5</f>
        <v>18</v>
      </c>
      <c r="E6" s="1">
        <f>'C02'!G5</f>
        <v>6</v>
      </c>
      <c r="F6" s="1">
        <f>'C02'!H5</f>
        <v>2</v>
      </c>
      <c r="G6" s="1">
        <f>'C02'!I5</f>
        <v>0</v>
      </c>
      <c r="H6" s="1">
        <f>'C02'!J5</f>
        <v>1</v>
      </c>
      <c r="I6" s="1">
        <f>'C02'!K5</f>
        <v>0</v>
      </c>
      <c r="J6" s="1">
        <f>'C02'!L5</f>
        <v>0</v>
      </c>
      <c r="K6" s="1">
        <f>'C02'!M5</f>
        <v>4</v>
      </c>
      <c r="L6" s="1">
        <f>'C02'!N5</f>
        <v>10</v>
      </c>
      <c r="M6" s="1">
        <f>'C02'!O5</f>
        <v>5</v>
      </c>
      <c r="N6" s="1">
        <f>'C02'!P5</f>
        <v>6</v>
      </c>
      <c r="O6" s="1">
        <f>'C02'!Q5</f>
        <v>2</v>
      </c>
      <c r="P6" s="1">
        <f>'C02'!R5</f>
        <v>481.69999999999993</v>
      </c>
      <c r="Q6" s="1">
        <f>'C02'!S5</f>
        <v>273.3</v>
      </c>
      <c r="R6" s="1">
        <f>'C02'!T5</f>
        <v>409.5</v>
      </c>
      <c r="S6" s="1">
        <f>'C02'!U5</f>
        <v>35.79999999999999</v>
      </c>
      <c r="T6" s="1">
        <f>'C02'!V5</f>
        <v>7483.11</v>
      </c>
      <c r="U6" s="1">
        <f>'C02'!W5</f>
        <v>6527.3</v>
      </c>
      <c r="V6" s="1">
        <f>'C02'!X5</f>
        <v>105185.91</v>
      </c>
      <c r="W6" s="1">
        <f>'C02'!Y5</f>
        <v>119196.32</v>
      </c>
      <c r="X6" s="1">
        <f>'C02'!Z5</f>
        <v>117</v>
      </c>
      <c r="Y6" s="1">
        <f t="shared" ref="Y6:Y44" si="0">RANK(W6,W:W)</f>
        <v>3</v>
      </c>
      <c r="Z6" s="1">
        <f t="shared" ref="Z6:Z44" si="1">W6/C6</f>
        <v>5959.8160000000007</v>
      </c>
      <c r="AA6" s="1">
        <f t="shared" ref="AA6:AA44" si="2">RANK(Z6,Z:Z)</f>
        <v>5</v>
      </c>
    </row>
    <row r="7" spans="1:27">
      <c r="A7" s="1" t="s">
        <v>35</v>
      </c>
      <c r="B7" s="1" t="str">
        <f>'C03'!B2</f>
        <v>勒布朗-詹姆斯</v>
      </c>
      <c r="C7" s="1">
        <f>'C03'!C5</f>
        <v>16</v>
      </c>
      <c r="D7" s="1">
        <f>'C03'!D5</f>
        <v>13</v>
      </c>
      <c r="E7" s="1">
        <f>'C03'!G5</f>
        <v>4</v>
      </c>
      <c r="F7" s="1">
        <f>'C03'!H5</f>
        <v>1</v>
      </c>
      <c r="G7" s="1">
        <f>'C03'!I5</f>
        <v>0</v>
      </c>
      <c r="H7" s="1">
        <f>'C03'!J5</f>
        <v>0</v>
      </c>
      <c r="I7" s="1">
        <f>'C03'!K5</f>
        <v>0</v>
      </c>
      <c r="J7" s="1">
        <f>'C03'!L5</f>
        <v>0</v>
      </c>
      <c r="K7" s="1">
        <f>'C03'!M5</f>
        <v>0</v>
      </c>
      <c r="L7" s="1">
        <f>'C03'!N5</f>
        <v>12</v>
      </c>
      <c r="M7" s="1">
        <f>'C03'!O5</f>
        <v>6</v>
      </c>
      <c r="N7" s="1">
        <f>'C03'!P5</f>
        <v>3</v>
      </c>
      <c r="O7" s="1">
        <f>'C03'!Q5</f>
        <v>3</v>
      </c>
      <c r="P7" s="1">
        <f>'C03'!R5</f>
        <v>442</v>
      </c>
      <c r="Q7" s="1">
        <f>'C03'!S5</f>
        <v>226.8</v>
      </c>
      <c r="R7" s="1">
        <f>'C03'!T5</f>
        <v>368.2</v>
      </c>
      <c r="S7" s="1">
        <f>'C03'!U5</f>
        <v>51</v>
      </c>
      <c r="T7" s="1">
        <f>'C03'!V5</f>
        <v>6880.8600000000006</v>
      </c>
      <c r="U7" s="1">
        <f>'C03'!W5</f>
        <v>9271.25</v>
      </c>
      <c r="V7" s="1">
        <f>'C03'!X5</f>
        <v>122589.95999999999</v>
      </c>
      <c r="W7" s="1">
        <f>'C03'!Y5</f>
        <v>138742.07</v>
      </c>
      <c r="X7" s="1">
        <f>'C03'!Z5</f>
        <v>88</v>
      </c>
      <c r="Y7" s="1">
        <f t="shared" si="0"/>
        <v>2</v>
      </c>
      <c r="Z7" s="1">
        <f t="shared" si="1"/>
        <v>8671.3793750000004</v>
      </c>
      <c r="AA7" s="1">
        <f t="shared" si="2"/>
        <v>2</v>
      </c>
    </row>
    <row r="8" spans="1:27">
      <c r="A8" s="1" t="s">
        <v>36</v>
      </c>
      <c r="B8" s="1" t="str">
        <f>'C04'!B2</f>
        <v>威尔特-张伯伦</v>
      </c>
      <c r="C8" s="1">
        <f>'C04'!C5</f>
        <v>14</v>
      </c>
      <c r="D8" s="1">
        <f>'C04'!D5</f>
        <v>13</v>
      </c>
      <c r="E8" s="1">
        <f>'C04'!G5</f>
        <v>4</v>
      </c>
      <c r="F8" s="1">
        <f>'C04'!H5</f>
        <v>7</v>
      </c>
      <c r="G8" s="1">
        <f>'C04'!I5</f>
        <v>0</v>
      </c>
      <c r="H8" s="1">
        <f>'C04'!J5</f>
        <v>11</v>
      </c>
      <c r="I8" s="1">
        <f>'C04'!K5</f>
        <v>1</v>
      </c>
      <c r="J8" s="1">
        <f>'C04'!L5</f>
        <v>0</v>
      </c>
      <c r="K8" s="1">
        <f>'C04'!M5</f>
        <v>0</v>
      </c>
      <c r="L8" s="1">
        <f>'C04'!N5</f>
        <v>7</v>
      </c>
      <c r="M8" s="1">
        <f>'C04'!O5</f>
        <v>2</v>
      </c>
      <c r="N8" s="1">
        <f>'C04'!P5</f>
        <v>2</v>
      </c>
      <c r="O8" s="1">
        <f>'C04'!Q5</f>
        <v>1</v>
      </c>
      <c r="P8" s="1">
        <f>'C04'!R5</f>
        <v>363.6</v>
      </c>
      <c r="Q8" s="1">
        <f>'C04'!S5</f>
        <v>247.2</v>
      </c>
      <c r="R8" s="1">
        <f>'C04'!T5</f>
        <v>308.00000000000006</v>
      </c>
      <c r="S8" s="1">
        <f>'C04'!U5</f>
        <v>31.6</v>
      </c>
      <c r="T8" s="1">
        <f>'C04'!V5</f>
        <v>6945.51</v>
      </c>
      <c r="U8" s="1">
        <f>'C04'!W5</f>
        <v>5311.4499999999989</v>
      </c>
      <c r="V8" s="1">
        <f>'C04'!X5</f>
        <v>88347.48000000001</v>
      </c>
      <c r="W8" s="1">
        <f>'C04'!Y5</f>
        <v>100604.44</v>
      </c>
      <c r="X8" s="1">
        <f>'C04'!Z5</f>
        <v>95</v>
      </c>
      <c r="Y8" s="1">
        <f t="shared" si="0"/>
        <v>4</v>
      </c>
      <c r="Z8" s="1">
        <f t="shared" si="1"/>
        <v>7186.0314285714285</v>
      </c>
      <c r="AA8" s="1">
        <f t="shared" si="2"/>
        <v>3</v>
      </c>
    </row>
    <row r="9" spans="1:27">
      <c r="A9" s="1" t="s">
        <v>37</v>
      </c>
      <c r="B9" s="1" t="str">
        <f>'C05'!B2</f>
        <v>比尔-拉塞尔</v>
      </c>
      <c r="C9" s="1">
        <f>'C05'!C5</f>
        <v>13</v>
      </c>
      <c r="D9" s="1">
        <f>'C05'!D5</f>
        <v>13</v>
      </c>
      <c r="E9" s="1">
        <f>'C05'!G5</f>
        <v>5</v>
      </c>
      <c r="F9" s="1">
        <f>'C05'!H5</f>
        <v>0</v>
      </c>
      <c r="G9" s="1">
        <f>'C05'!I5</f>
        <v>0</v>
      </c>
      <c r="H9" s="1">
        <f>'C05'!J5</f>
        <v>4</v>
      </c>
      <c r="I9" s="1">
        <f>'C05'!K5</f>
        <v>0</v>
      </c>
      <c r="J9" s="1">
        <f>'C05'!L5</f>
        <v>0</v>
      </c>
      <c r="K9" s="1">
        <f>'C05'!M5</f>
        <v>0</v>
      </c>
      <c r="L9" s="1">
        <f>'C05'!N5</f>
        <v>3</v>
      </c>
      <c r="M9" s="1">
        <f>'C05'!O5</f>
        <v>1</v>
      </c>
      <c r="N9" s="1">
        <f>'C05'!P5</f>
        <v>11</v>
      </c>
      <c r="O9" s="1">
        <f>'C05'!Q5</f>
        <v>0</v>
      </c>
      <c r="P9" s="1">
        <f>'C05'!R5</f>
        <v>247.1</v>
      </c>
      <c r="Q9" s="1">
        <f>'C05'!S5</f>
        <v>163.39999999999998</v>
      </c>
      <c r="R9" s="1">
        <f>'C05'!T5</f>
        <v>254</v>
      </c>
      <c r="S9" s="1">
        <f>'C05'!U5</f>
        <v>27.599999999999998</v>
      </c>
      <c r="T9" s="1">
        <f>'C05'!V5</f>
        <v>3358.2799999999997</v>
      </c>
      <c r="U9" s="1">
        <f>'C05'!W5</f>
        <v>4059.5</v>
      </c>
      <c r="V9" s="1">
        <f>'C05'!X5</f>
        <v>60298.48</v>
      </c>
      <c r="W9" s="1">
        <f>'C05'!Y5</f>
        <v>67716.259999999995</v>
      </c>
      <c r="X9" s="1">
        <f>'C05'!Z5</f>
        <v>96</v>
      </c>
      <c r="Y9" s="1">
        <f t="shared" si="0"/>
        <v>8</v>
      </c>
      <c r="Z9" s="1">
        <f t="shared" si="1"/>
        <v>5208.9430769230767</v>
      </c>
      <c r="AA9" s="1">
        <f t="shared" si="2"/>
        <v>6</v>
      </c>
    </row>
    <row r="10" spans="1:27">
      <c r="A10" s="1" t="s">
        <v>38</v>
      </c>
      <c r="B10" s="1" t="str">
        <f>'C06'!B2</f>
        <v>埃尔文-约翰逊</v>
      </c>
      <c r="C10" s="1">
        <f>'C06'!C5</f>
        <v>13</v>
      </c>
      <c r="D10" s="1">
        <f>'C06'!D5</f>
        <v>13</v>
      </c>
      <c r="E10" s="1">
        <f>'C06'!G5</f>
        <v>3</v>
      </c>
      <c r="F10" s="1">
        <f>'C06'!H5</f>
        <v>0</v>
      </c>
      <c r="G10" s="1">
        <f>'C06'!I5</f>
        <v>0</v>
      </c>
      <c r="H10" s="1">
        <f>'C06'!J5</f>
        <v>0</v>
      </c>
      <c r="I10" s="1">
        <f>'C06'!K5</f>
        <v>4</v>
      </c>
      <c r="J10" s="1">
        <f>'C06'!L5</f>
        <v>2</v>
      </c>
      <c r="K10" s="1">
        <f>'C06'!M5</f>
        <v>0</v>
      </c>
      <c r="L10" s="1">
        <f>'C06'!N5</f>
        <v>9</v>
      </c>
      <c r="M10" s="1">
        <f>'C06'!O5</f>
        <v>0</v>
      </c>
      <c r="N10" s="1">
        <f>'C06'!P5</f>
        <v>5</v>
      </c>
      <c r="O10" s="1">
        <f>'C06'!Q5</f>
        <v>3</v>
      </c>
      <c r="P10" s="1">
        <f>'C06'!R5</f>
        <v>311.8</v>
      </c>
      <c r="Q10" s="1">
        <f>'C06'!S5</f>
        <v>155.70000000000002</v>
      </c>
      <c r="R10" s="1">
        <f>'C06'!T5</f>
        <v>292.10000000000002</v>
      </c>
      <c r="S10" s="1">
        <f>'C06'!U5</f>
        <v>32.699999999999996</v>
      </c>
      <c r="T10" s="1">
        <f>'C06'!V5</f>
        <v>4106.63</v>
      </c>
      <c r="U10" s="1">
        <f>'C06'!W5</f>
        <v>5259.0999999999995</v>
      </c>
      <c r="V10" s="1">
        <f>'C06'!X5</f>
        <v>73765.11</v>
      </c>
      <c r="W10" s="1">
        <f>'C06'!Y5</f>
        <v>83130.84</v>
      </c>
      <c r="X10" s="1">
        <f>'C06'!Z5</f>
        <v>89</v>
      </c>
      <c r="Y10" s="1">
        <f t="shared" si="0"/>
        <v>6</v>
      </c>
      <c r="Z10" s="1">
        <f t="shared" si="1"/>
        <v>6394.6799999999994</v>
      </c>
      <c r="AA10" s="1">
        <f t="shared" si="2"/>
        <v>4</v>
      </c>
    </row>
    <row r="11" spans="1:27">
      <c r="A11" s="1" t="s">
        <v>39</v>
      </c>
      <c r="B11" s="1" t="str">
        <f>'C07'!B2</f>
        <v>蒂姆-邓肯</v>
      </c>
      <c r="C11" s="1">
        <f>'C07'!C5</f>
        <v>19</v>
      </c>
      <c r="D11" s="1">
        <f>'C07'!D5</f>
        <v>18</v>
      </c>
      <c r="E11" s="1">
        <f>'C07'!G5</f>
        <v>2</v>
      </c>
      <c r="F11" s="1">
        <f>'C07'!H5</f>
        <v>0</v>
      </c>
      <c r="G11" s="1">
        <f>'C07'!I5</f>
        <v>0</v>
      </c>
      <c r="H11" s="1">
        <f>'C07'!J5</f>
        <v>0</v>
      </c>
      <c r="I11" s="1">
        <f>'C07'!K5</f>
        <v>0</v>
      </c>
      <c r="J11" s="1">
        <f>'C07'!L5</f>
        <v>0</v>
      </c>
      <c r="K11" s="1">
        <f>'C07'!M5</f>
        <v>0</v>
      </c>
      <c r="L11" s="1">
        <f>'C07'!N5</f>
        <v>10</v>
      </c>
      <c r="M11" s="1">
        <f>'C07'!O5</f>
        <v>8</v>
      </c>
      <c r="N11" s="1">
        <f>'C07'!P5</f>
        <v>5</v>
      </c>
      <c r="O11" s="1">
        <f>'C07'!Q5</f>
        <v>3</v>
      </c>
      <c r="P11" s="1">
        <f>'C07'!R5</f>
        <v>454.69999999999987</v>
      </c>
      <c r="Q11" s="1">
        <f>'C07'!S5</f>
        <v>206.29999999999998</v>
      </c>
      <c r="R11" s="1">
        <f>'C07'!T5</f>
        <v>423.40000000000003</v>
      </c>
      <c r="S11" s="1">
        <f>'C07'!U5</f>
        <v>37.900000000000013</v>
      </c>
      <c r="T11" s="1">
        <f>'C07'!V5</f>
        <v>5505.89</v>
      </c>
      <c r="U11" s="1">
        <f>'C07'!W5</f>
        <v>6895.4999999999991</v>
      </c>
      <c r="V11" s="1">
        <f>'C07'!X5</f>
        <v>78353.86</v>
      </c>
      <c r="W11" s="1">
        <f>'C07'!Y5</f>
        <v>90755.250000000015</v>
      </c>
      <c r="X11" s="1">
        <f>'C07'!Z5</f>
        <v>78</v>
      </c>
      <c r="Y11" s="1">
        <f t="shared" si="0"/>
        <v>5</v>
      </c>
      <c r="Z11" s="1">
        <f t="shared" si="1"/>
        <v>4776.5921052631584</v>
      </c>
      <c r="AA11" s="1">
        <f t="shared" si="2"/>
        <v>8</v>
      </c>
    </row>
    <row r="12" spans="1:27">
      <c r="A12" s="1" t="s">
        <v>40</v>
      </c>
      <c r="B12" s="1" t="str">
        <f>'C08'!B2</f>
        <v>沙奎尔-奥尼尔</v>
      </c>
      <c r="C12" s="1">
        <f>'C08'!C5</f>
        <v>19</v>
      </c>
      <c r="D12" s="1">
        <f>'C08'!D5</f>
        <v>17</v>
      </c>
      <c r="E12" s="1">
        <f>'C08'!G5</f>
        <v>1</v>
      </c>
      <c r="F12" s="1">
        <f>'C08'!H5</f>
        <v>2</v>
      </c>
      <c r="G12" s="1">
        <f>'C08'!I5</f>
        <v>0</v>
      </c>
      <c r="H12" s="1">
        <f>'C08'!J5</f>
        <v>0</v>
      </c>
      <c r="I12" s="1">
        <f>'C08'!K5</f>
        <v>0</v>
      </c>
      <c r="J12" s="1">
        <f>'C08'!L5</f>
        <v>0</v>
      </c>
      <c r="K12" s="1">
        <f>'C08'!M5</f>
        <v>0</v>
      </c>
      <c r="L12" s="1">
        <f>'C08'!N5</f>
        <v>8</v>
      </c>
      <c r="M12" s="1">
        <f>'C08'!O5</f>
        <v>0</v>
      </c>
      <c r="N12" s="1">
        <f>'C08'!P5</f>
        <v>4</v>
      </c>
      <c r="O12" s="1">
        <f>'C08'!Q5</f>
        <v>3</v>
      </c>
      <c r="P12" s="1">
        <f>'C08'!R5</f>
        <v>485.09999999999991</v>
      </c>
      <c r="Q12" s="1">
        <f>'C08'!S5</f>
        <v>181.60000000000002</v>
      </c>
      <c r="R12" s="1">
        <f>'C08'!T5</f>
        <v>399.59999999999997</v>
      </c>
      <c r="S12" s="1">
        <f>'C08'!U5</f>
        <v>31.2</v>
      </c>
      <c r="T12" s="1">
        <f>'C08'!V5</f>
        <v>5448.9</v>
      </c>
      <c r="U12" s="1">
        <f>'C08'!W5</f>
        <v>6269.5</v>
      </c>
      <c r="V12" s="1">
        <f>'C08'!X5</f>
        <v>70286.159999999989</v>
      </c>
      <c r="W12" s="1">
        <f>'C08'!Y5</f>
        <v>82004.560000000012</v>
      </c>
      <c r="X12" s="1">
        <f>'C08'!Z5</f>
        <v>60</v>
      </c>
      <c r="Y12" s="1">
        <f t="shared" si="0"/>
        <v>7</v>
      </c>
      <c r="Z12" s="1">
        <f t="shared" si="1"/>
        <v>4316.0294736842116</v>
      </c>
      <c r="AA12" s="1">
        <f t="shared" si="2"/>
        <v>9</v>
      </c>
    </row>
    <row r="13" spans="1:27">
      <c r="A13" s="1" t="s">
        <v>41</v>
      </c>
      <c r="B13" s="1" t="str">
        <f>'C09'!B2</f>
        <v>拉里-伯德</v>
      </c>
      <c r="C13" s="1">
        <f>'C09'!C5</f>
        <v>13</v>
      </c>
      <c r="D13" s="1">
        <f>'C09'!D5</f>
        <v>12</v>
      </c>
      <c r="E13" s="1">
        <f>'C09'!G5</f>
        <v>3</v>
      </c>
      <c r="F13" s="1">
        <f>'C09'!H5</f>
        <v>0</v>
      </c>
      <c r="G13" s="1">
        <f>'C09'!I5</f>
        <v>0</v>
      </c>
      <c r="H13" s="1">
        <f>'C09'!J5</f>
        <v>0</v>
      </c>
      <c r="I13" s="1">
        <f>'C09'!K5</f>
        <v>0</v>
      </c>
      <c r="J13" s="1">
        <f>'C09'!L5</f>
        <v>0</v>
      </c>
      <c r="K13" s="1">
        <f>'C09'!M5</f>
        <v>0</v>
      </c>
      <c r="L13" s="1">
        <f>'C09'!N5</f>
        <v>9</v>
      </c>
      <c r="M13" s="1">
        <f>'C09'!O5</f>
        <v>0</v>
      </c>
      <c r="N13" s="1">
        <f>'C09'!P5</f>
        <v>3</v>
      </c>
      <c r="O13" s="1">
        <f>'C09'!Q5</f>
        <v>2</v>
      </c>
      <c r="P13" s="1">
        <f>'C09'!R5</f>
        <v>300</v>
      </c>
      <c r="Q13" s="1">
        <f>'C09'!S5</f>
        <v>145.9</v>
      </c>
      <c r="R13" s="1">
        <f>'C09'!T5</f>
        <v>244.3</v>
      </c>
      <c r="S13" s="1">
        <f>'C09'!U5</f>
        <v>24.799999999999997</v>
      </c>
      <c r="T13" s="1">
        <f>'C09'!V5</f>
        <v>3795.8199999999993</v>
      </c>
      <c r="U13" s="1">
        <f>'C09'!W5</f>
        <v>3962.3500000000004</v>
      </c>
      <c r="V13" s="1">
        <f>'C09'!X5</f>
        <v>59206.48</v>
      </c>
      <c r="W13" s="1">
        <f>'C09'!Y5</f>
        <v>66964.649999999994</v>
      </c>
      <c r="X13" s="1">
        <f>'C09'!Z5</f>
        <v>61</v>
      </c>
      <c r="Y13" s="1">
        <f t="shared" si="0"/>
        <v>9</v>
      </c>
      <c r="Z13" s="1">
        <f t="shared" si="1"/>
        <v>5151.126923076923</v>
      </c>
      <c r="AA13" s="1">
        <f t="shared" si="2"/>
        <v>7</v>
      </c>
    </row>
    <row r="14" spans="1:27">
      <c r="A14" s="1" t="s">
        <v>42</v>
      </c>
      <c r="B14" s="1" t="str">
        <f>'C10'!B2</f>
        <v>科比-布莱恩特</v>
      </c>
      <c r="C14" s="1">
        <f>'C10'!C5</f>
        <v>20</v>
      </c>
      <c r="D14" s="1">
        <f>'C10'!D5</f>
        <v>15</v>
      </c>
      <c r="E14" s="1">
        <f>'C10'!G5</f>
        <v>1</v>
      </c>
      <c r="F14" s="1">
        <f>'C10'!H5</f>
        <v>2</v>
      </c>
      <c r="G14" s="1">
        <f>'C10'!I5</f>
        <v>0</v>
      </c>
      <c r="H14" s="1">
        <f>'C10'!J5</f>
        <v>0</v>
      </c>
      <c r="I14" s="1">
        <f>'C10'!K5</f>
        <v>0</v>
      </c>
      <c r="J14" s="1">
        <f>'C10'!L5</f>
        <v>0</v>
      </c>
      <c r="K14" s="1">
        <f>'C10'!M5</f>
        <v>0</v>
      </c>
      <c r="L14" s="1">
        <f>'C10'!N5</f>
        <v>11</v>
      </c>
      <c r="M14" s="1">
        <f>'C10'!O5</f>
        <v>9</v>
      </c>
      <c r="N14" s="1">
        <f>'C10'!P5</f>
        <v>5</v>
      </c>
      <c r="O14" s="1">
        <f>'C10'!Q5</f>
        <v>2</v>
      </c>
      <c r="P14" s="1">
        <f>'C10'!R5</f>
        <v>430.99999999999989</v>
      </c>
      <c r="Q14" s="1">
        <f>'C10'!S5</f>
        <v>172.59999999999997</v>
      </c>
      <c r="R14" s="1">
        <f>'C10'!T5</f>
        <v>317.90000000000003</v>
      </c>
      <c r="S14" s="1">
        <f>'C10'!U5</f>
        <v>28.299999999999997</v>
      </c>
      <c r="T14" s="1">
        <f>'C10'!V5</f>
        <v>4549.29</v>
      </c>
      <c r="U14" s="1">
        <f>'C10'!W5</f>
        <v>4899.1500000000005</v>
      </c>
      <c r="V14" s="1">
        <f>'C10'!X5</f>
        <v>54163.969999999994</v>
      </c>
      <c r="W14" s="1">
        <f>'C10'!Y5</f>
        <v>63612.41</v>
      </c>
      <c r="X14" s="1">
        <f>'C10'!Z5</f>
        <v>68</v>
      </c>
      <c r="Y14" s="1">
        <f t="shared" si="0"/>
        <v>10</v>
      </c>
      <c r="Z14" s="1">
        <f t="shared" si="1"/>
        <v>3180.6205</v>
      </c>
      <c r="AA14" s="1">
        <f t="shared" si="2"/>
        <v>15</v>
      </c>
    </row>
    <row r="15" spans="1:27">
      <c r="A15" s="1" t="s">
        <v>43</v>
      </c>
      <c r="B15" s="1" t="str">
        <f>'C11'!B2</f>
        <v>哈基姆-奥拉朱旺</v>
      </c>
      <c r="C15" s="1">
        <f>'C11'!C5</f>
        <v>18</v>
      </c>
      <c r="D15" s="1">
        <f>'C11'!D5</f>
        <v>15</v>
      </c>
      <c r="E15" s="1">
        <f>'C11'!G5</f>
        <v>1</v>
      </c>
      <c r="F15" s="1">
        <f>'C11'!H5</f>
        <v>0</v>
      </c>
      <c r="G15" s="1">
        <f>'C11'!I5</f>
        <v>2</v>
      </c>
      <c r="H15" s="1">
        <f>'C11'!J5</f>
        <v>2</v>
      </c>
      <c r="I15" s="1">
        <f>'C11'!K5</f>
        <v>0</v>
      </c>
      <c r="J15" s="1">
        <f>'C11'!L5</f>
        <v>0</v>
      </c>
      <c r="K15" s="1">
        <f>'C11'!M5</f>
        <v>3</v>
      </c>
      <c r="L15" s="1">
        <f>'C11'!N5</f>
        <v>6</v>
      </c>
      <c r="M15" s="1">
        <f>'C11'!O5</f>
        <v>5</v>
      </c>
      <c r="N15" s="1">
        <f>'C11'!P5</f>
        <v>2</v>
      </c>
      <c r="O15" s="1">
        <f>'C11'!Q5</f>
        <v>2</v>
      </c>
      <c r="P15" s="1">
        <f>'C11'!R5</f>
        <v>412.3</v>
      </c>
      <c r="Q15" s="1">
        <f>'C11'!S5</f>
        <v>162.59999999999997</v>
      </c>
      <c r="R15" s="1">
        <f>'C11'!T5</f>
        <v>360.00000000000006</v>
      </c>
      <c r="S15" s="1">
        <f>'C11'!U5</f>
        <v>22.5</v>
      </c>
      <c r="T15" s="1">
        <f>'C11'!V5</f>
        <v>4320.32</v>
      </c>
      <c r="U15" s="1">
        <f>'C11'!W5</f>
        <v>4829.8</v>
      </c>
      <c r="V15" s="1">
        <f>'C11'!X5</f>
        <v>50310.219999999994</v>
      </c>
      <c r="W15" s="1">
        <f>'C11'!Y5</f>
        <v>59460.339999999982</v>
      </c>
      <c r="X15" s="1">
        <f>'C11'!Z5</f>
        <v>57</v>
      </c>
      <c r="Y15" s="1">
        <f t="shared" si="0"/>
        <v>12</v>
      </c>
      <c r="Z15" s="1">
        <f t="shared" si="1"/>
        <v>3303.3522222222214</v>
      </c>
      <c r="AA15" s="1">
        <f t="shared" si="2"/>
        <v>14</v>
      </c>
    </row>
    <row r="16" spans="1:27">
      <c r="A16" s="1" t="s">
        <v>44</v>
      </c>
      <c r="B16" s="1" t="str">
        <f>'C12'!B2</f>
        <v>杰里-韦斯特</v>
      </c>
      <c r="C16" s="1">
        <f>'C12'!C5</f>
        <v>14</v>
      </c>
      <c r="D16" s="1">
        <f>'C12'!D5</f>
        <v>13</v>
      </c>
      <c r="E16" s="1">
        <f>'C12'!G5</f>
        <v>0</v>
      </c>
      <c r="F16" s="1">
        <f>'C12'!H5</f>
        <v>1</v>
      </c>
      <c r="G16" s="1">
        <f>'C12'!I5</f>
        <v>0</v>
      </c>
      <c r="H16" s="1">
        <f>'C12'!J5</f>
        <v>0</v>
      </c>
      <c r="I16" s="1">
        <f>'C12'!K5</f>
        <v>1</v>
      </c>
      <c r="J16" s="1">
        <f>'C12'!L5</f>
        <v>0</v>
      </c>
      <c r="K16" s="1">
        <f>'C12'!M5</f>
        <v>0</v>
      </c>
      <c r="L16" s="1">
        <f>'C12'!N5</f>
        <v>10</v>
      </c>
      <c r="M16" s="1">
        <f>'C12'!O5</f>
        <v>4</v>
      </c>
      <c r="N16" s="1">
        <f>'C12'!P5</f>
        <v>1</v>
      </c>
      <c r="O16" s="1">
        <f>'C12'!Q5</f>
        <v>1</v>
      </c>
      <c r="P16" s="1">
        <f>'C12'!R5</f>
        <v>319.29999999999995</v>
      </c>
      <c r="Q16" s="1">
        <f>'C12'!S5</f>
        <v>162.6</v>
      </c>
      <c r="R16" s="1">
        <f>'C12'!T5</f>
        <v>272.49999999999994</v>
      </c>
      <c r="S16" s="1">
        <f>'C12'!U5</f>
        <v>26.699999999999996</v>
      </c>
      <c r="T16" s="1">
        <f>'C12'!V5</f>
        <v>4099.49</v>
      </c>
      <c r="U16" s="1">
        <f>'C12'!W5</f>
        <v>4521.6500000000005</v>
      </c>
      <c r="V16" s="1">
        <f>'C12'!X5</f>
        <v>20929.660000000003</v>
      </c>
      <c r="W16" s="1">
        <f>'C12'!Y5</f>
        <v>29550.800000000003</v>
      </c>
      <c r="X16" s="1">
        <f>'C12'!Z5</f>
        <v>30</v>
      </c>
      <c r="Y16" s="1">
        <f t="shared" si="0"/>
        <v>23</v>
      </c>
      <c r="Z16" s="1">
        <f t="shared" si="1"/>
        <v>2110.7714285714287</v>
      </c>
      <c r="AA16" s="1">
        <f t="shared" si="2"/>
        <v>22</v>
      </c>
    </row>
    <row r="17" spans="1:27">
      <c r="A17" s="1" t="s">
        <v>45</v>
      </c>
      <c r="B17" s="1" t="str">
        <f>'C13'!B2</f>
        <v>摩西-马龙</v>
      </c>
      <c r="C17" s="1">
        <f>'C13'!C5</f>
        <v>21</v>
      </c>
      <c r="D17" s="1">
        <f>'C13'!D5</f>
        <v>13</v>
      </c>
      <c r="E17" s="1">
        <f>'C13'!G5</f>
        <v>3</v>
      </c>
      <c r="F17" s="1">
        <f>'C13'!H5</f>
        <v>0</v>
      </c>
      <c r="G17" s="1">
        <f>'C13'!I5</f>
        <v>0</v>
      </c>
      <c r="H17" s="1">
        <f>'C13'!J5</f>
        <v>6</v>
      </c>
      <c r="I17" s="1">
        <f>'C13'!K5</f>
        <v>0</v>
      </c>
      <c r="J17" s="1">
        <f>'C13'!L5</f>
        <v>0</v>
      </c>
      <c r="K17" s="1">
        <f>'C13'!M5</f>
        <v>0</v>
      </c>
      <c r="L17" s="1">
        <f>'C13'!N5</f>
        <v>4</v>
      </c>
      <c r="M17" s="1">
        <f>'C13'!O5</f>
        <v>1</v>
      </c>
      <c r="N17" s="1">
        <f>'C13'!P5</f>
        <v>1</v>
      </c>
      <c r="O17" s="1">
        <f>'C13'!Q5</f>
        <v>1</v>
      </c>
      <c r="P17" s="1">
        <f>'C13'!R5</f>
        <v>439.3</v>
      </c>
      <c r="Q17" s="1">
        <f>'C13'!S5</f>
        <v>179.2</v>
      </c>
      <c r="R17" s="1">
        <f>'C13'!T5</f>
        <v>279.40000000000003</v>
      </c>
      <c r="S17" s="1">
        <f>'C13'!U5</f>
        <v>14.9</v>
      </c>
      <c r="T17" s="1">
        <f>'C13'!V5</f>
        <v>4462.5699999999988</v>
      </c>
      <c r="U17" s="1">
        <f>'C13'!W5</f>
        <v>3047.4999999999995</v>
      </c>
      <c r="V17" s="1">
        <f>'C13'!X5</f>
        <v>38307.440000000002</v>
      </c>
      <c r="W17" s="1">
        <f>'C13'!Y5</f>
        <v>45817.510000000009</v>
      </c>
      <c r="X17" s="1">
        <f>'C13'!Z5</f>
        <v>53</v>
      </c>
      <c r="Y17" s="1">
        <f t="shared" si="0"/>
        <v>14</v>
      </c>
      <c r="Z17" s="1">
        <f t="shared" si="1"/>
        <v>2181.7861904761908</v>
      </c>
      <c r="AA17" s="1">
        <f t="shared" si="2"/>
        <v>19</v>
      </c>
    </row>
    <row r="18" spans="1:27">
      <c r="A18" s="1" t="s">
        <v>46</v>
      </c>
      <c r="B18" s="1" t="str">
        <f>'C14'!B2</f>
        <v>卡尔-马龙</v>
      </c>
      <c r="C18" s="1">
        <f>'C14'!C5</f>
        <v>19</v>
      </c>
      <c r="D18" s="1">
        <f>'C14'!D5</f>
        <v>19</v>
      </c>
      <c r="E18" s="1">
        <f>'C14'!G5</f>
        <v>2</v>
      </c>
      <c r="F18" s="1">
        <f>'C14'!H5</f>
        <v>0</v>
      </c>
      <c r="G18" s="1">
        <f>'C14'!I5</f>
        <v>0</v>
      </c>
      <c r="H18" s="1">
        <f>'C14'!J5</f>
        <v>0</v>
      </c>
      <c r="I18" s="1">
        <f>'C14'!K5</f>
        <v>0</v>
      </c>
      <c r="J18" s="1">
        <f>'C14'!L5</f>
        <v>0</v>
      </c>
      <c r="K18" s="1">
        <f>'C14'!M5</f>
        <v>0</v>
      </c>
      <c r="L18" s="1">
        <f>'C14'!N5</f>
        <v>11</v>
      </c>
      <c r="M18" s="1">
        <f>'C14'!O5</f>
        <v>3</v>
      </c>
      <c r="N18" s="1">
        <f>'C14'!P5</f>
        <v>0</v>
      </c>
      <c r="O18" s="1">
        <f>'C14'!Q5</f>
        <v>0</v>
      </c>
      <c r="P18" s="1">
        <f>'C14'!R5</f>
        <v>449.20000000000005</v>
      </c>
      <c r="Q18" s="1">
        <f>'C14'!S5</f>
        <v>234.60000000000002</v>
      </c>
      <c r="R18" s="1">
        <f>'C14'!T5</f>
        <v>383.9</v>
      </c>
      <c r="S18" s="1">
        <f>'C14'!U5</f>
        <v>23.1</v>
      </c>
      <c r="T18" s="1">
        <f>'C14'!V5</f>
        <v>6277.46</v>
      </c>
      <c r="U18" s="1">
        <f>'C14'!W5</f>
        <v>4521.6000000000004</v>
      </c>
      <c r="V18" s="1">
        <f>'C14'!X5</f>
        <v>21273.089999999997</v>
      </c>
      <c r="W18" s="1">
        <f>'C14'!Y5</f>
        <v>32072.15</v>
      </c>
      <c r="X18" s="1">
        <f>'C14'!Z5</f>
        <v>30</v>
      </c>
      <c r="Y18" s="1">
        <f t="shared" si="0"/>
        <v>17</v>
      </c>
      <c r="Z18" s="1">
        <f t="shared" si="1"/>
        <v>1688.0078947368422</v>
      </c>
      <c r="AA18" s="1">
        <f t="shared" si="2"/>
        <v>24</v>
      </c>
    </row>
    <row r="19" spans="1:27">
      <c r="A19" s="1" t="s">
        <v>47</v>
      </c>
      <c r="B19" s="1" t="str">
        <f>'C15'!B2</f>
        <v>鲍勃-佩蒂特</v>
      </c>
      <c r="C19" s="1">
        <f>'C15'!C5</f>
        <v>11</v>
      </c>
      <c r="D19" s="1">
        <f>'C15'!D5</f>
        <v>9</v>
      </c>
      <c r="E19" s="1">
        <f>'C15'!G5</f>
        <v>2</v>
      </c>
      <c r="F19" s="1">
        <f>'C15'!H5</f>
        <v>2</v>
      </c>
      <c r="G19" s="1">
        <f>'C15'!I5</f>
        <v>0</v>
      </c>
      <c r="H19" s="1">
        <f>'C15'!J5</f>
        <v>1</v>
      </c>
      <c r="I19" s="1">
        <f>'C15'!K5</f>
        <v>0</v>
      </c>
      <c r="J19" s="1">
        <f>'C15'!L5</f>
        <v>0</v>
      </c>
      <c r="K19" s="1">
        <f>'C15'!M5</f>
        <v>0</v>
      </c>
      <c r="L19" s="1">
        <f>'C15'!N5</f>
        <v>10</v>
      </c>
      <c r="M19" s="1">
        <f>'C15'!O5</f>
        <v>0</v>
      </c>
      <c r="N19" s="1">
        <f>'C15'!P5</f>
        <v>1</v>
      </c>
      <c r="O19" s="1">
        <f>'C15'!Q5</f>
        <v>0</v>
      </c>
      <c r="P19" s="1">
        <f>'C15'!R5</f>
        <v>278.59999999999997</v>
      </c>
      <c r="Q19" s="1">
        <f>'C15'!S5</f>
        <v>136.1</v>
      </c>
      <c r="R19" s="1">
        <f>'C15'!T5</f>
        <v>197.50000000000003</v>
      </c>
      <c r="S19" s="1">
        <f>'C15'!U5</f>
        <v>11.699999999999998</v>
      </c>
      <c r="T19" s="1">
        <f>'C15'!V5</f>
        <v>3744.97</v>
      </c>
      <c r="U19" s="1">
        <f>'C15'!W5</f>
        <v>2348.5000000000005</v>
      </c>
      <c r="V19" s="1">
        <f>'C15'!X5</f>
        <v>21733.49</v>
      </c>
      <c r="W19" s="1">
        <f>'C15'!Y5</f>
        <v>27826.959999999999</v>
      </c>
      <c r="X19" s="1">
        <f>'C15'!Z5</f>
        <v>36</v>
      </c>
      <c r="Y19" s="1">
        <f t="shared" si="0"/>
        <v>26</v>
      </c>
      <c r="Z19" s="1">
        <f t="shared" si="1"/>
        <v>2529.7236363636362</v>
      </c>
      <c r="AA19" s="1">
        <f t="shared" si="2"/>
        <v>16</v>
      </c>
    </row>
    <row r="20" spans="1:27">
      <c r="A20" s="1" t="s">
        <v>48</v>
      </c>
      <c r="B20" s="1" t="str">
        <f>'C16'!B2</f>
        <v>朱利叶斯-欧文</v>
      </c>
      <c r="C20" s="1">
        <f>'C16'!C5</f>
        <v>16</v>
      </c>
      <c r="D20" s="1">
        <f>'C16'!D5</f>
        <v>16</v>
      </c>
      <c r="E20" s="1">
        <f>'C16'!G5</f>
        <v>4</v>
      </c>
      <c r="F20" s="1">
        <f>'C16'!H5</f>
        <v>3</v>
      </c>
      <c r="G20" s="1">
        <f>'C16'!I5</f>
        <v>0</v>
      </c>
      <c r="H20" s="1">
        <f>'C16'!J5</f>
        <v>0</v>
      </c>
      <c r="I20" s="1">
        <f>'C16'!K5</f>
        <v>0</v>
      </c>
      <c r="J20" s="1">
        <f>'C16'!L5</f>
        <v>0</v>
      </c>
      <c r="K20" s="1">
        <f>'C16'!M5</f>
        <v>0</v>
      </c>
      <c r="L20" s="1">
        <f>'C16'!N5</f>
        <v>10</v>
      </c>
      <c r="M20" s="1">
        <f>'C16'!O5</f>
        <v>1</v>
      </c>
      <c r="N20" s="1">
        <f>'C16'!P5</f>
        <v>3</v>
      </c>
      <c r="O20" s="1">
        <f>'C16'!Q5</f>
        <v>0</v>
      </c>
      <c r="P20" s="1">
        <f>'C16'!R5</f>
        <v>371.69999999999993</v>
      </c>
      <c r="Q20" s="1">
        <f>'C16'!S5</f>
        <v>181.00000000000003</v>
      </c>
      <c r="R20" s="1">
        <f>'C16'!T5</f>
        <v>340.29999999999995</v>
      </c>
      <c r="S20" s="1">
        <f>'C16'!U5</f>
        <v>27.000000000000004</v>
      </c>
      <c r="T20" s="1">
        <f>'C16'!V5</f>
        <v>4756.3900000000003</v>
      </c>
      <c r="U20" s="1">
        <f>'C16'!W5</f>
        <v>4915.3500000000013</v>
      </c>
      <c r="V20" s="1">
        <f>'C16'!X5</f>
        <v>53477.320000000007</v>
      </c>
      <c r="W20" s="1">
        <f>'C16'!Y5</f>
        <v>63149.060000000012</v>
      </c>
      <c r="X20" s="1">
        <f>'C16'!Z5</f>
        <v>61</v>
      </c>
      <c r="Y20" s="1">
        <f>RANK(W20,W:W)</f>
        <v>11</v>
      </c>
      <c r="Z20" s="1">
        <f t="shared" si="1"/>
        <v>3946.8162500000008</v>
      </c>
      <c r="AA20" s="1">
        <f t="shared" si="2"/>
        <v>11</v>
      </c>
    </row>
    <row r="21" spans="1:27">
      <c r="A21" s="1" t="s">
        <v>49</v>
      </c>
      <c r="B21" s="1" t="str">
        <f>'C17'!B2</f>
        <v>德克-诺维茨基</v>
      </c>
      <c r="C21" s="1">
        <f>'C17'!C5</f>
        <v>21</v>
      </c>
      <c r="D21" s="1">
        <f>'C17'!D5</f>
        <v>15</v>
      </c>
      <c r="E21" s="1">
        <f>'C17'!G5</f>
        <v>1</v>
      </c>
      <c r="F21" s="1">
        <f>'C17'!H5</f>
        <v>0</v>
      </c>
      <c r="G21" s="1">
        <f>'C17'!I5</f>
        <v>0</v>
      </c>
      <c r="H21" s="1">
        <f>'C17'!J5</f>
        <v>0</v>
      </c>
      <c r="I21" s="1">
        <f>'C17'!K5</f>
        <v>0</v>
      </c>
      <c r="J21" s="1">
        <f>'C17'!L5</f>
        <v>0</v>
      </c>
      <c r="K21" s="1">
        <f>'C17'!M5</f>
        <v>0</v>
      </c>
      <c r="L21" s="1">
        <f>'C17'!N5</f>
        <v>4</v>
      </c>
      <c r="M21" s="1">
        <f>'C17'!O5</f>
        <v>0</v>
      </c>
      <c r="N21" s="1">
        <f>'C17'!P5</f>
        <v>1</v>
      </c>
      <c r="O21" s="1">
        <f>'C17'!Q5</f>
        <v>1</v>
      </c>
      <c r="P21" s="1">
        <f>'C17'!R5</f>
        <v>447.7</v>
      </c>
      <c r="Q21" s="1">
        <f>'C17'!S5</f>
        <v>206.40000000000003</v>
      </c>
      <c r="R21" s="1">
        <f>'C17'!T5</f>
        <v>346.90000000000003</v>
      </c>
      <c r="S21" s="1">
        <f>'C17'!U5</f>
        <v>23.1</v>
      </c>
      <c r="T21" s="1">
        <f>'C17'!V5</f>
        <v>5305.5099999999993</v>
      </c>
      <c r="U21" s="1">
        <f>'C17'!W5</f>
        <v>4636.2499999999991</v>
      </c>
      <c r="V21" s="1">
        <f>'C17'!X5</f>
        <v>18893.32</v>
      </c>
      <c r="W21" s="1">
        <f>'C17'!Y5</f>
        <v>28835.079999999998</v>
      </c>
      <c r="X21" s="1">
        <f>'C17'!Z5</f>
        <v>24</v>
      </c>
      <c r="Y21" s="1">
        <f t="shared" si="0"/>
        <v>24</v>
      </c>
      <c r="Z21" s="1">
        <f t="shared" si="1"/>
        <v>1373.0990476190475</v>
      </c>
      <c r="AA21" s="1">
        <f t="shared" si="2"/>
        <v>29</v>
      </c>
    </row>
    <row r="22" spans="1:27">
      <c r="A22" s="1" t="s">
        <v>50</v>
      </c>
      <c r="B22" s="1" t="str">
        <f>'C18'!B2</f>
        <v>凯文-杜兰特</v>
      </c>
      <c r="C22" s="1">
        <f>'C18'!C5</f>
        <v>12</v>
      </c>
      <c r="D22" s="1">
        <f>'C18'!D5</f>
        <v>9</v>
      </c>
      <c r="E22" s="1">
        <f>'C18'!G5</f>
        <v>1</v>
      </c>
      <c r="F22" s="1">
        <f>'C18'!H5</f>
        <v>4</v>
      </c>
      <c r="G22" s="1">
        <f>'C18'!I5</f>
        <v>0</v>
      </c>
      <c r="H22" s="1">
        <f>'C18'!J5</f>
        <v>0</v>
      </c>
      <c r="I22" s="1">
        <f>'C18'!K5</f>
        <v>0</v>
      </c>
      <c r="J22" s="1">
        <f>'C18'!L5</f>
        <v>0</v>
      </c>
      <c r="K22" s="1">
        <f>'C18'!M5</f>
        <v>0</v>
      </c>
      <c r="L22" s="1">
        <f>'C18'!N5</f>
        <v>6</v>
      </c>
      <c r="M22" s="1">
        <f>'C18'!O5</f>
        <v>0</v>
      </c>
      <c r="N22" s="1">
        <f>'C18'!P5</f>
        <v>2</v>
      </c>
      <c r="O22" s="1">
        <f>'C18'!Q5</f>
        <v>2</v>
      </c>
      <c r="P22" s="1">
        <f>'C18'!R5</f>
        <v>304.3</v>
      </c>
      <c r="Q22" s="1">
        <f>'C18'!S5</f>
        <v>141.80000000000001</v>
      </c>
      <c r="R22" s="1">
        <f>'C18'!T5</f>
        <v>216.60000000000002</v>
      </c>
      <c r="S22" s="1">
        <f>'C18'!U5</f>
        <v>23.2</v>
      </c>
      <c r="T22" s="1">
        <f>'C18'!V5</f>
        <v>4057.93</v>
      </c>
      <c r="U22" s="1">
        <f>'C18'!W5</f>
        <v>3997.8500000000004</v>
      </c>
      <c r="V22" s="1">
        <f>'C18'!X5</f>
        <v>42262.16</v>
      </c>
      <c r="W22" s="1">
        <f>'C18'!Y5</f>
        <v>50317.94</v>
      </c>
      <c r="X22" s="1">
        <f>'C18'!Z5</f>
        <v>46</v>
      </c>
      <c r="Y22" s="1">
        <f t="shared" si="0"/>
        <v>13</v>
      </c>
      <c r="Z22" s="1">
        <f t="shared" si="1"/>
        <v>4193.1616666666669</v>
      </c>
      <c r="AA22" s="1">
        <f t="shared" si="2"/>
        <v>10</v>
      </c>
    </row>
    <row r="23" spans="1:27">
      <c r="A23" s="1" t="s">
        <v>51</v>
      </c>
      <c r="B23" s="1" t="str">
        <f>'C19'!B2</f>
        <v>奥斯卡-罗波特森</v>
      </c>
      <c r="C23" s="1">
        <f>'C19'!C5</f>
        <v>14</v>
      </c>
      <c r="D23" s="1">
        <f>'C19'!D5</f>
        <v>10</v>
      </c>
      <c r="E23" s="1">
        <f>'C19'!G5</f>
        <v>1</v>
      </c>
      <c r="F23" s="1">
        <f>'C19'!H5</f>
        <v>0</v>
      </c>
      <c r="G23" s="1">
        <f>'C19'!I5</f>
        <v>0</v>
      </c>
      <c r="H23" s="1">
        <f>'C19'!J5</f>
        <v>0</v>
      </c>
      <c r="I23" s="1">
        <f>'C19'!K5</f>
        <v>6</v>
      </c>
      <c r="J23" s="1">
        <f>'C19'!L5</f>
        <v>0</v>
      </c>
      <c r="K23" s="1">
        <f>'C19'!M5</f>
        <v>0</v>
      </c>
      <c r="L23" s="1">
        <f>'C19'!N5</f>
        <v>9</v>
      </c>
      <c r="M23" s="1">
        <f>'C19'!O5</f>
        <v>0</v>
      </c>
      <c r="N23" s="1">
        <f>'C19'!P5</f>
        <v>1</v>
      </c>
      <c r="O23" s="1">
        <f>'C19'!Q5</f>
        <v>0</v>
      </c>
      <c r="P23" s="1">
        <f>'C19'!R5</f>
        <v>319.29999999999995</v>
      </c>
      <c r="Q23" s="1">
        <f>'C19'!S5</f>
        <v>189.10000000000005</v>
      </c>
      <c r="R23" s="1">
        <f>'C19'!T5</f>
        <v>216.6</v>
      </c>
      <c r="S23" s="1">
        <f>'C19'!U5</f>
        <v>13.6</v>
      </c>
      <c r="T23" s="1">
        <f>'C19'!V5</f>
        <v>4829.17</v>
      </c>
      <c r="U23" s="1">
        <f>'C19'!W5</f>
        <v>2565.6499999999996</v>
      </c>
      <c r="V23" s="1">
        <f>'C19'!X5</f>
        <v>23337.370000000003</v>
      </c>
      <c r="W23" s="1">
        <f>'C19'!Y5</f>
        <v>30732.190000000002</v>
      </c>
      <c r="X23" s="1">
        <f>'C19'!Z5</f>
        <v>33</v>
      </c>
      <c r="Y23" s="1">
        <f t="shared" si="0"/>
        <v>20</v>
      </c>
      <c r="Z23" s="1">
        <f t="shared" si="1"/>
        <v>2195.1564285714289</v>
      </c>
      <c r="AA23" s="1">
        <f t="shared" si="2"/>
        <v>18</v>
      </c>
    </row>
    <row r="24" spans="1:27">
      <c r="A24" s="1" t="s">
        <v>52</v>
      </c>
      <c r="B24" s="1" t="str">
        <f>'C20'!B2</f>
        <v>大卫-罗宾逊</v>
      </c>
      <c r="C24" s="1">
        <f>'C20'!C5</f>
        <v>14</v>
      </c>
      <c r="D24" s="1">
        <f>'C20'!D5</f>
        <v>12</v>
      </c>
      <c r="E24" s="1">
        <f>'C20'!G5</f>
        <v>1</v>
      </c>
      <c r="F24" s="1">
        <f>'C20'!H5</f>
        <v>1</v>
      </c>
      <c r="G24" s="1">
        <f>'C20'!I5</f>
        <v>0</v>
      </c>
      <c r="H24" s="1">
        <f>'C20'!J5</f>
        <v>1</v>
      </c>
      <c r="I24" s="1">
        <f>'C20'!K5</f>
        <v>0</v>
      </c>
      <c r="J24" s="1">
        <f>'C20'!L5</f>
        <v>0</v>
      </c>
      <c r="K24" s="1">
        <f>'C20'!M5</f>
        <v>1</v>
      </c>
      <c r="L24" s="1">
        <f>'C20'!N5</f>
        <v>4</v>
      </c>
      <c r="M24" s="1">
        <f>'C20'!O5</f>
        <v>4</v>
      </c>
      <c r="N24" s="1">
        <f>'C20'!P5</f>
        <v>2</v>
      </c>
      <c r="O24" s="1">
        <f>'C20'!Q5</f>
        <v>0</v>
      </c>
      <c r="P24" s="1">
        <f>'C20'!R5</f>
        <v>364.70000000000005</v>
      </c>
      <c r="Q24" s="1">
        <f>'C20'!S5</f>
        <v>178.79999999999998</v>
      </c>
      <c r="R24" s="1">
        <f>'C20'!T5</f>
        <v>273.59999999999997</v>
      </c>
      <c r="S24" s="1">
        <f>'C20'!U5</f>
        <v>17.5</v>
      </c>
      <c r="T24" s="1">
        <f>'C20'!V5</f>
        <v>5116.1099999999997</v>
      </c>
      <c r="U24" s="1">
        <f>'C20'!W5</f>
        <v>3399.8999999999996</v>
      </c>
      <c r="V24" s="1">
        <f>'C20'!X5</f>
        <v>21597.579999999994</v>
      </c>
      <c r="W24" s="1">
        <f>'C20'!Y5</f>
        <v>30113.59</v>
      </c>
      <c r="X24" s="1">
        <f>'C20'!Z5</f>
        <v>30</v>
      </c>
      <c r="Y24" s="1">
        <f t="shared" si="0"/>
        <v>21</v>
      </c>
      <c r="Z24" s="1">
        <f t="shared" si="1"/>
        <v>2150.9707142857142</v>
      </c>
      <c r="AA24" s="1">
        <f t="shared" si="2"/>
        <v>21</v>
      </c>
    </row>
    <row r="25" spans="1:27">
      <c r="A25" s="1" t="s">
        <v>96</v>
      </c>
      <c r="B25" s="1" t="str">
        <f>'C21'!B2</f>
        <v>凯文-加内特</v>
      </c>
      <c r="C25" s="1">
        <f>'C21'!C5</f>
        <v>21</v>
      </c>
      <c r="D25" s="1">
        <f>'C21'!D5</f>
        <v>14</v>
      </c>
      <c r="E25" s="1">
        <f>'C21'!G5</f>
        <v>1</v>
      </c>
      <c r="F25" s="1">
        <f>'C21'!H5</f>
        <v>0</v>
      </c>
      <c r="G25" s="1">
        <f>'C21'!I5</f>
        <v>1</v>
      </c>
      <c r="H25" s="1">
        <f>'C21'!J5</f>
        <v>4</v>
      </c>
      <c r="I25" s="1">
        <f>'C21'!K5</f>
        <v>0</v>
      </c>
      <c r="J25" s="1">
        <f>'C21'!L5</f>
        <v>0</v>
      </c>
      <c r="K25" s="1">
        <f>'C21'!M5</f>
        <v>0</v>
      </c>
      <c r="L25" s="1">
        <f>'C21'!N5</f>
        <v>4</v>
      </c>
      <c r="M25" s="1">
        <f>'C21'!O5</f>
        <v>9</v>
      </c>
      <c r="N25" s="1">
        <f>'C21'!P5</f>
        <v>1</v>
      </c>
      <c r="O25" s="1">
        <f>'C21'!Q5</f>
        <v>0</v>
      </c>
      <c r="P25" s="1">
        <f>'C21'!R5</f>
        <v>484.00000000000006</v>
      </c>
      <c r="Q25" s="1">
        <f>'C21'!S5</f>
        <v>193.39999999999998</v>
      </c>
      <c r="R25" s="1">
        <f>'C21'!T5</f>
        <v>292.70000000000005</v>
      </c>
      <c r="S25" s="1">
        <f>'C21'!U5</f>
        <v>16.5</v>
      </c>
      <c r="T25" s="1">
        <f>'C21'!V5</f>
        <v>5064.7000000000007</v>
      </c>
      <c r="U25" s="1">
        <f>'C21'!W5</f>
        <v>3253.3499999999995</v>
      </c>
      <c r="V25" s="1">
        <f>'C21'!X5</f>
        <v>26505.520000000004</v>
      </c>
      <c r="W25" s="1">
        <f>'C21'!Y5</f>
        <v>34823.570000000014</v>
      </c>
      <c r="X25" s="1">
        <f>'C21'!Z5</f>
        <v>35</v>
      </c>
      <c r="Y25" s="1">
        <f t="shared" si="0"/>
        <v>16</v>
      </c>
      <c r="Z25" s="1">
        <f t="shared" si="1"/>
        <v>1658.2652380952388</v>
      </c>
      <c r="AA25" s="1">
        <f t="shared" si="2"/>
        <v>26</v>
      </c>
    </row>
    <row r="26" spans="1:27">
      <c r="A26" s="1" t="s">
        <v>97</v>
      </c>
      <c r="B26" s="1" t="str">
        <f>'C22'!B2</f>
        <v>约翰-哈福利切克</v>
      </c>
      <c r="C26" s="1">
        <f>'C22'!C5</f>
        <v>16</v>
      </c>
      <c r="D26" s="1">
        <f>'C22'!D5</f>
        <v>13</v>
      </c>
      <c r="E26" s="1">
        <f>'C22'!G5</f>
        <v>0</v>
      </c>
      <c r="F26" s="1">
        <f>'C22'!H5</f>
        <v>0</v>
      </c>
      <c r="G26" s="1">
        <f>'C22'!I5</f>
        <v>0</v>
      </c>
      <c r="H26" s="1">
        <f>'C22'!J5</f>
        <v>0</v>
      </c>
      <c r="I26" s="1">
        <f>'C22'!K5</f>
        <v>0</v>
      </c>
      <c r="J26" s="1">
        <f>'C22'!L5</f>
        <v>0</v>
      </c>
      <c r="K26" s="1">
        <f>'C22'!M5</f>
        <v>0</v>
      </c>
      <c r="L26" s="1">
        <f>'C22'!N5</f>
        <v>4</v>
      </c>
      <c r="M26" s="1">
        <f>'C22'!O5</f>
        <v>5</v>
      </c>
      <c r="N26" s="1">
        <f>'C22'!P5</f>
        <v>8</v>
      </c>
      <c r="O26" s="1">
        <f>'C22'!Q5</f>
        <v>1</v>
      </c>
      <c r="P26" s="1">
        <f>'C22'!R5</f>
        <v>277.3</v>
      </c>
      <c r="Q26" s="1">
        <f>'C22'!S5</f>
        <v>131.70000000000002</v>
      </c>
      <c r="R26" s="1">
        <f>'C22'!T5</f>
        <v>219.39999999999998</v>
      </c>
      <c r="S26" s="1">
        <f>'C22'!U5</f>
        <v>19.2</v>
      </c>
      <c r="T26" s="1">
        <f>'C22'!V5</f>
        <v>2623.5</v>
      </c>
      <c r="U26" s="1">
        <f>'C22'!W5</f>
        <v>2869.7</v>
      </c>
      <c r="V26" s="1">
        <f>'C22'!X5</f>
        <v>21123.389999999996</v>
      </c>
      <c r="W26" s="1">
        <f>'C22'!Y5</f>
        <v>26616.59</v>
      </c>
      <c r="X26" s="1">
        <f>'C22'!Z5</f>
        <v>49</v>
      </c>
      <c r="Y26" s="1">
        <f t="shared" si="0"/>
        <v>27</v>
      </c>
      <c r="Z26" s="1">
        <f t="shared" si="1"/>
        <v>1663.536875</v>
      </c>
      <c r="AA26" s="1">
        <f t="shared" si="2"/>
        <v>25</v>
      </c>
    </row>
    <row r="27" spans="1:27">
      <c r="A27" s="1" t="s">
        <v>98</v>
      </c>
      <c r="B27" s="1" t="str">
        <f>'C23'!B2</f>
        <v>查尔斯-巴克利</v>
      </c>
      <c r="C27" s="1">
        <f>'C23'!C5</f>
        <v>16</v>
      </c>
      <c r="D27" s="1">
        <f>'C23'!D5</f>
        <v>13</v>
      </c>
      <c r="E27" s="1">
        <f>'C23'!G5</f>
        <v>1</v>
      </c>
      <c r="F27" s="1">
        <f>'C23'!H5</f>
        <v>0</v>
      </c>
      <c r="G27" s="1">
        <f>'C23'!I5</f>
        <v>0</v>
      </c>
      <c r="H27" s="1">
        <f>'C23'!J5</f>
        <v>1</v>
      </c>
      <c r="I27" s="1">
        <f>'C23'!K5</f>
        <v>0</v>
      </c>
      <c r="J27" s="1">
        <f>'C23'!L5</f>
        <v>0</v>
      </c>
      <c r="K27" s="1">
        <f>'C23'!M5</f>
        <v>0</v>
      </c>
      <c r="L27" s="1">
        <f>'C23'!N5</f>
        <v>5</v>
      </c>
      <c r="M27" s="1">
        <f>'C23'!O5</f>
        <v>0</v>
      </c>
      <c r="N27" s="1">
        <f>'C23'!P5</f>
        <v>0</v>
      </c>
      <c r="O27" s="1">
        <f>'C23'!Q5</f>
        <v>0</v>
      </c>
      <c r="P27" s="1">
        <f>'C23'!R5</f>
        <v>387.10000000000008</v>
      </c>
      <c r="Q27" s="1">
        <f>'C23'!S5</f>
        <v>177.10000000000002</v>
      </c>
      <c r="R27" s="1">
        <f>'C23'!T5</f>
        <v>312.2</v>
      </c>
      <c r="S27" s="1">
        <f>'C23'!U5</f>
        <v>19.600000000000001</v>
      </c>
      <c r="T27" s="1">
        <f>'C23'!V5</f>
        <v>4818.3100000000004</v>
      </c>
      <c r="U27" s="1">
        <f>'C23'!W5</f>
        <v>3960.9999999999995</v>
      </c>
      <c r="V27" s="1">
        <f>'C23'!X5</f>
        <v>13564.749999999996</v>
      </c>
      <c r="W27" s="1">
        <f>'C23'!Y5</f>
        <v>22344.06</v>
      </c>
      <c r="X27" s="1">
        <f>'C23'!Z5</f>
        <v>15</v>
      </c>
      <c r="Y27" s="1">
        <f t="shared" si="0"/>
        <v>30</v>
      </c>
      <c r="Z27" s="1">
        <f t="shared" si="1"/>
        <v>1396.5037500000001</v>
      </c>
      <c r="AA27" s="1">
        <f t="shared" si="2"/>
        <v>28</v>
      </c>
    </row>
    <row r="28" spans="1:27">
      <c r="A28" s="1" t="s">
        <v>99</v>
      </c>
      <c r="B28" s="1" t="str">
        <f>'C24'!B2</f>
        <v>德维恩-韦德</v>
      </c>
      <c r="C28" s="1">
        <f>'C24'!C5</f>
        <v>16</v>
      </c>
      <c r="D28" s="1">
        <f>'C24'!D5</f>
        <v>13</v>
      </c>
      <c r="E28" s="1">
        <f>'C24'!G5</f>
        <v>0</v>
      </c>
      <c r="F28" s="1">
        <f>'C24'!H5</f>
        <v>1</v>
      </c>
      <c r="G28" s="1">
        <f>'C24'!I5</f>
        <v>0</v>
      </c>
      <c r="H28" s="1">
        <f>'C24'!J5</f>
        <v>0</v>
      </c>
      <c r="I28" s="1">
        <f>'C24'!K5</f>
        <v>0</v>
      </c>
      <c r="J28" s="1">
        <f>'C24'!L5</f>
        <v>0</v>
      </c>
      <c r="K28" s="1">
        <f>'C24'!M5</f>
        <v>0</v>
      </c>
      <c r="L28" s="1">
        <f>'C24'!N5</f>
        <v>2</v>
      </c>
      <c r="M28" s="1">
        <f>'C24'!O5</f>
        <v>0</v>
      </c>
      <c r="N28" s="1">
        <f>'C24'!P5</f>
        <v>3</v>
      </c>
      <c r="O28" s="1">
        <f>'C24'!Q5</f>
        <v>1</v>
      </c>
      <c r="P28" s="1">
        <f>'C24'!R5</f>
        <v>366</v>
      </c>
      <c r="Q28" s="1">
        <f>'C24'!S5</f>
        <v>120.7</v>
      </c>
      <c r="R28" s="1">
        <f>'C24'!T5</f>
        <v>280.5</v>
      </c>
      <c r="S28" s="1">
        <f>'C24'!U5</f>
        <v>21.6</v>
      </c>
      <c r="T28" s="1">
        <f>'C24'!V5</f>
        <v>3407.9300000000003</v>
      </c>
      <c r="U28" s="1">
        <f>'C24'!W5</f>
        <v>3988.5</v>
      </c>
      <c r="V28" s="1">
        <f>'C24'!X5</f>
        <v>22231.459999999995</v>
      </c>
      <c r="W28" s="1">
        <f>'C24'!Y5</f>
        <v>29627.890000000003</v>
      </c>
      <c r="X28" s="1">
        <f>'C24'!Z5</f>
        <v>24</v>
      </c>
      <c r="Y28" s="1">
        <f t="shared" si="0"/>
        <v>22</v>
      </c>
      <c r="Z28" s="1">
        <f t="shared" si="1"/>
        <v>1851.7431250000002</v>
      </c>
      <c r="AA28" s="1">
        <f t="shared" si="2"/>
        <v>23</v>
      </c>
    </row>
    <row r="29" spans="1:27">
      <c r="A29" s="1" t="s">
        <v>100</v>
      </c>
      <c r="B29" s="1" t="str">
        <f>'C25'!B2</f>
        <v>斯蒂芬-库里</v>
      </c>
      <c r="C29" s="1">
        <f>'C25'!C5</f>
        <v>10</v>
      </c>
      <c r="D29" s="1">
        <f>'C25'!D5</f>
        <v>7</v>
      </c>
      <c r="E29" s="1">
        <f>'C25'!G5</f>
        <v>2</v>
      </c>
      <c r="F29" s="1">
        <f>'C25'!H5</f>
        <v>1</v>
      </c>
      <c r="G29" s="1">
        <f>'C25'!I5</f>
        <v>0</v>
      </c>
      <c r="H29" s="1">
        <f>'C25'!J5</f>
        <v>0</v>
      </c>
      <c r="I29" s="1">
        <f>'C25'!K5</f>
        <v>0</v>
      </c>
      <c r="J29" s="1">
        <f>'C25'!L5</f>
        <v>1</v>
      </c>
      <c r="K29" s="1">
        <f>'C25'!M5</f>
        <v>0</v>
      </c>
      <c r="L29" s="1">
        <f>'C25'!N5</f>
        <v>3</v>
      </c>
      <c r="M29" s="1">
        <f>'C25'!O5</f>
        <v>0</v>
      </c>
      <c r="N29" s="1">
        <f>'C25'!P5</f>
        <v>3</v>
      </c>
      <c r="O29" s="1">
        <f>'C25'!Q5</f>
        <v>0</v>
      </c>
      <c r="P29" s="1">
        <f>'C25'!R5</f>
        <v>239</v>
      </c>
      <c r="Q29" s="1">
        <f>'C25'!S5</f>
        <v>103.09999999999998</v>
      </c>
      <c r="R29" s="1">
        <f>'C25'!T5</f>
        <v>158.19999999999999</v>
      </c>
      <c r="S29" s="1">
        <f>'C25'!U5</f>
        <v>17.100000000000001</v>
      </c>
      <c r="T29" s="1">
        <f>'C25'!V5</f>
        <v>2858.5</v>
      </c>
      <c r="U29" s="1">
        <f>'C25'!W5</f>
        <v>2799.4500000000003</v>
      </c>
      <c r="V29" s="1">
        <f>'C25'!X5</f>
        <v>32819.199999999997</v>
      </c>
      <c r="W29" s="1">
        <f>'C25'!Y5</f>
        <v>38477.15</v>
      </c>
      <c r="X29" s="1">
        <f>'C25'!Z5</f>
        <v>35</v>
      </c>
      <c r="Y29" s="1">
        <f t="shared" si="0"/>
        <v>15</v>
      </c>
      <c r="Z29" s="1">
        <f t="shared" si="1"/>
        <v>3847.7150000000001</v>
      </c>
      <c r="AA29" s="1">
        <f t="shared" si="2"/>
        <v>13</v>
      </c>
    </row>
    <row r="30" spans="1:27">
      <c r="A30" s="1" t="s">
        <v>101</v>
      </c>
      <c r="B30" s="1" t="str">
        <f>'C26'!B2</f>
        <v>斯科蒂-皮蓬</v>
      </c>
      <c r="C30" s="1">
        <f>'C26'!C5</f>
        <v>17</v>
      </c>
      <c r="D30" s="1">
        <f>'C26'!D5</f>
        <v>16</v>
      </c>
      <c r="E30" s="1">
        <f>'C26'!G5</f>
        <v>0</v>
      </c>
      <c r="F30" s="1">
        <f>'C26'!H5</f>
        <v>0</v>
      </c>
      <c r="G30" s="1">
        <f>'C26'!I5</f>
        <v>0</v>
      </c>
      <c r="H30" s="1">
        <f>'C26'!J5</f>
        <v>0</v>
      </c>
      <c r="I30" s="1">
        <f>'C26'!K5</f>
        <v>0</v>
      </c>
      <c r="J30" s="1">
        <f>'C26'!L5</f>
        <v>1</v>
      </c>
      <c r="K30" s="1">
        <f>'C26'!M5</f>
        <v>0</v>
      </c>
      <c r="L30" s="1">
        <f>'C26'!N5</f>
        <v>3</v>
      </c>
      <c r="M30" s="1">
        <f>'C26'!O5</f>
        <v>8</v>
      </c>
      <c r="N30" s="1">
        <f>'C26'!P5</f>
        <v>6</v>
      </c>
      <c r="O30" s="1">
        <f>'C26'!Q5</f>
        <v>0</v>
      </c>
      <c r="P30" s="1">
        <f>'C26'!R5</f>
        <v>305</v>
      </c>
      <c r="Q30" s="1">
        <f>'C26'!S5</f>
        <v>125.09999999999998</v>
      </c>
      <c r="R30" s="1">
        <f>'C26'!T5</f>
        <v>277.79999999999995</v>
      </c>
      <c r="S30" s="1">
        <f>'C26'!U5</f>
        <v>23.5</v>
      </c>
      <c r="T30" s="1">
        <f>'C26'!V5</f>
        <v>2759.82</v>
      </c>
      <c r="U30" s="1">
        <f>'C26'!W5</f>
        <v>3654.2</v>
      </c>
      <c r="V30" s="1">
        <f>'C26'!X5</f>
        <v>21601.75</v>
      </c>
      <c r="W30" s="1">
        <f>'C26'!Y5</f>
        <v>28015.769999999997</v>
      </c>
      <c r="X30" s="1">
        <f>'C26'!Z5</f>
        <v>37</v>
      </c>
      <c r="Y30" s="1">
        <f t="shared" si="0"/>
        <v>25</v>
      </c>
      <c r="Z30" s="1">
        <f t="shared" si="1"/>
        <v>1647.9864705882351</v>
      </c>
      <c r="AA30" s="1">
        <f t="shared" si="2"/>
        <v>27</v>
      </c>
    </row>
    <row r="31" spans="1:27">
      <c r="A31" s="1" t="s">
        <v>102</v>
      </c>
      <c r="B31" s="1" t="str">
        <f>'C27'!B2</f>
        <v>约翰-斯托克顿</v>
      </c>
      <c r="C31" s="1">
        <f>'C27'!C5</f>
        <v>19</v>
      </c>
      <c r="D31" s="1">
        <f>'C27'!D5</f>
        <v>19</v>
      </c>
      <c r="E31" s="1">
        <f>'C27'!G5</f>
        <v>0</v>
      </c>
      <c r="F31" s="1">
        <f>'C27'!H5</f>
        <v>0</v>
      </c>
      <c r="G31" s="1">
        <f>'C27'!I5</f>
        <v>0</v>
      </c>
      <c r="H31" s="1">
        <f>'C27'!J5</f>
        <v>0</v>
      </c>
      <c r="I31" s="1">
        <f>'C27'!K5</f>
        <v>9</v>
      </c>
      <c r="J31" s="1">
        <f>'C27'!L5</f>
        <v>2</v>
      </c>
      <c r="K31" s="1">
        <f>'C27'!M5</f>
        <v>0</v>
      </c>
      <c r="L31" s="1">
        <f>'C27'!N5</f>
        <v>2</v>
      </c>
      <c r="M31" s="1">
        <f>'C27'!O5</f>
        <v>0</v>
      </c>
      <c r="N31" s="1">
        <f>'C27'!P5</f>
        <v>0</v>
      </c>
      <c r="O31" s="1">
        <f>'C27'!Q5</f>
        <v>0</v>
      </c>
      <c r="P31" s="1">
        <f>'C27'!R5</f>
        <v>407.90000000000003</v>
      </c>
      <c r="Q31" s="1">
        <f>'C27'!S5</f>
        <v>207.6</v>
      </c>
      <c r="R31" s="1">
        <f>'C27'!T5</f>
        <v>372.59999999999997</v>
      </c>
      <c r="S31" s="1">
        <f>'C27'!U5</f>
        <v>21.5</v>
      </c>
      <c r="T31" s="1">
        <f>'C27'!V5</f>
        <v>4999.8899999999994</v>
      </c>
      <c r="U31" s="1">
        <f>'C27'!W5</f>
        <v>4040.2</v>
      </c>
      <c r="V31" s="1">
        <f>'C27'!X5</f>
        <v>13550.07</v>
      </c>
      <c r="W31" s="1">
        <f>'C27'!Y5</f>
        <v>22590.159999999996</v>
      </c>
      <c r="X31" s="1">
        <f>'C27'!Z5</f>
        <v>24</v>
      </c>
      <c r="Y31" s="1">
        <f t="shared" si="0"/>
        <v>29</v>
      </c>
      <c r="Z31" s="1">
        <f t="shared" si="1"/>
        <v>1188.955789473684</v>
      </c>
      <c r="AA31" s="1">
        <f t="shared" si="2"/>
        <v>33</v>
      </c>
    </row>
    <row r="32" spans="1:27">
      <c r="A32" s="1" t="s">
        <v>103</v>
      </c>
      <c r="B32" s="1" t="str">
        <f>'C28'!B2</f>
        <v>史蒂夫-纳什</v>
      </c>
      <c r="C32" s="1">
        <f>'C28'!C5</f>
        <v>18</v>
      </c>
      <c r="D32" s="1">
        <f>'C28'!D5</f>
        <v>12</v>
      </c>
      <c r="E32" s="1">
        <f>'C28'!G5</f>
        <v>2</v>
      </c>
      <c r="F32" s="1">
        <f>'C28'!H5</f>
        <v>0</v>
      </c>
      <c r="G32" s="1">
        <f>'C28'!I5</f>
        <v>0</v>
      </c>
      <c r="H32" s="1">
        <f>'C28'!J5</f>
        <v>0</v>
      </c>
      <c r="I32" s="1">
        <f>'C28'!K5</f>
        <v>5</v>
      </c>
      <c r="J32" s="1">
        <f>'C28'!L5</f>
        <v>0</v>
      </c>
      <c r="K32" s="1">
        <f>'C28'!M5</f>
        <v>0</v>
      </c>
      <c r="L32" s="1">
        <f>'C28'!N5</f>
        <v>3</v>
      </c>
      <c r="M32" s="1">
        <f>'C28'!O5</f>
        <v>0</v>
      </c>
      <c r="N32" s="1">
        <f>'C28'!P5</f>
        <v>0</v>
      </c>
      <c r="O32" s="1">
        <f>'C28'!Q5</f>
        <v>0</v>
      </c>
      <c r="P32" s="1">
        <f>'C28'!R5</f>
        <v>334.80000000000007</v>
      </c>
      <c r="Q32" s="1">
        <f>'C28'!S5</f>
        <v>130</v>
      </c>
      <c r="R32" s="1">
        <f>'C28'!T5</f>
        <v>199.10000000000002</v>
      </c>
      <c r="S32" s="1">
        <f>'C28'!U5</f>
        <v>11.9</v>
      </c>
      <c r="T32" s="1">
        <f>'C28'!V5</f>
        <v>3041.2200000000003</v>
      </c>
      <c r="U32" s="1">
        <f>'C28'!W5</f>
        <v>2235.3999999999996</v>
      </c>
      <c r="V32" s="1">
        <f>'C28'!X5</f>
        <v>17793.880000000005</v>
      </c>
      <c r="W32" s="1">
        <f>'C28'!Y5</f>
        <v>23070.499999999996</v>
      </c>
      <c r="X32" s="1">
        <f>'C28'!Z5</f>
        <v>29</v>
      </c>
      <c r="Y32" s="1">
        <f t="shared" si="0"/>
        <v>28</v>
      </c>
      <c r="Z32" s="1">
        <f t="shared" si="1"/>
        <v>1281.6944444444443</v>
      </c>
      <c r="AA32" s="1">
        <f t="shared" si="2"/>
        <v>32</v>
      </c>
    </row>
    <row r="33" spans="1:27">
      <c r="A33" s="1" t="s">
        <v>104</v>
      </c>
      <c r="B33" s="1" t="str">
        <f>'C29'!B2</f>
        <v>克里斯-保罗</v>
      </c>
      <c r="C33" s="1">
        <f>'C29'!C5</f>
        <v>14</v>
      </c>
      <c r="D33" s="1">
        <f>'C29'!D5</f>
        <v>11</v>
      </c>
      <c r="E33" s="1">
        <f>'C29'!G5</f>
        <v>0</v>
      </c>
      <c r="F33" s="1">
        <f>'C29'!H5</f>
        <v>0</v>
      </c>
      <c r="G33" s="1">
        <f>'C29'!I5</f>
        <v>0</v>
      </c>
      <c r="H33" s="1">
        <f>'C29'!J5</f>
        <v>0</v>
      </c>
      <c r="I33" s="1">
        <f>'C29'!K5</f>
        <v>4</v>
      </c>
      <c r="J33" s="1">
        <f>'C29'!L5</f>
        <v>6</v>
      </c>
      <c r="K33" s="1">
        <f>'C29'!M5</f>
        <v>0</v>
      </c>
      <c r="L33" s="1">
        <f>'C29'!N5</f>
        <v>4</v>
      </c>
      <c r="M33" s="1">
        <f>'C29'!O5</f>
        <v>7</v>
      </c>
      <c r="N33" s="1">
        <f>'C29'!P5</f>
        <v>0</v>
      </c>
      <c r="O33" s="1">
        <f>'C29'!Q5</f>
        <v>0</v>
      </c>
      <c r="P33" s="1">
        <f>'C29'!R5</f>
        <v>351.59999999999997</v>
      </c>
      <c r="Q33" s="1">
        <f>'C29'!S5</f>
        <v>171.49999999999997</v>
      </c>
      <c r="R33" s="1">
        <f>'C29'!T5</f>
        <v>275.60000000000002</v>
      </c>
      <c r="S33" s="1">
        <f>'C29'!U5</f>
        <v>15.7</v>
      </c>
      <c r="T33" s="1">
        <f>'C29'!V5</f>
        <v>4764.0200000000004</v>
      </c>
      <c r="U33" s="1">
        <f>'C29'!W5</f>
        <v>3437.6</v>
      </c>
      <c r="V33" s="1">
        <f>'C29'!X5</f>
        <v>23371.29</v>
      </c>
      <c r="W33" s="1">
        <f>'C29'!Y5</f>
        <v>31572.91</v>
      </c>
      <c r="X33" s="1">
        <f>'C29'!Z5</f>
        <v>31</v>
      </c>
      <c r="Y33" s="1">
        <f t="shared" si="0"/>
        <v>18</v>
      </c>
      <c r="Z33" s="1">
        <f t="shared" si="1"/>
        <v>2255.2078571428569</v>
      </c>
      <c r="AA33" s="1">
        <f t="shared" si="2"/>
        <v>17</v>
      </c>
    </row>
    <row r="34" spans="1:27">
      <c r="A34" s="1" t="s">
        <v>105</v>
      </c>
      <c r="B34" s="1" t="str">
        <f>'C30'!B2</f>
        <v>阿伦-艾弗森</v>
      </c>
      <c r="C34" s="1">
        <f>'C30'!C5</f>
        <v>14</v>
      </c>
      <c r="D34" s="1">
        <f>'C30'!D5</f>
        <v>8</v>
      </c>
      <c r="E34" s="1">
        <f>'C30'!G5</f>
        <v>1</v>
      </c>
      <c r="F34" s="1">
        <f>'C30'!H5</f>
        <v>4</v>
      </c>
      <c r="G34" s="1">
        <f>'C30'!I5</f>
        <v>0</v>
      </c>
      <c r="H34" s="1">
        <f>'C30'!J5</f>
        <v>0</v>
      </c>
      <c r="I34" s="1">
        <f>'C30'!K5</f>
        <v>0</v>
      </c>
      <c r="J34" s="1">
        <f>'C30'!L5</f>
        <v>3</v>
      </c>
      <c r="K34" s="1">
        <f>'C30'!M5</f>
        <v>0</v>
      </c>
      <c r="L34" s="1">
        <f>'C30'!N5</f>
        <v>3</v>
      </c>
      <c r="M34" s="1">
        <f>'C30'!O5</f>
        <v>0</v>
      </c>
      <c r="N34" s="1">
        <f>'C30'!P5</f>
        <v>0</v>
      </c>
      <c r="O34" s="1">
        <f>'C30'!Q5</f>
        <v>0</v>
      </c>
      <c r="P34" s="1">
        <f>'C30'!R5</f>
        <v>285.79999999999995</v>
      </c>
      <c r="Q34" s="1">
        <f>'C30'!S5</f>
        <v>98.899999999999991</v>
      </c>
      <c r="R34" s="1">
        <f>'C30'!T5</f>
        <v>164.89999999999998</v>
      </c>
      <c r="S34" s="1">
        <f>'C30'!U5</f>
        <v>7.1999999999999993</v>
      </c>
      <c r="T34" s="1">
        <f>'C30'!V5</f>
        <v>2426.9300000000003</v>
      </c>
      <c r="U34" s="1">
        <f>'C30'!W5</f>
        <v>1637.45</v>
      </c>
      <c r="V34" s="1">
        <f>'C30'!X5</f>
        <v>14442.490000000002</v>
      </c>
      <c r="W34" s="1">
        <f>'C30'!Y5</f>
        <v>18506.87</v>
      </c>
      <c r="X34" s="1">
        <f>'C30'!Z5</f>
        <v>25</v>
      </c>
      <c r="Y34" s="1">
        <f t="shared" si="0"/>
        <v>32</v>
      </c>
      <c r="Z34" s="1">
        <f t="shared" si="1"/>
        <v>1321.9192857142857</v>
      </c>
      <c r="AA34" s="1">
        <f t="shared" si="2"/>
        <v>31</v>
      </c>
    </row>
    <row r="35" spans="1:27">
      <c r="A35" s="1" t="s">
        <v>106</v>
      </c>
      <c r="B35" s="1" t="str">
        <f>'C31'!B2</f>
        <v>拉塞尔-威斯布鲁克</v>
      </c>
      <c r="C35" s="1">
        <f>'C31'!C5</f>
        <v>11</v>
      </c>
      <c r="D35" s="1">
        <f>'C31'!D5</f>
        <v>9</v>
      </c>
      <c r="E35" s="1">
        <f>'C31'!G5</f>
        <v>1</v>
      </c>
      <c r="F35" s="1">
        <f>'C31'!H5</f>
        <v>2</v>
      </c>
      <c r="G35" s="1">
        <f>'C31'!I5</f>
        <v>0</v>
      </c>
      <c r="H35" s="1">
        <f>'C31'!J5</f>
        <v>0</v>
      </c>
      <c r="I35" s="1">
        <f>'C31'!K5</f>
        <v>2</v>
      </c>
      <c r="J35" s="1">
        <f>'C31'!L5</f>
        <v>0</v>
      </c>
      <c r="K35" s="1">
        <f>'C31'!M5</f>
        <v>0</v>
      </c>
      <c r="L35" s="1">
        <f>'C31'!N5</f>
        <v>2</v>
      </c>
      <c r="M35" s="1">
        <f>'C31'!O5</f>
        <v>0</v>
      </c>
      <c r="N35" s="1">
        <f>'C31'!P5</f>
        <v>0</v>
      </c>
      <c r="O35" s="1">
        <f>'C31'!Q5</f>
        <v>0</v>
      </c>
      <c r="P35" s="1">
        <f>'C31'!R5</f>
        <v>261.2</v>
      </c>
      <c r="Q35" s="1">
        <f>'C31'!S5</f>
        <v>96.699999999999989</v>
      </c>
      <c r="R35" s="1">
        <f>'C31'!T5</f>
        <v>208</v>
      </c>
      <c r="S35" s="1">
        <f>'C31'!U5</f>
        <v>10.5</v>
      </c>
      <c r="T35" s="1">
        <f>'C31'!V5</f>
        <v>2695.76</v>
      </c>
      <c r="U35" s="1">
        <f>'C31'!W5</f>
        <v>2315.25</v>
      </c>
      <c r="V35" s="1">
        <f>'C31'!X5</f>
        <v>9811.130000000001</v>
      </c>
      <c r="W35" s="1">
        <f>'C31'!Y5</f>
        <v>14822.14</v>
      </c>
      <c r="X35" s="1">
        <f>'C31'!Z5</f>
        <v>18</v>
      </c>
      <c r="Y35" s="1">
        <f t="shared" si="0"/>
        <v>34</v>
      </c>
      <c r="Z35" s="1">
        <f t="shared" si="1"/>
        <v>1347.4672727272728</v>
      </c>
      <c r="AA35" s="1">
        <f t="shared" si="2"/>
        <v>30</v>
      </c>
    </row>
    <row r="36" spans="1:27">
      <c r="A36" s="1" t="s">
        <v>107</v>
      </c>
      <c r="B36" s="1" t="str">
        <f>'C32'!B2</f>
        <v>詹姆斯-哈登</v>
      </c>
      <c r="C36" s="1">
        <f>'C32'!C5</f>
        <v>10</v>
      </c>
      <c r="D36" s="1">
        <f>'C32'!D5</f>
        <v>10</v>
      </c>
      <c r="E36" s="1">
        <f>'C32'!G5</f>
        <v>1</v>
      </c>
      <c r="F36" s="1">
        <f>'C32'!H5</f>
        <v>2</v>
      </c>
      <c r="G36" s="1">
        <f>'C32'!I5</f>
        <v>0</v>
      </c>
      <c r="H36" s="1">
        <f>'C32'!J5</f>
        <v>0</v>
      </c>
      <c r="I36" s="1">
        <f>'C32'!K5</f>
        <v>1</v>
      </c>
      <c r="J36" s="1">
        <f>'C32'!L5</f>
        <v>0</v>
      </c>
      <c r="K36" s="1">
        <f>'C32'!M5</f>
        <v>0</v>
      </c>
      <c r="L36" s="1">
        <f>'C32'!N5</f>
        <v>5</v>
      </c>
      <c r="M36" s="1">
        <f>'C32'!O5</f>
        <v>0</v>
      </c>
      <c r="N36" s="1">
        <f>'C32'!P5</f>
        <v>0</v>
      </c>
      <c r="O36" s="1">
        <f>'C32'!Q5</f>
        <v>0</v>
      </c>
      <c r="P36" s="1">
        <f>'C32'!R5</f>
        <v>237.8</v>
      </c>
      <c r="Q36" s="1">
        <f>'C32'!S5</f>
        <v>121.80000000000001</v>
      </c>
      <c r="R36" s="1">
        <f>'C32'!T5</f>
        <v>214.70000000000002</v>
      </c>
      <c r="S36" s="1">
        <f>'C32'!U5</f>
        <v>14.399999999999999</v>
      </c>
      <c r="T36" s="1">
        <f>'C32'!V5</f>
        <v>3318.08</v>
      </c>
      <c r="U36" s="1">
        <f>'C32'!W5</f>
        <v>2685.2</v>
      </c>
      <c r="V36" s="1">
        <f>'C32'!X5</f>
        <v>15635.959999999997</v>
      </c>
      <c r="W36" s="1">
        <f>'C32'!Y5</f>
        <v>21639.239999999998</v>
      </c>
      <c r="X36" s="1">
        <f>'C32'!Z5</f>
        <v>19</v>
      </c>
      <c r="Y36" s="1">
        <f t="shared" si="0"/>
        <v>31</v>
      </c>
      <c r="Z36" s="1">
        <f t="shared" si="1"/>
        <v>2163.924</v>
      </c>
      <c r="AA36" s="1">
        <f t="shared" si="2"/>
        <v>20</v>
      </c>
    </row>
    <row r="37" spans="1:27">
      <c r="A37" s="1" t="s">
        <v>108</v>
      </c>
      <c r="B37" s="1" t="str">
        <f>'C33'!B2</f>
        <v>科怀-伦纳德</v>
      </c>
      <c r="C37" s="1">
        <f>'C33'!C5</f>
        <v>8</v>
      </c>
      <c r="D37" s="1">
        <f>'C33'!D5</f>
        <v>7</v>
      </c>
      <c r="E37" s="1">
        <f>'C33'!G5</f>
        <v>0</v>
      </c>
      <c r="F37" s="1">
        <f>'C33'!H5</f>
        <v>0</v>
      </c>
      <c r="G37" s="1">
        <f>'C33'!I5</f>
        <v>2</v>
      </c>
      <c r="H37" s="1">
        <f>'C33'!J5</f>
        <v>0</v>
      </c>
      <c r="I37" s="1">
        <f>'C33'!K5</f>
        <v>0</v>
      </c>
      <c r="J37" s="1">
        <f>'C33'!L5</f>
        <v>1</v>
      </c>
      <c r="K37" s="1">
        <f>'C33'!M5</f>
        <v>0</v>
      </c>
      <c r="L37" s="1">
        <f>'C33'!N5</f>
        <v>2</v>
      </c>
      <c r="M37" s="1">
        <f>'C33'!O5</f>
        <v>3</v>
      </c>
      <c r="N37" s="1">
        <f>'C33'!P5</f>
        <v>2</v>
      </c>
      <c r="O37" s="1">
        <f>'C33'!Q5</f>
        <v>2</v>
      </c>
      <c r="P37" s="1">
        <f>'C33'!R5</f>
        <v>179.8</v>
      </c>
      <c r="Q37" s="1">
        <f>'C33'!S5</f>
        <v>65.7</v>
      </c>
      <c r="R37" s="1">
        <f>'C33'!T5</f>
        <v>160.69999999999999</v>
      </c>
      <c r="S37" s="1">
        <f>'C33'!U5</f>
        <v>17.5</v>
      </c>
      <c r="T37" s="1">
        <f>'C33'!V5</f>
        <v>1711.4200000000003</v>
      </c>
      <c r="U37" s="1">
        <f>'C33'!W5</f>
        <v>2926.55</v>
      </c>
      <c r="V37" s="1">
        <f>'C33'!X5</f>
        <v>26656.230000000003</v>
      </c>
      <c r="W37" s="1">
        <f>'C33'!Y5</f>
        <v>31294.2</v>
      </c>
      <c r="X37" s="1">
        <f>'C33'!Z5</f>
        <v>35</v>
      </c>
      <c r="Y37" s="1">
        <f t="shared" si="0"/>
        <v>19</v>
      </c>
      <c r="Z37" s="1">
        <f t="shared" si="1"/>
        <v>3911.7750000000001</v>
      </c>
      <c r="AA37" s="1">
        <f t="shared" si="2"/>
        <v>12</v>
      </c>
    </row>
    <row r="38" spans="1:27">
      <c r="A38" s="1" t="s">
        <v>109</v>
      </c>
      <c r="B38" s="1" t="str">
        <f>'C34'!B2</f>
        <v>克莱-汤普森</v>
      </c>
      <c r="C38" s="1">
        <f>'C34'!C5</f>
        <v>8</v>
      </c>
      <c r="D38" s="1">
        <f>'C34'!D5</f>
        <v>7</v>
      </c>
      <c r="E38" s="1">
        <f>'C34'!G5</f>
        <v>0</v>
      </c>
      <c r="F38" s="1">
        <f>'C34'!H5</f>
        <v>0</v>
      </c>
      <c r="G38" s="1">
        <f>'C34'!I5</f>
        <v>0</v>
      </c>
      <c r="H38" s="1">
        <f>'C34'!J5</f>
        <v>0</v>
      </c>
      <c r="I38" s="1">
        <f>'C34'!K5</f>
        <v>0</v>
      </c>
      <c r="J38" s="1">
        <f>'C34'!L5</f>
        <v>0</v>
      </c>
      <c r="K38" s="1">
        <f>'C34'!M5</f>
        <v>0</v>
      </c>
      <c r="L38" s="1">
        <f>'C34'!N5</f>
        <v>0</v>
      </c>
      <c r="M38" s="1">
        <f>'C34'!O5</f>
        <v>0</v>
      </c>
      <c r="N38" s="1">
        <f>'C34'!P5</f>
        <v>3</v>
      </c>
      <c r="O38" s="1">
        <f>'C34'!Q5</f>
        <v>0</v>
      </c>
      <c r="P38" s="1">
        <f>'C34'!R5</f>
        <v>131.30000000000001</v>
      </c>
      <c r="Q38" s="1">
        <f>'C34'!S5</f>
        <v>46.8</v>
      </c>
      <c r="R38" s="1">
        <f>'C34'!T5</f>
        <v>94.100000000000009</v>
      </c>
      <c r="S38" s="1">
        <f>'C34'!U5</f>
        <v>8.6</v>
      </c>
      <c r="T38" s="1">
        <f>'C34'!V5</f>
        <v>928.81</v>
      </c>
      <c r="U38" s="1">
        <f>'C34'!W5</f>
        <v>1127.05</v>
      </c>
      <c r="V38" s="1">
        <f>'C34'!X5</f>
        <v>3691.12</v>
      </c>
      <c r="W38" s="1">
        <f>'C34'!Y5</f>
        <v>5746.98</v>
      </c>
      <c r="X38" s="1">
        <f>'C34'!Z5</f>
        <v>12</v>
      </c>
      <c r="Y38" s="1">
        <f t="shared" si="0"/>
        <v>37</v>
      </c>
      <c r="Z38" s="1">
        <f t="shared" si="1"/>
        <v>718.37249999999995</v>
      </c>
      <c r="AA38" s="1">
        <f t="shared" si="2"/>
        <v>36</v>
      </c>
    </row>
    <row r="39" spans="1:27">
      <c r="A39" s="1" t="s">
        <v>110</v>
      </c>
      <c r="B39" s="1" t="str">
        <f>'C35'!B2</f>
        <v>姚明</v>
      </c>
      <c r="C39" s="1">
        <f>'C35'!C5</f>
        <v>8</v>
      </c>
      <c r="D39" s="1">
        <f>'C35'!D5</f>
        <v>4</v>
      </c>
      <c r="E39" s="1">
        <f>'C35'!G5</f>
        <v>0</v>
      </c>
      <c r="F39" s="1">
        <f>'C35'!H5</f>
        <v>0</v>
      </c>
      <c r="G39" s="1">
        <f>'C35'!I5</f>
        <v>0</v>
      </c>
      <c r="H39" s="1">
        <f>'C35'!J5</f>
        <v>0</v>
      </c>
      <c r="I39" s="1">
        <f>'C35'!K5</f>
        <v>0</v>
      </c>
      <c r="J39" s="1">
        <f>'C35'!L5</f>
        <v>0</v>
      </c>
      <c r="K39" s="1">
        <f>'C35'!M5</f>
        <v>0</v>
      </c>
      <c r="L39" s="1">
        <f>'C35'!N5</f>
        <v>0</v>
      </c>
      <c r="M39" s="1">
        <f>'C35'!O5</f>
        <v>0</v>
      </c>
      <c r="N39" s="1">
        <f>'C35'!P5</f>
        <v>0</v>
      </c>
      <c r="O39" s="1">
        <f>'C35'!Q5</f>
        <v>0</v>
      </c>
      <c r="P39" s="1">
        <f>'C35'!R5</f>
        <v>182.8</v>
      </c>
      <c r="Q39" s="1">
        <f>'C35'!S5</f>
        <v>65.999999999999986</v>
      </c>
      <c r="R39" s="1">
        <f>'C35'!T5</f>
        <v>85.3</v>
      </c>
      <c r="S39" s="1">
        <f>'C35'!U5</f>
        <v>3.2</v>
      </c>
      <c r="T39" s="1">
        <f>'C35'!V5</f>
        <v>1709.4899999999998</v>
      </c>
      <c r="U39" s="1">
        <f>'C35'!W5</f>
        <v>794.1</v>
      </c>
      <c r="V39" s="1">
        <f>'C35'!X5</f>
        <v>0</v>
      </c>
      <c r="W39" s="1">
        <f>'C35'!Y5</f>
        <v>2503.59</v>
      </c>
      <c r="X39" s="1">
        <f>'C35'!Z5</f>
        <v>0</v>
      </c>
      <c r="Y39" s="1">
        <f t="shared" si="0"/>
        <v>40</v>
      </c>
      <c r="Z39" s="1">
        <f t="shared" si="1"/>
        <v>312.94875000000002</v>
      </c>
      <c r="AA39" s="1">
        <f t="shared" si="2"/>
        <v>40</v>
      </c>
    </row>
    <row r="40" spans="1:27">
      <c r="A40" s="1" t="s">
        <v>111</v>
      </c>
      <c r="B40" s="1" t="str">
        <f>'C36'!B2</f>
        <v>特雷西-麦克格雷迪</v>
      </c>
      <c r="C40" s="1">
        <f>'C36'!C5</f>
        <v>15</v>
      </c>
      <c r="D40" s="1">
        <f>'C36'!D5</f>
        <v>9</v>
      </c>
      <c r="E40" s="1">
        <f>'C36'!G5</f>
        <v>0</v>
      </c>
      <c r="F40" s="1">
        <f>'C36'!H5</f>
        <v>2</v>
      </c>
      <c r="G40" s="1">
        <f>'C36'!I5</f>
        <v>0</v>
      </c>
      <c r="H40" s="1">
        <f>'C36'!J5</f>
        <v>0</v>
      </c>
      <c r="I40" s="1">
        <f>'C36'!K5</f>
        <v>0</v>
      </c>
      <c r="J40" s="1">
        <f>'C36'!L5</f>
        <v>0</v>
      </c>
      <c r="K40" s="1">
        <f>'C36'!M5</f>
        <v>0</v>
      </c>
      <c r="L40" s="1">
        <f>'C36'!N5</f>
        <v>2</v>
      </c>
      <c r="M40" s="1">
        <f>'C36'!O5</f>
        <v>0</v>
      </c>
      <c r="N40" s="1">
        <f>'C36'!P5</f>
        <v>0</v>
      </c>
      <c r="O40" s="1">
        <f>'C36'!Q5</f>
        <v>0</v>
      </c>
      <c r="P40" s="1">
        <f>'C36'!R5</f>
        <v>307.2</v>
      </c>
      <c r="Q40" s="1">
        <f>'C36'!S5</f>
        <v>96.999999999999972</v>
      </c>
      <c r="R40" s="1">
        <f>'C36'!T5</f>
        <v>181</v>
      </c>
      <c r="S40" s="1">
        <f>'C36'!U5</f>
        <v>4.5</v>
      </c>
      <c r="T40" s="1">
        <f>'C36'!V5</f>
        <v>2602.65</v>
      </c>
      <c r="U40" s="1">
        <f>'C36'!W5</f>
        <v>1492.1499999999999</v>
      </c>
      <c r="V40" s="1">
        <f>'C36'!X5</f>
        <v>3439.5800000000004</v>
      </c>
      <c r="W40" s="1">
        <f>'C36'!Y5</f>
        <v>7534.3799999999992</v>
      </c>
      <c r="X40" s="1">
        <f>'C36'!Z5</f>
        <v>6</v>
      </c>
      <c r="Y40" s="1">
        <f t="shared" si="0"/>
        <v>36</v>
      </c>
      <c r="Z40" s="1">
        <f t="shared" si="1"/>
        <v>502.29199999999997</v>
      </c>
      <c r="AA40" s="1">
        <f t="shared" si="2"/>
        <v>38</v>
      </c>
    </row>
    <row r="41" spans="1:27">
      <c r="A41" s="1" t="s">
        <v>112</v>
      </c>
      <c r="B41" s="1" t="str">
        <f>'C37'!B2</f>
        <v>卡梅罗-安东尼</v>
      </c>
      <c r="C41" s="1">
        <f>'C37'!C5</f>
        <v>16</v>
      </c>
      <c r="D41" s="1">
        <f>'C37'!D5</f>
        <v>11</v>
      </c>
      <c r="E41" s="1">
        <f>'C37'!G5</f>
        <v>0</v>
      </c>
      <c r="F41" s="1">
        <f>'C37'!H5</f>
        <v>1</v>
      </c>
      <c r="G41" s="1">
        <f>'C37'!I5</f>
        <v>0</v>
      </c>
      <c r="H41" s="1">
        <f>'C37'!J5</f>
        <v>0</v>
      </c>
      <c r="I41" s="1">
        <f>'C37'!K5</f>
        <v>0</v>
      </c>
      <c r="J41" s="1">
        <f>'C37'!L5</f>
        <v>0</v>
      </c>
      <c r="K41" s="1">
        <f>'C37'!M5</f>
        <v>0</v>
      </c>
      <c r="L41" s="1">
        <f>'C37'!N5</f>
        <v>0</v>
      </c>
      <c r="M41" s="1">
        <f>'C37'!O5</f>
        <v>0</v>
      </c>
      <c r="N41" s="1">
        <f>'C37'!P5</f>
        <v>0</v>
      </c>
      <c r="O41" s="1">
        <f>'C37'!Q5</f>
        <v>0</v>
      </c>
      <c r="P41" s="1">
        <f>'C37'!R5</f>
        <v>316.09999999999997</v>
      </c>
      <c r="Q41" s="1">
        <f>'C37'!S5</f>
        <v>101.10000000000002</v>
      </c>
      <c r="R41" s="1">
        <f>'C37'!T5</f>
        <v>193.6</v>
      </c>
      <c r="S41" s="1">
        <f>'C37'!U5</f>
        <v>5.8000000000000007</v>
      </c>
      <c r="T41" s="1">
        <f>'C37'!V5</f>
        <v>2442.4400000000005</v>
      </c>
      <c r="U41" s="1">
        <f>'C37'!W5</f>
        <v>1638</v>
      </c>
      <c r="V41" s="1">
        <f>'C37'!X5</f>
        <v>949.2</v>
      </c>
      <c r="W41" s="1">
        <f>'C37'!Y5</f>
        <v>5029.6400000000012</v>
      </c>
      <c r="X41" s="1">
        <f>'C37'!Z5</f>
        <v>2</v>
      </c>
      <c r="Y41" s="1">
        <f t="shared" si="0"/>
        <v>39</v>
      </c>
      <c r="Z41" s="1">
        <f t="shared" si="1"/>
        <v>314.35250000000008</v>
      </c>
      <c r="AA41" s="1">
        <f t="shared" si="2"/>
        <v>39</v>
      </c>
    </row>
    <row r="42" spans="1:27">
      <c r="A42" s="1" t="s">
        <v>113</v>
      </c>
      <c r="B42" s="1" t="str">
        <f>'C38'!B2</f>
        <v>保罗-乔治</v>
      </c>
      <c r="C42" s="1">
        <f>'C38'!C5</f>
        <v>9</v>
      </c>
      <c r="D42" s="1">
        <f>'C38'!D5</f>
        <v>8</v>
      </c>
      <c r="E42" s="1">
        <f>'C38'!G5</f>
        <v>0</v>
      </c>
      <c r="F42" s="1">
        <f>'C38'!H5</f>
        <v>0</v>
      </c>
      <c r="G42" s="1">
        <f>'C38'!I5</f>
        <v>0</v>
      </c>
      <c r="H42" s="1">
        <f>'C38'!J5</f>
        <v>0</v>
      </c>
      <c r="I42" s="1">
        <f>'C38'!K5</f>
        <v>0</v>
      </c>
      <c r="J42" s="1">
        <f>'C38'!L5</f>
        <v>1</v>
      </c>
      <c r="K42" s="1">
        <f>'C38'!M5</f>
        <v>0</v>
      </c>
      <c r="L42" s="1">
        <f>'C38'!N5</f>
        <v>1</v>
      </c>
      <c r="M42" s="1">
        <f>'C38'!O5</f>
        <v>2</v>
      </c>
      <c r="N42" s="1">
        <f>'C38'!P5</f>
        <v>0</v>
      </c>
      <c r="O42" s="1">
        <f>'C38'!Q5</f>
        <v>0</v>
      </c>
      <c r="P42" s="1">
        <f>'C38'!R5</f>
        <v>162.50000000000003</v>
      </c>
      <c r="Q42" s="1">
        <f>'C38'!S5</f>
        <v>65.3</v>
      </c>
      <c r="R42" s="1">
        <f>'C38'!T5</f>
        <v>141.29999999999998</v>
      </c>
      <c r="S42" s="1">
        <f>'C38'!U5</f>
        <v>8.1999999999999993</v>
      </c>
      <c r="T42" s="1">
        <f>'C38'!V5</f>
        <v>1440.3799999999999</v>
      </c>
      <c r="U42" s="1">
        <f>'C38'!W5</f>
        <v>1524.55</v>
      </c>
      <c r="V42" s="1">
        <f>'C38'!X5</f>
        <v>2376.71</v>
      </c>
      <c r="W42" s="1">
        <f>'C38'!Y5</f>
        <v>5341.6399999999994</v>
      </c>
      <c r="X42" s="1">
        <f>'C38'!Z5</f>
        <v>5</v>
      </c>
      <c r="Y42" s="1">
        <f t="shared" si="0"/>
        <v>38</v>
      </c>
      <c r="Z42" s="1">
        <f t="shared" si="1"/>
        <v>593.51555555555547</v>
      </c>
      <c r="AA42" s="1">
        <f t="shared" si="2"/>
        <v>37</v>
      </c>
    </row>
    <row r="43" spans="1:27">
      <c r="A43" s="1" t="s">
        <v>114</v>
      </c>
      <c r="B43" s="1" t="str">
        <f>'C39'!B2</f>
        <v>托尼-帕克</v>
      </c>
      <c r="C43" s="1">
        <f>'C39'!C5</f>
        <v>18</v>
      </c>
      <c r="D43" s="1">
        <f>'C39'!D5</f>
        <v>17</v>
      </c>
      <c r="E43" s="1">
        <f>'C39'!G5</f>
        <v>0</v>
      </c>
      <c r="F43" s="1">
        <f>'C39'!H5</f>
        <v>0</v>
      </c>
      <c r="G43" s="1">
        <f>'C39'!I5</f>
        <v>0</v>
      </c>
      <c r="H43" s="1">
        <f>'C39'!J5</f>
        <v>0</v>
      </c>
      <c r="I43" s="1">
        <f>'C39'!K5</f>
        <v>0</v>
      </c>
      <c r="J43" s="1">
        <f>'C39'!L5</f>
        <v>0</v>
      </c>
      <c r="K43" s="1">
        <f>'C39'!M5</f>
        <v>0</v>
      </c>
      <c r="L43" s="1">
        <f>'C39'!N5</f>
        <v>0</v>
      </c>
      <c r="M43" s="1">
        <f>'C39'!O5</f>
        <v>0</v>
      </c>
      <c r="N43" s="1">
        <f>'C39'!P5</f>
        <v>4</v>
      </c>
      <c r="O43" s="1">
        <f>'C39'!Q5</f>
        <v>1</v>
      </c>
      <c r="P43" s="1">
        <f>'C39'!R5</f>
        <v>321.5</v>
      </c>
      <c r="Q43" s="1">
        <f>'C39'!S5</f>
        <v>111.3</v>
      </c>
      <c r="R43" s="1">
        <f>'C39'!T5</f>
        <v>283.7</v>
      </c>
      <c r="S43" s="1">
        <f>'C39'!U5</f>
        <v>13.500000000000002</v>
      </c>
      <c r="T43" s="1">
        <f>'C39'!V5</f>
        <v>2442.2800000000002</v>
      </c>
      <c r="U43" s="1">
        <f>'C39'!W5</f>
        <v>2692.35</v>
      </c>
      <c r="V43" s="1">
        <f>'C39'!X5</f>
        <v>8937.7199999999975</v>
      </c>
      <c r="W43" s="1">
        <f>'C39'!Y5</f>
        <v>14072.349999999997</v>
      </c>
      <c r="X43" s="1">
        <f>'C39'!Z5</f>
        <v>24</v>
      </c>
      <c r="Y43" s="1">
        <f t="shared" si="0"/>
        <v>35</v>
      </c>
      <c r="Z43" s="1">
        <f t="shared" si="1"/>
        <v>781.79722222222199</v>
      </c>
      <c r="AA43" s="1">
        <f t="shared" si="2"/>
        <v>35</v>
      </c>
    </row>
    <row r="44" spans="1:27">
      <c r="A44" s="1" t="s">
        <v>115</v>
      </c>
      <c r="B44" s="1" t="str">
        <f>'C40'!B2</f>
        <v>马努-吉诺比利</v>
      </c>
      <c r="C44" s="1">
        <f>'C40'!C5</f>
        <v>16</v>
      </c>
      <c r="D44" s="1">
        <f>'C40'!D5</f>
        <v>15</v>
      </c>
      <c r="E44" s="1">
        <f>'C40'!G5</f>
        <v>0</v>
      </c>
      <c r="F44" s="1">
        <f>'C40'!H5</f>
        <v>0</v>
      </c>
      <c r="G44" s="1">
        <f>'C40'!I5</f>
        <v>0</v>
      </c>
      <c r="H44" s="1">
        <f>'C40'!J5</f>
        <v>0</v>
      </c>
      <c r="I44" s="1">
        <f>'C40'!K5</f>
        <v>0</v>
      </c>
      <c r="J44" s="1">
        <f>'C40'!L5</f>
        <v>0</v>
      </c>
      <c r="K44" s="1">
        <f>'C40'!M5</f>
        <v>0</v>
      </c>
      <c r="L44" s="1">
        <f>'C40'!N5</f>
        <v>0</v>
      </c>
      <c r="M44" s="1">
        <f>'C40'!O5</f>
        <v>0</v>
      </c>
      <c r="N44" s="1">
        <f>'C40'!P5</f>
        <v>4</v>
      </c>
      <c r="O44" s="1">
        <f>'C40'!Q5</f>
        <v>0</v>
      </c>
      <c r="P44" s="1">
        <f>'C40'!R5</f>
        <v>317.29999999999995</v>
      </c>
      <c r="Q44" s="1">
        <f>'C40'!S5</f>
        <v>106.50000000000001</v>
      </c>
      <c r="R44" s="1">
        <f>'C40'!T5</f>
        <v>282.50000000000006</v>
      </c>
      <c r="S44" s="1">
        <f>'C40'!U5</f>
        <v>20.9</v>
      </c>
      <c r="T44" s="1">
        <f>'C40'!V5</f>
        <v>2560.96</v>
      </c>
      <c r="U44" s="1">
        <f>'C40'!W5</f>
        <v>3521.8</v>
      </c>
      <c r="V44" s="1">
        <f>'C40'!X5</f>
        <v>9415.6</v>
      </c>
      <c r="W44" s="1">
        <f>'C40'!Y5</f>
        <v>15498.360000000004</v>
      </c>
      <c r="X44" s="1">
        <f>'C40'!Z5</f>
        <v>16</v>
      </c>
      <c r="Y44" s="1">
        <f t="shared" si="0"/>
        <v>33</v>
      </c>
      <c r="Z44" s="1">
        <f t="shared" si="1"/>
        <v>968.64750000000026</v>
      </c>
      <c r="AA44" s="1">
        <f t="shared" si="2"/>
        <v>34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O74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60" sqref="F60"/>
    </sheetView>
  </sheetViews>
  <sheetFormatPr defaultColWidth="14.6640625" defaultRowHeight="14"/>
  <sheetData>
    <row r="1" spans="1:41">
      <c r="A1" s="12" t="s">
        <v>124</v>
      </c>
      <c r="B1" s="10" t="str">
        <f>'C01'!B2</f>
        <v>迈克尔-乔丹</v>
      </c>
      <c r="C1" s="11" t="str">
        <f>'C03'!B2</f>
        <v>勒布朗-詹姆斯</v>
      </c>
      <c r="D1" s="10" t="str">
        <f>'C02'!B2</f>
        <v>卡里姆-贾巴尔</v>
      </c>
      <c r="E1" s="10" t="str">
        <f>'C04'!B2</f>
        <v>威尔特-张伯伦</v>
      </c>
      <c r="F1" s="10" t="str">
        <f>'C07'!B2</f>
        <v>蒂姆-邓肯</v>
      </c>
      <c r="G1" s="10" t="str">
        <f>'C08'!B2</f>
        <v>沙奎尔-奥尼尔</v>
      </c>
      <c r="H1" s="10" t="str">
        <f>'C06'!B2</f>
        <v>埃尔文-约翰逊</v>
      </c>
      <c r="I1" s="10" t="str">
        <f>'C10'!B2</f>
        <v>科比-布莱恩特</v>
      </c>
      <c r="J1" s="10" t="str">
        <f>'C16'!B2</f>
        <v>朱利叶斯-欧文</v>
      </c>
      <c r="K1" s="10" t="str">
        <f>'C11'!B2</f>
        <v>哈基姆-奥拉朱旺</v>
      </c>
      <c r="L1" s="10" t="str">
        <f>'C05'!B2</f>
        <v>比尔-拉塞尔</v>
      </c>
      <c r="M1" s="10" t="str">
        <f>'C09'!B2</f>
        <v>拉里-伯德</v>
      </c>
      <c r="N1" s="10" t="str">
        <f>'C14'!B2</f>
        <v>卡尔-马龙</v>
      </c>
      <c r="O1" s="11" t="str">
        <f>'C18'!B2</f>
        <v>凯文-杜兰特</v>
      </c>
      <c r="P1" s="10" t="str">
        <f>'C21'!B2</f>
        <v>凯文-加内特</v>
      </c>
      <c r="Q1" s="11" t="str">
        <f>'C29'!B2</f>
        <v>克里斯-保罗</v>
      </c>
      <c r="R1" s="10" t="str">
        <f>'C13'!B2</f>
        <v>摩西-马龙</v>
      </c>
      <c r="S1" s="10" t="str">
        <f>'C12'!B2</f>
        <v>杰里-韦斯特</v>
      </c>
      <c r="T1" s="10" t="str">
        <f>'C20'!B2</f>
        <v>大卫-罗宾逊</v>
      </c>
      <c r="U1" s="10" t="str">
        <f>'C19'!B2</f>
        <v>奥斯卡-罗波特森</v>
      </c>
      <c r="V1" s="10" t="str">
        <f>'C17'!B2</f>
        <v>德克-诺维茨基</v>
      </c>
      <c r="W1" s="10" t="str">
        <f>'C26'!B2</f>
        <v>斯科蒂-皮蓬</v>
      </c>
      <c r="X1" s="10" t="str">
        <f>'C27'!B2</f>
        <v>约翰-斯托克顿</v>
      </c>
      <c r="Y1" s="11" t="str">
        <f>'C25'!B2</f>
        <v>斯蒂芬-库里</v>
      </c>
      <c r="Z1" s="10" t="str">
        <f>'C23'!B2</f>
        <v>查尔斯-巴克利</v>
      </c>
      <c r="AA1" s="10" t="str">
        <f>'C15'!B2</f>
        <v>鲍勃-佩蒂特</v>
      </c>
      <c r="AB1" s="10" t="str">
        <f>'C24'!B2</f>
        <v>德维恩-韦德</v>
      </c>
      <c r="AC1" s="10" t="str">
        <f>'C22'!B2</f>
        <v>约翰-哈福利切克</v>
      </c>
      <c r="AD1" s="11" t="str">
        <f>'C33'!B2</f>
        <v>科怀-伦纳德</v>
      </c>
      <c r="AE1" s="11" t="str">
        <f>'C32'!B2</f>
        <v>詹姆斯-哈登</v>
      </c>
      <c r="AF1" s="10" t="str">
        <f>'C28'!B2</f>
        <v>史蒂夫-纳什</v>
      </c>
      <c r="AG1" s="10" t="str">
        <f>'C40'!B2</f>
        <v>马努-吉诺比利</v>
      </c>
      <c r="AH1" s="10" t="str">
        <f>'C30'!B2</f>
        <v>阿伦-艾弗森</v>
      </c>
      <c r="AI1" s="11" t="str">
        <f>'C31'!B2</f>
        <v>拉塞尔-威斯布鲁克</v>
      </c>
      <c r="AJ1" s="10" t="str">
        <f>'C39'!B2</f>
        <v>托尼-帕克</v>
      </c>
      <c r="AK1" s="10" t="str">
        <f>'C36'!B2</f>
        <v>特雷西-麦克格雷迪</v>
      </c>
      <c r="AL1" s="10" t="str">
        <f>'C37'!B2</f>
        <v>卡梅罗-安东尼</v>
      </c>
      <c r="AM1" s="10" t="str">
        <f>'C38'!B2</f>
        <v>保罗-乔治</v>
      </c>
      <c r="AN1" s="11" t="str">
        <f>'C34'!B2</f>
        <v>克莱-汤普森</v>
      </c>
      <c r="AO1" s="10" t="str">
        <f>'C35'!B2</f>
        <v>姚明</v>
      </c>
    </row>
    <row r="2" spans="1:41" ht="16.5">
      <c r="A2" s="1">
        <v>1947</v>
      </c>
      <c r="B2">
        <f>'C01'!Y7</f>
        <v>0</v>
      </c>
      <c r="C2">
        <f>'C03'!Y7</f>
        <v>0</v>
      </c>
      <c r="D2">
        <f>'C02'!Y7</f>
        <v>0</v>
      </c>
      <c r="E2">
        <f>'C04'!Y7</f>
        <v>0</v>
      </c>
      <c r="F2">
        <f>'C07'!Y7</f>
        <v>0</v>
      </c>
      <c r="G2">
        <f>'C08'!Y7</f>
        <v>0</v>
      </c>
      <c r="H2">
        <f>'C06'!Y7</f>
        <v>0</v>
      </c>
      <c r="I2">
        <f>'C10'!Y7</f>
        <v>0</v>
      </c>
      <c r="J2">
        <f>'C16'!Y7</f>
        <v>0</v>
      </c>
      <c r="K2">
        <f>'C11'!Y7</f>
        <v>0</v>
      </c>
      <c r="L2">
        <f>'C05'!Y7</f>
        <v>0</v>
      </c>
      <c r="M2">
        <f>'C09'!Y7</f>
        <v>0</v>
      </c>
      <c r="N2">
        <f>'C14'!Y7</f>
        <v>0</v>
      </c>
      <c r="O2">
        <f>'C18'!Y7</f>
        <v>0</v>
      </c>
      <c r="P2">
        <f>'C21'!Y7</f>
        <v>0</v>
      </c>
      <c r="Q2">
        <f>'C29'!Y7</f>
        <v>0</v>
      </c>
      <c r="R2">
        <f>'C13'!Y7</f>
        <v>0</v>
      </c>
      <c r="S2">
        <f>'C12'!Y7</f>
        <v>0</v>
      </c>
      <c r="T2">
        <f>'C20'!Y7</f>
        <v>0</v>
      </c>
      <c r="U2">
        <f>'C19'!Y7</f>
        <v>0</v>
      </c>
      <c r="V2">
        <f>'C17'!Y7</f>
        <v>0</v>
      </c>
      <c r="W2">
        <f>'C26'!Y7</f>
        <v>0</v>
      </c>
      <c r="X2">
        <f>'C27'!Y7</f>
        <v>0</v>
      </c>
      <c r="Y2">
        <f>'C25'!Y7</f>
        <v>0</v>
      </c>
      <c r="Z2">
        <f>'C23'!Y7</f>
        <v>0</v>
      </c>
      <c r="AA2">
        <f>'C15'!Y7</f>
        <v>0</v>
      </c>
      <c r="AB2">
        <f>'C24'!Y7</f>
        <v>0</v>
      </c>
      <c r="AC2">
        <f>'C22'!Y7</f>
        <v>0</v>
      </c>
      <c r="AD2">
        <f>'C33'!Y7</f>
        <v>0</v>
      </c>
      <c r="AE2">
        <f>'C32'!Y7</f>
        <v>0</v>
      </c>
      <c r="AF2">
        <f>'C28'!Y7</f>
        <v>0</v>
      </c>
      <c r="AG2">
        <f>'C40'!Y7</f>
        <v>0</v>
      </c>
      <c r="AH2">
        <f>'C30'!Y7</f>
        <v>0</v>
      </c>
      <c r="AI2">
        <f>'C31'!Y7</f>
        <v>0</v>
      </c>
      <c r="AJ2">
        <f>'C39'!Y7</f>
        <v>0</v>
      </c>
      <c r="AK2">
        <f>'C36'!Y7</f>
        <v>0</v>
      </c>
      <c r="AL2">
        <f>'C37'!Y7</f>
        <v>0</v>
      </c>
      <c r="AM2">
        <f>'C38'!Y7</f>
        <v>0</v>
      </c>
      <c r="AN2">
        <f>'C34'!Y7</f>
        <v>0</v>
      </c>
      <c r="AO2">
        <f>'C35'!Y7</f>
        <v>0</v>
      </c>
    </row>
    <row r="3" spans="1:41" ht="16.5">
      <c r="A3" s="1">
        <v>1948</v>
      </c>
      <c r="B3">
        <f>'C01'!Y8</f>
        <v>0</v>
      </c>
      <c r="C3">
        <f>'C03'!Y8</f>
        <v>0</v>
      </c>
      <c r="D3">
        <f>'C02'!Y8</f>
        <v>0</v>
      </c>
      <c r="E3">
        <f>'C04'!Y8</f>
        <v>0</v>
      </c>
      <c r="F3">
        <f>'C07'!Y8</f>
        <v>0</v>
      </c>
      <c r="G3">
        <f>'C08'!Y8</f>
        <v>0</v>
      </c>
      <c r="H3">
        <f>'C06'!Y8</f>
        <v>0</v>
      </c>
      <c r="I3">
        <f>'C10'!Y8</f>
        <v>0</v>
      </c>
      <c r="J3">
        <f>'C16'!Y8</f>
        <v>0</v>
      </c>
      <c r="K3">
        <f>'C11'!Y8</f>
        <v>0</v>
      </c>
      <c r="L3">
        <f>'C05'!Y8</f>
        <v>0</v>
      </c>
      <c r="M3">
        <f>'C09'!Y8</f>
        <v>0</v>
      </c>
      <c r="N3">
        <f>'C14'!Y8</f>
        <v>0</v>
      </c>
      <c r="O3">
        <f>'C18'!Y8</f>
        <v>0</v>
      </c>
      <c r="P3">
        <f>'C21'!Y8</f>
        <v>0</v>
      </c>
      <c r="Q3">
        <f>'C29'!Y8</f>
        <v>0</v>
      </c>
      <c r="R3">
        <f>'C13'!Y8</f>
        <v>0</v>
      </c>
      <c r="S3">
        <f>'C12'!Y8</f>
        <v>0</v>
      </c>
      <c r="T3">
        <f>'C20'!Y8</f>
        <v>0</v>
      </c>
      <c r="U3">
        <f>'C19'!Y8</f>
        <v>0</v>
      </c>
      <c r="V3">
        <f>'C17'!Y8</f>
        <v>0</v>
      </c>
      <c r="W3">
        <f>'C26'!Y8</f>
        <v>0</v>
      </c>
      <c r="X3">
        <f>'C27'!Y8</f>
        <v>0</v>
      </c>
      <c r="Y3">
        <f>'C25'!Y8</f>
        <v>0</v>
      </c>
      <c r="Z3">
        <f>'C23'!Y8</f>
        <v>0</v>
      </c>
      <c r="AA3">
        <f>'C15'!Y8</f>
        <v>0</v>
      </c>
      <c r="AB3">
        <f>'C24'!Y8</f>
        <v>0</v>
      </c>
      <c r="AC3">
        <f>'C22'!Y8</f>
        <v>0</v>
      </c>
      <c r="AD3">
        <f>'C33'!Y8</f>
        <v>0</v>
      </c>
      <c r="AE3">
        <f>'C32'!Y8</f>
        <v>0</v>
      </c>
      <c r="AF3">
        <f>'C28'!Y8</f>
        <v>0</v>
      </c>
      <c r="AG3">
        <f>'C40'!Y8</f>
        <v>0</v>
      </c>
      <c r="AH3">
        <f>'C30'!Y8</f>
        <v>0</v>
      </c>
      <c r="AI3">
        <f>'C31'!Y8</f>
        <v>0</v>
      </c>
      <c r="AJ3">
        <f>'C39'!Y8</f>
        <v>0</v>
      </c>
      <c r="AK3">
        <f>'C36'!Y8</f>
        <v>0</v>
      </c>
      <c r="AL3">
        <f>'C37'!Y8</f>
        <v>0</v>
      </c>
      <c r="AM3">
        <f>'C38'!Y8</f>
        <v>0</v>
      </c>
      <c r="AN3">
        <f>'C34'!Y8</f>
        <v>0</v>
      </c>
      <c r="AO3">
        <f>'C35'!Y8</f>
        <v>0</v>
      </c>
    </row>
    <row r="4" spans="1:41" ht="16.5">
      <c r="A4" s="1">
        <v>1949</v>
      </c>
      <c r="B4">
        <f>'C01'!Y9</f>
        <v>0</v>
      </c>
      <c r="C4">
        <f>'C03'!Y9</f>
        <v>0</v>
      </c>
      <c r="D4">
        <f>'C02'!Y9</f>
        <v>0</v>
      </c>
      <c r="E4">
        <f>'C04'!Y9</f>
        <v>0</v>
      </c>
      <c r="F4">
        <f>'C07'!Y9</f>
        <v>0</v>
      </c>
      <c r="G4">
        <f>'C08'!Y9</f>
        <v>0</v>
      </c>
      <c r="H4">
        <f>'C06'!Y9</f>
        <v>0</v>
      </c>
      <c r="I4">
        <f>'C10'!Y9</f>
        <v>0</v>
      </c>
      <c r="J4">
        <f>'C16'!Y9</f>
        <v>0</v>
      </c>
      <c r="K4">
        <f>'C11'!Y9</f>
        <v>0</v>
      </c>
      <c r="L4">
        <f>'C05'!Y9</f>
        <v>0</v>
      </c>
      <c r="M4">
        <f>'C09'!Y9</f>
        <v>0</v>
      </c>
      <c r="N4">
        <f>'C14'!Y9</f>
        <v>0</v>
      </c>
      <c r="O4">
        <f>'C18'!Y9</f>
        <v>0</v>
      </c>
      <c r="P4">
        <f>'C21'!Y9</f>
        <v>0</v>
      </c>
      <c r="Q4">
        <f>'C29'!Y9</f>
        <v>0</v>
      </c>
      <c r="R4">
        <f>'C13'!Y9</f>
        <v>0</v>
      </c>
      <c r="S4">
        <f>'C12'!Y9</f>
        <v>0</v>
      </c>
      <c r="T4">
        <f>'C20'!Y9</f>
        <v>0</v>
      </c>
      <c r="U4">
        <f>'C19'!Y9</f>
        <v>0</v>
      </c>
      <c r="V4">
        <f>'C17'!Y9</f>
        <v>0</v>
      </c>
      <c r="W4">
        <f>'C26'!Y9</f>
        <v>0</v>
      </c>
      <c r="X4">
        <f>'C27'!Y9</f>
        <v>0</v>
      </c>
      <c r="Y4">
        <f>'C25'!Y9</f>
        <v>0</v>
      </c>
      <c r="Z4">
        <f>'C23'!Y9</f>
        <v>0</v>
      </c>
      <c r="AA4">
        <f>'C15'!Y9</f>
        <v>0</v>
      </c>
      <c r="AB4">
        <f>'C24'!Y9</f>
        <v>0</v>
      </c>
      <c r="AC4">
        <f>'C22'!Y9</f>
        <v>0</v>
      </c>
      <c r="AD4">
        <f>'C33'!Y9</f>
        <v>0</v>
      </c>
      <c r="AE4">
        <f>'C32'!Y9</f>
        <v>0</v>
      </c>
      <c r="AF4">
        <f>'C28'!Y9</f>
        <v>0</v>
      </c>
      <c r="AG4">
        <f>'C40'!Y9</f>
        <v>0</v>
      </c>
      <c r="AH4">
        <f>'C30'!Y9</f>
        <v>0</v>
      </c>
      <c r="AI4">
        <f>'C31'!Y9</f>
        <v>0</v>
      </c>
      <c r="AJ4">
        <f>'C39'!Y9</f>
        <v>0</v>
      </c>
      <c r="AK4">
        <f>'C36'!Y9</f>
        <v>0</v>
      </c>
      <c r="AL4">
        <f>'C37'!Y9</f>
        <v>0</v>
      </c>
      <c r="AM4">
        <f>'C38'!Y9</f>
        <v>0</v>
      </c>
      <c r="AN4">
        <f>'C34'!Y9</f>
        <v>0</v>
      </c>
      <c r="AO4">
        <f>'C35'!Y9</f>
        <v>0</v>
      </c>
    </row>
    <row r="5" spans="1:41" ht="16.5">
      <c r="A5" s="1">
        <v>1950</v>
      </c>
      <c r="B5">
        <f>'C01'!Y10</f>
        <v>0</v>
      </c>
      <c r="C5">
        <f>'C03'!Y10</f>
        <v>0</v>
      </c>
      <c r="D5">
        <f>'C02'!Y10</f>
        <v>0</v>
      </c>
      <c r="E5">
        <f>'C04'!Y10</f>
        <v>0</v>
      </c>
      <c r="F5">
        <f>'C07'!Y10</f>
        <v>0</v>
      </c>
      <c r="G5">
        <f>'C08'!Y10</f>
        <v>0</v>
      </c>
      <c r="H5">
        <f>'C06'!Y10</f>
        <v>0</v>
      </c>
      <c r="I5">
        <f>'C10'!Y10</f>
        <v>0</v>
      </c>
      <c r="J5">
        <f>'C16'!Y10</f>
        <v>0</v>
      </c>
      <c r="K5">
        <f>'C11'!Y10</f>
        <v>0</v>
      </c>
      <c r="L5">
        <f>'C05'!Y10</f>
        <v>0</v>
      </c>
      <c r="M5">
        <f>'C09'!Y10</f>
        <v>0</v>
      </c>
      <c r="N5">
        <f>'C14'!Y10</f>
        <v>0</v>
      </c>
      <c r="O5">
        <f>'C18'!Y10</f>
        <v>0</v>
      </c>
      <c r="P5">
        <f>'C21'!Y10</f>
        <v>0</v>
      </c>
      <c r="Q5">
        <f>'C29'!Y10</f>
        <v>0</v>
      </c>
      <c r="R5">
        <f>'C13'!Y10</f>
        <v>0</v>
      </c>
      <c r="S5">
        <f>'C12'!Y10</f>
        <v>0</v>
      </c>
      <c r="T5">
        <f>'C20'!Y10</f>
        <v>0</v>
      </c>
      <c r="U5">
        <f>'C19'!Y10</f>
        <v>0</v>
      </c>
      <c r="V5">
        <f>'C17'!Y10</f>
        <v>0</v>
      </c>
      <c r="W5">
        <f>'C26'!Y10</f>
        <v>0</v>
      </c>
      <c r="X5">
        <f>'C27'!Y10</f>
        <v>0</v>
      </c>
      <c r="Y5">
        <f>'C25'!Y10</f>
        <v>0</v>
      </c>
      <c r="Z5">
        <f>'C23'!Y10</f>
        <v>0</v>
      </c>
      <c r="AA5">
        <f>'C15'!Y10</f>
        <v>0</v>
      </c>
      <c r="AB5">
        <f>'C24'!Y10</f>
        <v>0</v>
      </c>
      <c r="AC5">
        <f>'C22'!Y10</f>
        <v>0</v>
      </c>
      <c r="AD5">
        <f>'C33'!Y10</f>
        <v>0</v>
      </c>
      <c r="AE5">
        <f>'C32'!Y10</f>
        <v>0</v>
      </c>
      <c r="AF5">
        <f>'C28'!Y10</f>
        <v>0</v>
      </c>
      <c r="AG5">
        <f>'C40'!Y10</f>
        <v>0</v>
      </c>
      <c r="AH5">
        <f>'C30'!Y10</f>
        <v>0</v>
      </c>
      <c r="AI5">
        <f>'C31'!Y10</f>
        <v>0</v>
      </c>
      <c r="AJ5">
        <f>'C39'!Y10</f>
        <v>0</v>
      </c>
      <c r="AK5">
        <f>'C36'!Y10</f>
        <v>0</v>
      </c>
      <c r="AL5">
        <f>'C37'!Y10</f>
        <v>0</v>
      </c>
      <c r="AM5">
        <f>'C38'!Y10</f>
        <v>0</v>
      </c>
      <c r="AN5">
        <f>'C34'!Y10</f>
        <v>0</v>
      </c>
      <c r="AO5">
        <f>'C35'!Y10</f>
        <v>0</v>
      </c>
    </row>
    <row r="6" spans="1:41" ht="16.5">
      <c r="A6" s="1">
        <v>1951</v>
      </c>
      <c r="B6">
        <f>'C01'!Y11</f>
        <v>0</v>
      </c>
      <c r="C6">
        <f>'C03'!Y11</f>
        <v>0</v>
      </c>
      <c r="D6">
        <f>'C02'!Y11</f>
        <v>0</v>
      </c>
      <c r="E6">
        <f>'C04'!Y11</f>
        <v>0</v>
      </c>
      <c r="F6">
        <f>'C07'!Y11</f>
        <v>0</v>
      </c>
      <c r="G6">
        <f>'C08'!Y11</f>
        <v>0</v>
      </c>
      <c r="H6">
        <f>'C06'!Y11</f>
        <v>0</v>
      </c>
      <c r="I6">
        <f>'C10'!Y11</f>
        <v>0</v>
      </c>
      <c r="J6">
        <f>'C16'!Y11</f>
        <v>0</v>
      </c>
      <c r="K6">
        <f>'C11'!Y11</f>
        <v>0</v>
      </c>
      <c r="L6">
        <f>'C05'!Y11</f>
        <v>0</v>
      </c>
      <c r="M6">
        <f>'C09'!Y11</f>
        <v>0</v>
      </c>
      <c r="N6">
        <f>'C14'!Y11</f>
        <v>0</v>
      </c>
      <c r="O6">
        <f>'C18'!Y11</f>
        <v>0</v>
      </c>
      <c r="P6">
        <f>'C21'!Y11</f>
        <v>0</v>
      </c>
      <c r="Q6">
        <f>'C29'!Y11</f>
        <v>0</v>
      </c>
      <c r="R6">
        <f>'C13'!Y11</f>
        <v>0</v>
      </c>
      <c r="S6">
        <f>'C12'!Y11</f>
        <v>0</v>
      </c>
      <c r="T6">
        <f>'C20'!Y11</f>
        <v>0</v>
      </c>
      <c r="U6">
        <f>'C19'!Y11</f>
        <v>0</v>
      </c>
      <c r="V6">
        <f>'C17'!Y11</f>
        <v>0</v>
      </c>
      <c r="W6">
        <f>'C26'!Y11</f>
        <v>0</v>
      </c>
      <c r="X6">
        <f>'C27'!Y11</f>
        <v>0</v>
      </c>
      <c r="Y6">
        <f>'C25'!Y11</f>
        <v>0</v>
      </c>
      <c r="Z6">
        <f>'C23'!Y11</f>
        <v>0</v>
      </c>
      <c r="AA6">
        <f>'C15'!Y11</f>
        <v>0</v>
      </c>
      <c r="AB6">
        <f>'C24'!Y11</f>
        <v>0</v>
      </c>
      <c r="AC6">
        <f>'C22'!Y11</f>
        <v>0</v>
      </c>
      <c r="AD6">
        <f>'C33'!Y11</f>
        <v>0</v>
      </c>
      <c r="AE6">
        <f>'C32'!Y11</f>
        <v>0</v>
      </c>
      <c r="AF6">
        <f>'C28'!Y11</f>
        <v>0</v>
      </c>
      <c r="AG6">
        <f>'C40'!Y11</f>
        <v>0</v>
      </c>
      <c r="AH6">
        <f>'C30'!Y11</f>
        <v>0</v>
      </c>
      <c r="AI6">
        <f>'C31'!Y11</f>
        <v>0</v>
      </c>
      <c r="AJ6">
        <f>'C39'!Y11</f>
        <v>0</v>
      </c>
      <c r="AK6">
        <f>'C36'!Y11</f>
        <v>0</v>
      </c>
      <c r="AL6">
        <f>'C37'!Y11</f>
        <v>0</v>
      </c>
      <c r="AM6">
        <f>'C38'!Y11</f>
        <v>0</v>
      </c>
      <c r="AN6">
        <f>'C34'!Y11</f>
        <v>0</v>
      </c>
      <c r="AO6">
        <f>'C35'!Y11</f>
        <v>0</v>
      </c>
    </row>
    <row r="7" spans="1:41" ht="16.5">
      <c r="A7" s="1">
        <v>1952</v>
      </c>
      <c r="B7">
        <f>'C01'!Y12</f>
        <v>0</v>
      </c>
      <c r="C7">
        <f>'C03'!Y12</f>
        <v>0</v>
      </c>
      <c r="D7">
        <f>'C02'!Y12</f>
        <v>0</v>
      </c>
      <c r="E7">
        <f>'C04'!Y12</f>
        <v>0</v>
      </c>
      <c r="F7">
        <f>'C07'!Y12</f>
        <v>0</v>
      </c>
      <c r="G7">
        <f>'C08'!Y12</f>
        <v>0</v>
      </c>
      <c r="H7">
        <f>'C06'!Y12</f>
        <v>0</v>
      </c>
      <c r="I7">
        <f>'C10'!Y12</f>
        <v>0</v>
      </c>
      <c r="J7">
        <f>'C16'!Y12</f>
        <v>0</v>
      </c>
      <c r="K7">
        <f>'C11'!Y12</f>
        <v>0</v>
      </c>
      <c r="L7">
        <f>'C05'!Y12</f>
        <v>0</v>
      </c>
      <c r="M7">
        <f>'C09'!Y12</f>
        <v>0</v>
      </c>
      <c r="N7">
        <f>'C14'!Y12</f>
        <v>0</v>
      </c>
      <c r="O7">
        <f>'C18'!Y12</f>
        <v>0</v>
      </c>
      <c r="P7">
        <f>'C21'!Y12</f>
        <v>0</v>
      </c>
      <c r="Q7">
        <f>'C29'!Y12</f>
        <v>0</v>
      </c>
      <c r="R7">
        <f>'C13'!Y12</f>
        <v>0</v>
      </c>
      <c r="S7">
        <f>'C12'!Y12</f>
        <v>0</v>
      </c>
      <c r="T7">
        <f>'C20'!Y12</f>
        <v>0</v>
      </c>
      <c r="U7">
        <f>'C19'!Y12</f>
        <v>0</v>
      </c>
      <c r="V7">
        <f>'C17'!Y12</f>
        <v>0</v>
      </c>
      <c r="W7">
        <f>'C26'!Y12</f>
        <v>0</v>
      </c>
      <c r="X7">
        <f>'C27'!Y12</f>
        <v>0</v>
      </c>
      <c r="Y7">
        <f>'C25'!Y12</f>
        <v>0</v>
      </c>
      <c r="Z7">
        <f>'C23'!Y12</f>
        <v>0</v>
      </c>
      <c r="AA7">
        <f>'C15'!Y12</f>
        <v>0</v>
      </c>
      <c r="AB7">
        <f>'C24'!Y12</f>
        <v>0</v>
      </c>
      <c r="AC7">
        <f>'C22'!Y12</f>
        <v>0</v>
      </c>
      <c r="AD7">
        <f>'C33'!Y12</f>
        <v>0</v>
      </c>
      <c r="AE7">
        <f>'C32'!Y12</f>
        <v>0</v>
      </c>
      <c r="AF7">
        <f>'C28'!Y12</f>
        <v>0</v>
      </c>
      <c r="AG7">
        <f>'C40'!Y12</f>
        <v>0</v>
      </c>
      <c r="AH7">
        <f>'C30'!Y12</f>
        <v>0</v>
      </c>
      <c r="AI7">
        <f>'C31'!Y12</f>
        <v>0</v>
      </c>
      <c r="AJ7">
        <f>'C39'!Y12</f>
        <v>0</v>
      </c>
      <c r="AK7">
        <f>'C36'!Y12</f>
        <v>0</v>
      </c>
      <c r="AL7">
        <f>'C37'!Y12</f>
        <v>0</v>
      </c>
      <c r="AM7">
        <f>'C38'!Y12</f>
        <v>0</v>
      </c>
      <c r="AN7">
        <f>'C34'!Y12</f>
        <v>0</v>
      </c>
      <c r="AO7">
        <f>'C35'!Y12</f>
        <v>0</v>
      </c>
    </row>
    <row r="8" spans="1:41" ht="16.5">
      <c r="A8" s="1">
        <v>1953</v>
      </c>
      <c r="B8">
        <f>'C01'!Y13</f>
        <v>0</v>
      </c>
      <c r="C8">
        <f>'C03'!Y13</f>
        <v>0</v>
      </c>
      <c r="D8">
        <f>'C02'!Y13</f>
        <v>0</v>
      </c>
      <c r="E8">
        <f>'C04'!Y13</f>
        <v>0</v>
      </c>
      <c r="F8">
        <f>'C07'!Y13</f>
        <v>0</v>
      </c>
      <c r="G8">
        <f>'C08'!Y13</f>
        <v>0</v>
      </c>
      <c r="H8">
        <f>'C06'!Y13</f>
        <v>0</v>
      </c>
      <c r="I8">
        <f>'C10'!Y13</f>
        <v>0</v>
      </c>
      <c r="J8">
        <f>'C16'!Y13</f>
        <v>0</v>
      </c>
      <c r="K8">
        <f>'C11'!Y13</f>
        <v>0</v>
      </c>
      <c r="L8">
        <f>'C05'!Y13</f>
        <v>0</v>
      </c>
      <c r="M8">
        <f>'C09'!Y13</f>
        <v>0</v>
      </c>
      <c r="N8">
        <f>'C14'!Y13</f>
        <v>0</v>
      </c>
      <c r="O8">
        <f>'C18'!Y13</f>
        <v>0</v>
      </c>
      <c r="P8">
        <f>'C21'!Y13</f>
        <v>0</v>
      </c>
      <c r="Q8">
        <f>'C29'!Y13</f>
        <v>0</v>
      </c>
      <c r="R8">
        <f>'C13'!Y13</f>
        <v>0</v>
      </c>
      <c r="S8">
        <f>'C12'!Y13</f>
        <v>0</v>
      </c>
      <c r="T8">
        <f>'C20'!Y13</f>
        <v>0</v>
      </c>
      <c r="U8">
        <f>'C19'!Y13</f>
        <v>0</v>
      </c>
      <c r="V8">
        <f>'C17'!Y13</f>
        <v>0</v>
      </c>
      <c r="W8">
        <f>'C26'!Y13</f>
        <v>0</v>
      </c>
      <c r="X8">
        <f>'C27'!Y13</f>
        <v>0</v>
      </c>
      <c r="Y8">
        <f>'C25'!Y13</f>
        <v>0</v>
      </c>
      <c r="Z8">
        <f>'C23'!Y13</f>
        <v>0</v>
      </c>
      <c r="AA8">
        <f>'C15'!Y13</f>
        <v>0</v>
      </c>
      <c r="AB8">
        <f>'C24'!Y13</f>
        <v>0</v>
      </c>
      <c r="AC8">
        <f>'C22'!Y13</f>
        <v>0</v>
      </c>
      <c r="AD8">
        <f>'C33'!Y13</f>
        <v>0</v>
      </c>
      <c r="AE8">
        <f>'C32'!Y13</f>
        <v>0</v>
      </c>
      <c r="AF8">
        <f>'C28'!Y13</f>
        <v>0</v>
      </c>
      <c r="AG8">
        <f>'C40'!Y13</f>
        <v>0</v>
      </c>
      <c r="AH8">
        <f>'C30'!Y13</f>
        <v>0</v>
      </c>
      <c r="AI8">
        <f>'C31'!Y13</f>
        <v>0</v>
      </c>
      <c r="AJ8">
        <f>'C39'!Y13</f>
        <v>0</v>
      </c>
      <c r="AK8">
        <f>'C36'!Y13</f>
        <v>0</v>
      </c>
      <c r="AL8">
        <f>'C37'!Y13</f>
        <v>0</v>
      </c>
      <c r="AM8">
        <f>'C38'!Y13</f>
        <v>0</v>
      </c>
      <c r="AN8">
        <f>'C34'!Y13</f>
        <v>0</v>
      </c>
      <c r="AO8">
        <f>'C35'!Y13</f>
        <v>0</v>
      </c>
    </row>
    <row r="9" spans="1:41" ht="16.5">
      <c r="A9" s="1">
        <v>1954</v>
      </c>
      <c r="B9">
        <f>'C01'!Y14</f>
        <v>0</v>
      </c>
      <c r="C9">
        <f>'C03'!Y14</f>
        <v>0</v>
      </c>
      <c r="D9">
        <f>'C02'!Y14</f>
        <v>0</v>
      </c>
      <c r="E9">
        <f>'C04'!Y14</f>
        <v>0</v>
      </c>
      <c r="F9">
        <f>'C07'!Y14</f>
        <v>0</v>
      </c>
      <c r="G9">
        <f>'C08'!Y14</f>
        <v>0</v>
      </c>
      <c r="H9">
        <f>'C06'!Y14</f>
        <v>0</v>
      </c>
      <c r="I9">
        <f>'C10'!Y14</f>
        <v>0</v>
      </c>
      <c r="J9">
        <f>'C16'!Y14</f>
        <v>0</v>
      </c>
      <c r="K9">
        <f>'C11'!Y14</f>
        <v>0</v>
      </c>
      <c r="L9">
        <f>'C05'!Y14</f>
        <v>0</v>
      </c>
      <c r="M9">
        <f>'C09'!Y14</f>
        <v>0</v>
      </c>
      <c r="N9">
        <f>'C14'!Y14</f>
        <v>0</v>
      </c>
      <c r="O9">
        <f>'C18'!Y14</f>
        <v>0</v>
      </c>
      <c r="P9">
        <f>'C21'!Y14</f>
        <v>0</v>
      </c>
      <c r="Q9">
        <f>'C29'!Y14</f>
        <v>0</v>
      </c>
      <c r="R9">
        <f>'C13'!Y14</f>
        <v>0</v>
      </c>
      <c r="S9">
        <f>'C12'!Y14</f>
        <v>0</v>
      </c>
      <c r="T9">
        <f>'C20'!Y14</f>
        <v>0</v>
      </c>
      <c r="U9">
        <f>'C19'!Y14</f>
        <v>0</v>
      </c>
      <c r="V9">
        <f>'C17'!Y14</f>
        <v>0</v>
      </c>
      <c r="W9">
        <f>'C26'!Y14</f>
        <v>0</v>
      </c>
      <c r="X9">
        <f>'C27'!Y14</f>
        <v>0</v>
      </c>
      <c r="Y9">
        <f>'C25'!Y14</f>
        <v>0</v>
      </c>
      <c r="Z9">
        <f>'C23'!Y14</f>
        <v>0</v>
      </c>
      <c r="AA9">
        <f>'C15'!Y14</f>
        <v>0</v>
      </c>
      <c r="AB9">
        <f>'C24'!Y14</f>
        <v>0</v>
      </c>
      <c r="AC9">
        <f>'C22'!Y14</f>
        <v>0</v>
      </c>
      <c r="AD9">
        <f>'C33'!Y14</f>
        <v>0</v>
      </c>
      <c r="AE9">
        <f>'C32'!Y14</f>
        <v>0</v>
      </c>
      <c r="AF9">
        <f>'C28'!Y14</f>
        <v>0</v>
      </c>
      <c r="AG9">
        <f>'C40'!Y14</f>
        <v>0</v>
      </c>
      <c r="AH9">
        <f>'C30'!Y14</f>
        <v>0</v>
      </c>
      <c r="AI9">
        <f>'C31'!Y14</f>
        <v>0</v>
      </c>
      <c r="AJ9">
        <f>'C39'!Y14</f>
        <v>0</v>
      </c>
      <c r="AK9">
        <f>'C36'!Y14</f>
        <v>0</v>
      </c>
      <c r="AL9">
        <f>'C37'!Y14</f>
        <v>0</v>
      </c>
      <c r="AM9">
        <f>'C38'!Y14</f>
        <v>0</v>
      </c>
      <c r="AN9">
        <f>'C34'!Y14</f>
        <v>0</v>
      </c>
      <c r="AO9">
        <f>'C35'!Y14</f>
        <v>0</v>
      </c>
    </row>
    <row r="10" spans="1:41" ht="16.5">
      <c r="A10" s="1">
        <v>1955</v>
      </c>
      <c r="B10">
        <f>'C01'!Y15</f>
        <v>0</v>
      </c>
      <c r="C10">
        <f>'C03'!Y15</f>
        <v>0</v>
      </c>
      <c r="D10">
        <f>'C02'!Y15</f>
        <v>0</v>
      </c>
      <c r="E10">
        <f>'C04'!Y15</f>
        <v>0</v>
      </c>
      <c r="F10">
        <f>'C07'!Y15</f>
        <v>0</v>
      </c>
      <c r="G10">
        <f>'C08'!Y15</f>
        <v>0</v>
      </c>
      <c r="H10">
        <f>'C06'!Y15</f>
        <v>0</v>
      </c>
      <c r="I10">
        <f>'C10'!Y15</f>
        <v>0</v>
      </c>
      <c r="J10">
        <f>'C16'!Y15</f>
        <v>0</v>
      </c>
      <c r="K10">
        <f>'C11'!Y15</f>
        <v>0</v>
      </c>
      <c r="L10">
        <f>'C05'!Y15</f>
        <v>0</v>
      </c>
      <c r="M10">
        <f>'C09'!Y15</f>
        <v>0</v>
      </c>
      <c r="N10">
        <f>'C14'!Y15</f>
        <v>0</v>
      </c>
      <c r="O10">
        <f>'C18'!Y15</f>
        <v>0</v>
      </c>
      <c r="P10">
        <f>'C21'!Y15</f>
        <v>0</v>
      </c>
      <c r="Q10">
        <f>'C29'!Y15</f>
        <v>0</v>
      </c>
      <c r="R10">
        <f>'C13'!Y15</f>
        <v>0</v>
      </c>
      <c r="S10">
        <f>'C12'!Y15</f>
        <v>0</v>
      </c>
      <c r="T10">
        <f>'C20'!Y15</f>
        <v>0</v>
      </c>
      <c r="U10">
        <f>'C19'!Y15</f>
        <v>0</v>
      </c>
      <c r="V10">
        <f>'C17'!Y15</f>
        <v>0</v>
      </c>
      <c r="W10">
        <f>'C26'!Y15</f>
        <v>0</v>
      </c>
      <c r="X10">
        <f>'C27'!Y15</f>
        <v>0</v>
      </c>
      <c r="Y10">
        <f>'C25'!Y15</f>
        <v>0</v>
      </c>
      <c r="Z10">
        <f>'C23'!Y15</f>
        <v>0</v>
      </c>
      <c r="AA10">
        <f>'C15'!Y15</f>
        <v>570.95999999999992</v>
      </c>
      <c r="AB10">
        <f>'C24'!Y15</f>
        <v>0</v>
      </c>
      <c r="AC10">
        <f>'C22'!Y15</f>
        <v>0</v>
      </c>
      <c r="AD10">
        <f>'C33'!Y15</f>
        <v>0</v>
      </c>
      <c r="AE10">
        <f>'C32'!Y15</f>
        <v>0</v>
      </c>
      <c r="AF10">
        <f>'C28'!Y15</f>
        <v>0</v>
      </c>
      <c r="AG10">
        <f>'C40'!Y15</f>
        <v>0</v>
      </c>
      <c r="AH10">
        <f>'C30'!Y15</f>
        <v>0</v>
      </c>
      <c r="AI10">
        <f>'C31'!Y15</f>
        <v>0</v>
      </c>
      <c r="AJ10">
        <f>'C39'!Y15</f>
        <v>0</v>
      </c>
      <c r="AK10">
        <f>'C36'!Y15</f>
        <v>0</v>
      </c>
      <c r="AL10">
        <f>'C37'!Y15</f>
        <v>0</v>
      </c>
      <c r="AM10">
        <f>'C38'!Y15</f>
        <v>0</v>
      </c>
      <c r="AN10">
        <f>'C34'!Y15</f>
        <v>0</v>
      </c>
      <c r="AO10">
        <f>'C35'!Y15</f>
        <v>0</v>
      </c>
    </row>
    <row r="11" spans="1:41" ht="16.5">
      <c r="A11" s="1">
        <v>1956</v>
      </c>
      <c r="B11">
        <f>'C01'!Y16</f>
        <v>0</v>
      </c>
      <c r="C11">
        <f>'C03'!Y16</f>
        <v>0</v>
      </c>
      <c r="D11">
        <f>'C02'!Y16</f>
        <v>0</v>
      </c>
      <c r="E11">
        <f>'C04'!Y16</f>
        <v>0</v>
      </c>
      <c r="F11">
        <f>'C07'!Y16</f>
        <v>0</v>
      </c>
      <c r="G11">
        <f>'C08'!Y16</f>
        <v>0</v>
      </c>
      <c r="H11">
        <f>'C06'!Y16</f>
        <v>0</v>
      </c>
      <c r="I11">
        <f>'C10'!Y16</f>
        <v>0</v>
      </c>
      <c r="J11">
        <f>'C16'!Y16</f>
        <v>0</v>
      </c>
      <c r="K11">
        <f>'C11'!Y16</f>
        <v>0</v>
      </c>
      <c r="L11">
        <f>'C05'!Y16</f>
        <v>0</v>
      </c>
      <c r="M11">
        <f>'C09'!Y16</f>
        <v>0</v>
      </c>
      <c r="N11">
        <f>'C14'!Y16</f>
        <v>0</v>
      </c>
      <c r="O11">
        <f>'C18'!Y16</f>
        <v>0</v>
      </c>
      <c r="P11">
        <f>'C21'!Y16</f>
        <v>0</v>
      </c>
      <c r="Q11">
        <f>'C29'!Y16</f>
        <v>0</v>
      </c>
      <c r="R11">
        <f>'C13'!Y16</f>
        <v>0</v>
      </c>
      <c r="S11">
        <f>'C12'!Y16</f>
        <v>0</v>
      </c>
      <c r="T11">
        <f>'C20'!Y16</f>
        <v>0</v>
      </c>
      <c r="U11">
        <f>'C19'!Y16</f>
        <v>0</v>
      </c>
      <c r="V11">
        <f>'C17'!Y16</f>
        <v>0</v>
      </c>
      <c r="W11">
        <f>'C26'!Y16</f>
        <v>0</v>
      </c>
      <c r="X11">
        <f>'C27'!Y16</f>
        <v>0</v>
      </c>
      <c r="Y11">
        <f>'C25'!Y16</f>
        <v>0</v>
      </c>
      <c r="Z11">
        <f>'C23'!Y16</f>
        <v>0</v>
      </c>
      <c r="AA11">
        <f>'C15'!Y16</f>
        <v>8064.5599999999995</v>
      </c>
      <c r="AB11">
        <f>'C24'!Y16</f>
        <v>0</v>
      </c>
      <c r="AC11">
        <f>'C22'!Y16</f>
        <v>0</v>
      </c>
      <c r="AD11">
        <f>'C33'!Y16</f>
        <v>0</v>
      </c>
      <c r="AE11">
        <f>'C32'!Y16</f>
        <v>0</v>
      </c>
      <c r="AF11">
        <f>'C28'!Y16</f>
        <v>0</v>
      </c>
      <c r="AG11">
        <f>'C40'!Y16</f>
        <v>0</v>
      </c>
      <c r="AH11">
        <f>'C30'!Y16</f>
        <v>0</v>
      </c>
      <c r="AI11">
        <f>'C31'!Y16</f>
        <v>0</v>
      </c>
      <c r="AJ11">
        <f>'C39'!Y16</f>
        <v>0</v>
      </c>
      <c r="AK11">
        <f>'C36'!Y16</f>
        <v>0</v>
      </c>
      <c r="AL11">
        <f>'C37'!Y16</f>
        <v>0</v>
      </c>
      <c r="AM11">
        <f>'C38'!Y16</f>
        <v>0</v>
      </c>
      <c r="AN11">
        <f>'C34'!Y16</f>
        <v>0</v>
      </c>
      <c r="AO11">
        <f>'C35'!Y16</f>
        <v>0</v>
      </c>
    </row>
    <row r="12" spans="1:41" ht="16.5">
      <c r="A12" s="1">
        <v>1957</v>
      </c>
      <c r="B12">
        <f>'C01'!Y17</f>
        <v>0</v>
      </c>
      <c r="C12">
        <f>'C03'!Y17</f>
        <v>0</v>
      </c>
      <c r="D12">
        <f>'C02'!Y17</f>
        <v>0</v>
      </c>
      <c r="E12">
        <f>'C04'!Y17</f>
        <v>0</v>
      </c>
      <c r="F12">
        <f>'C07'!Y17</f>
        <v>0</v>
      </c>
      <c r="G12">
        <f>'C08'!Y17</f>
        <v>0</v>
      </c>
      <c r="H12">
        <f>'C06'!Y17</f>
        <v>0</v>
      </c>
      <c r="I12">
        <f>'C10'!Y17</f>
        <v>0</v>
      </c>
      <c r="J12">
        <f>'C16'!Y17</f>
        <v>0</v>
      </c>
      <c r="K12">
        <f>'C11'!Y17</f>
        <v>0</v>
      </c>
      <c r="L12">
        <f>'C05'!Y17</f>
        <v>1886.3999999999999</v>
      </c>
      <c r="M12">
        <f>'C09'!Y17</f>
        <v>0</v>
      </c>
      <c r="N12">
        <f>'C14'!Y17</f>
        <v>0</v>
      </c>
      <c r="O12">
        <f>'C18'!Y17</f>
        <v>0</v>
      </c>
      <c r="P12">
        <f>'C21'!Y17</f>
        <v>0</v>
      </c>
      <c r="Q12">
        <f>'C29'!Y17</f>
        <v>0</v>
      </c>
      <c r="R12">
        <f>'C13'!Y17</f>
        <v>0</v>
      </c>
      <c r="S12">
        <f>'C12'!Y17</f>
        <v>0</v>
      </c>
      <c r="T12">
        <f>'C20'!Y17</f>
        <v>0</v>
      </c>
      <c r="U12">
        <f>'C19'!Y17</f>
        <v>0</v>
      </c>
      <c r="V12">
        <f>'C17'!Y17</f>
        <v>0</v>
      </c>
      <c r="W12">
        <f>'C26'!Y17</f>
        <v>0</v>
      </c>
      <c r="X12">
        <f>'C27'!Y17</f>
        <v>0</v>
      </c>
      <c r="Y12">
        <f>'C25'!Y17</f>
        <v>0</v>
      </c>
      <c r="Z12">
        <f>'C23'!Y17</f>
        <v>0</v>
      </c>
      <c r="AA12">
        <f>'C15'!Y17</f>
        <v>1385.8200000000002</v>
      </c>
      <c r="AB12">
        <f>'C24'!Y17</f>
        <v>0</v>
      </c>
      <c r="AC12">
        <f>'C22'!Y17</f>
        <v>0</v>
      </c>
      <c r="AD12">
        <f>'C33'!Y17</f>
        <v>0</v>
      </c>
      <c r="AE12">
        <f>'C32'!Y17</f>
        <v>0</v>
      </c>
      <c r="AF12">
        <f>'C28'!Y17</f>
        <v>0</v>
      </c>
      <c r="AG12">
        <f>'C40'!Y17</f>
        <v>0</v>
      </c>
      <c r="AH12">
        <f>'C30'!Y17</f>
        <v>0</v>
      </c>
      <c r="AI12">
        <f>'C31'!Y17</f>
        <v>0</v>
      </c>
      <c r="AJ12">
        <f>'C39'!Y17</f>
        <v>0</v>
      </c>
      <c r="AK12">
        <f>'C36'!Y17</f>
        <v>0</v>
      </c>
      <c r="AL12">
        <f>'C37'!Y17</f>
        <v>0</v>
      </c>
      <c r="AM12">
        <f>'C38'!Y17</f>
        <v>0</v>
      </c>
      <c r="AN12">
        <f>'C34'!Y17</f>
        <v>0</v>
      </c>
      <c r="AO12">
        <f>'C35'!Y17</f>
        <v>0</v>
      </c>
    </row>
    <row r="13" spans="1:41" ht="16.5">
      <c r="A13" s="1">
        <v>1958</v>
      </c>
      <c r="B13">
        <f>'C01'!Y18</f>
        <v>0</v>
      </c>
      <c r="C13">
        <f>'C03'!Y18</f>
        <v>0</v>
      </c>
      <c r="D13">
        <f>'C02'!Y18</f>
        <v>0</v>
      </c>
      <c r="E13">
        <f>'C04'!Y18</f>
        <v>0</v>
      </c>
      <c r="F13">
        <f>'C07'!Y18</f>
        <v>0</v>
      </c>
      <c r="G13">
        <f>'C08'!Y18</f>
        <v>0</v>
      </c>
      <c r="H13">
        <f>'C06'!Y18</f>
        <v>0</v>
      </c>
      <c r="I13">
        <f>'C10'!Y18</f>
        <v>0</v>
      </c>
      <c r="J13">
        <f>'C16'!Y18</f>
        <v>0</v>
      </c>
      <c r="K13">
        <f>'C11'!Y18</f>
        <v>0</v>
      </c>
      <c r="L13">
        <f>'C05'!Y18</f>
        <v>5698.4400000000005</v>
      </c>
      <c r="M13">
        <f>'C09'!Y18</f>
        <v>0</v>
      </c>
      <c r="N13">
        <f>'C14'!Y18</f>
        <v>0</v>
      </c>
      <c r="O13">
        <f>'C18'!Y18</f>
        <v>0</v>
      </c>
      <c r="P13">
        <f>'C21'!Y18</f>
        <v>0</v>
      </c>
      <c r="Q13">
        <f>'C29'!Y18</f>
        <v>0</v>
      </c>
      <c r="R13">
        <f>'C13'!Y18</f>
        <v>0</v>
      </c>
      <c r="S13">
        <f>'C12'!Y18</f>
        <v>0</v>
      </c>
      <c r="T13">
        <f>'C20'!Y18</f>
        <v>0</v>
      </c>
      <c r="U13">
        <f>'C19'!Y18</f>
        <v>0</v>
      </c>
      <c r="V13">
        <f>'C17'!Y18</f>
        <v>0</v>
      </c>
      <c r="W13">
        <f>'C26'!Y18</f>
        <v>0</v>
      </c>
      <c r="X13">
        <f>'C27'!Y18</f>
        <v>0</v>
      </c>
      <c r="Y13">
        <f>'C25'!Y18</f>
        <v>0</v>
      </c>
      <c r="Z13">
        <f>'C23'!Y18</f>
        <v>0</v>
      </c>
      <c r="AA13">
        <f>'C15'!Y18</f>
        <v>3385.2000000000003</v>
      </c>
      <c r="AB13">
        <f>'C24'!Y18</f>
        <v>0</v>
      </c>
      <c r="AC13">
        <f>'C22'!Y18</f>
        <v>0</v>
      </c>
      <c r="AD13">
        <f>'C33'!Y18</f>
        <v>0</v>
      </c>
      <c r="AE13">
        <f>'C32'!Y18</f>
        <v>0</v>
      </c>
      <c r="AF13">
        <f>'C28'!Y18</f>
        <v>0</v>
      </c>
      <c r="AG13">
        <f>'C40'!Y18</f>
        <v>0</v>
      </c>
      <c r="AH13">
        <f>'C30'!Y18</f>
        <v>0</v>
      </c>
      <c r="AI13">
        <f>'C31'!Y18</f>
        <v>0</v>
      </c>
      <c r="AJ13">
        <f>'C39'!Y18</f>
        <v>0</v>
      </c>
      <c r="AK13">
        <f>'C36'!Y18</f>
        <v>0</v>
      </c>
      <c r="AL13">
        <f>'C37'!Y18</f>
        <v>0</v>
      </c>
      <c r="AM13">
        <f>'C38'!Y18</f>
        <v>0</v>
      </c>
      <c r="AN13">
        <f>'C34'!Y18</f>
        <v>0</v>
      </c>
      <c r="AO13">
        <f>'C35'!Y18</f>
        <v>0</v>
      </c>
    </row>
    <row r="14" spans="1:41" ht="16.5">
      <c r="A14" s="1">
        <v>1959</v>
      </c>
      <c r="B14">
        <f>'C01'!Y19</f>
        <v>0</v>
      </c>
      <c r="C14">
        <f>'C03'!Y19</f>
        <v>0</v>
      </c>
      <c r="D14">
        <f>'C02'!Y19</f>
        <v>0</v>
      </c>
      <c r="E14">
        <f>'C04'!Y19</f>
        <v>0</v>
      </c>
      <c r="F14">
        <f>'C07'!Y19</f>
        <v>0</v>
      </c>
      <c r="G14">
        <f>'C08'!Y19</f>
        <v>0</v>
      </c>
      <c r="H14">
        <f>'C06'!Y19</f>
        <v>0</v>
      </c>
      <c r="I14">
        <f>'C10'!Y19</f>
        <v>0</v>
      </c>
      <c r="J14">
        <f>'C16'!Y19</f>
        <v>0</v>
      </c>
      <c r="K14">
        <f>'C11'!Y19</f>
        <v>0</v>
      </c>
      <c r="L14">
        <f>'C05'!Y19</f>
        <v>4482.6400000000003</v>
      </c>
      <c r="M14">
        <f>'C09'!Y19</f>
        <v>0</v>
      </c>
      <c r="N14">
        <f>'C14'!Y19</f>
        <v>0</v>
      </c>
      <c r="O14">
        <f>'C18'!Y19</f>
        <v>0</v>
      </c>
      <c r="P14">
        <f>'C21'!Y19</f>
        <v>0</v>
      </c>
      <c r="Q14">
        <f>'C29'!Y19</f>
        <v>0</v>
      </c>
      <c r="R14">
        <f>'C13'!Y19</f>
        <v>0</v>
      </c>
      <c r="S14">
        <f>'C12'!Y19</f>
        <v>0</v>
      </c>
      <c r="T14">
        <f>'C20'!Y19</f>
        <v>0</v>
      </c>
      <c r="U14">
        <f>'C19'!Y19</f>
        <v>0</v>
      </c>
      <c r="V14">
        <f>'C17'!Y19</f>
        <v>0</v>
      </c>
      <c r="W14">
        <f>'C26'!Y19</f>
        <v>0</v>
      </c>
      <c r="X14">
        <f>'C27'!Y19</f>
        <v>0</v>
      </c>
      <c r="Y14">
        <f>'C25'!Y19</f>
        <v>0</v>
      </c>
      <c r="Z14">
        <f>'C23'!Y19</f>
        <v>0</v>
      </c>
      <c r="AA14">
        <f>'C15'!Y19</f>
        <v>8094.7199999999993</v>
      </c>
      <c r="AB14">
        <f>'C24'!Y19</f>
        <v>0</v>
      </c>
      <c r="AC14">
        <f>'C22'!Y19</f>
        <v>0</v>
      </c>
      <c r="AD14">
        <f>'C33'!Y19</f>
        <v>0</v>
      </c>
      <c r="AE14">
        <f>'C32'!Y19</f>
        <v>0</v>
      </c>
      <c r="AF14">
        <f>'C28'!Y19</f>
        <v>0</v>
      </c>
      <c r="AG14">
        <f>'C40'!Y19</f>
        <v>0</v>
      </c>
      <c r="AH14">
        <f>'C30'!Y19</f>
        <v>0</v>
      </c>
      <c r="AI14">
        <f>'C31'!Y19</f>
        <v>0</v>
      </c>
      <c r="AJ14">
        <f>'C39'!Y19</f>
        <v>0</v>
      </c>
      <c r="AK14">
        <f>'C36'!Y19</f>
        <v>0</v>
      </c>
      <c r="AL14">
        <f>'C37'!Y19</f>
        <v>0</v>
      </c>
      <c r="AM14">
        <f>'C38'!Y19</f>
        <v>0</v>
      </c>
      <c r="AN14">
        <f>'C34'!Y19</f>
        <v>0</v>
      </c>
      <c r="AO14">
        <f>'C35'!Y19</f>
        <v>0</v>
      </c>
    </row>
    <row r="15" spans="1:41" ht="16.5">
      <c r="A15" s="1">
        <v>1960</v>
      </c>
      <c r="B15">
        <f>'C01'!Y20</f>
        <v>0</v>
      </c>
      <c r="C15">
        <f>'C03'!Y20</f>
        <v>0</v>
      </c>
      <c r="D15">
        <f>'C02'!Y20</f>
        <v>0</v>
      </c>
      <c r="E15">
        <f>'C04'!Y20</f>
        <v>12915</v>
      </c>
      <c r="F15">
        <f>'C07'!Y20</f>
        <v>0</v>
      </c>
      <c r="G15">
        <f>'C08'!Y20</f>
        <v>0</v>
      </c>
      <c r="H15">
        <f>'C06'!Y20</f>
        <v>0</v>
      </c>
      <c r="I15">
        <f>'C10'!Y20</f>
        <v>0</v>
      </c>
      <c r="J15">
        <f>'C16'!Y20</f>
        <v>0</v>
      </c>
      <c r="K15">
        <f>'C11'!Y20</f>
        <v>0</v>
      </c>
      <c r="L15">
        <f>'C05'!Y20</f>
        <v>3697.4</v>
      </c>
      <c r="M15">
        <f>'C09'!Y20</f>
        <v>0</v>
      </c>
      <c r="N15">
        <f>'C14'!Y20</f>
        <v>0</v>
      </c>
      <c r="O15">
        <f>'C18'!Y20</f>
        <v>0</v>
      </c>
      <c r="P15">
        <f>'C21'!Y20</f>
        <v>0</v>
      </c>
      <c r="Q15">
        <f>'C29'!Y20</f>
        <v>0</v>
      </c>
      <c r="R15">
        <f>'C13'!Y20</f>
        <v>0</v>
      </c>
      <c r="S15">
        <f>'C12'!Y20</f>
        <v>0</v>
      </c>
      <c r="T15">
        <f>'C20'!Y20</f>
        <v>0</v>
      </c>
      <c r="U15">
        <f>'C19'!Y20</f>
        <v>0</v>
      </c>
      <c r="V15">
        <f>'C17'!Y20</f>
        <v>0</v>
      </c>
      <c r="W15">
        <f>'C26'!Y20</f>
        <v>0</v>
      </c>
      <c r="X15">
        <f>'C27'!Y20</f>
        <v>0</v>
      </c>
      <c r="Y15">
        <f>'C25'!Y20</f>
        <v>0</v>
      </c>
      <c r="Z15">
        <f>'C23'!Y20</f>
        <v>0</v>
      </c>
      <c r="AA15">
        <f>'C15'!Y20</f>
        <v>1317.8999999999999</v>
      </c>
      <c r="AB15">
        <f>'C24'!Y20</f>
        <v>0</v>
      </c>
      <c r="AC15">
        <f>'C22'!Y20</f>
        <v>0</v>
      </c>
      <c r="AD15">
        <f>'C33'!Y20</f>
        <v>0</v>
      </c>
      <c r="AE15">
        <f>'C32'!Y20</f>
        <v>0</v>
      </c>
      <c r="AF15">
        <f>'C28'!Y20</f>
        <v>0</v>
      </c>
      <c r="AG15">
        <f>'C40'!Y20</f>
        <v>0</v>
      </c>
      <c r="AH15">
        <f>'C30'!Y20</f>
        <v>0</v>
      </c>
      <c r="AI15">
        <f>'C31'!Y20</f>
        <v>0</v>
      </c>
      <c r="AJ15">
        <f>'C39'!Y20</f>
        <v>0</v>
      </c>
      <c r="AK15">
        <f>'C36'!Y20</f>
        <v>0</v>
      </c>
      <c r="AL15">
        <f>'C37'!Y20</f>
        <v>0</v>
      </c>
      <c r="AM15">
        <f>'C38'!Y20</f>
        <v>0</v>
      </c>
      <c r="AN15">
        <f>'C34'!Y20</f>
        <v>0</v>
      </c>
      <c r="AO15">
        <f>'C35'!Y20</f>
        <v>0</v>
      </c>
    </row>
    <row r="16" spans="1:41" ht="16.5">
      <c r="A16" s="1">
        <v>1961</v>
      </c>
      <c r="B16">
        <f>'C01'!Y21</f>
        <v>0</v>
      </c>
      <c r="C16">
        <f>'C03'!Y21</f>
        <v>0</v>
      </c>
      <c r="D16">
        <f>'C02'!Y21</f>
        <v>0</v>
      </c>
      <c r="E16">
        <f>'C04'!Y21</f>
        <v>4664.34</v>
      </c>
      <c r="F16">
        <f>'C07'!Y21</f>
        <v>0</v>
      </c>
      <c r="G16">
        <f>'C08'!Y21</f>
        <v>0</v>
      </c>
      <c r="H16">
        <f>'C06'!Y21</f>
        <v>0</v>
      </c>
      <c r="I16">
        <f>'C10'!Y21</f>
        <v>0</v>
      </c>
      <c r="J16">
        <f>'C16'!Y21</f>
        <v>0</v>
      </c>
      <c r="K16">
        <f>'C11'!Y21</f>
        <v>0</v>
      </c>
      <c r="L16">
        <f>'C05'!Y21</f>
        <v>7441.2000000000007</v>
      </c>
      <c r="M16">
        <f>'C09'!Y21</f>
        <v>0</v>
      </c>
      <c r="N16">
        <f>'C14'!Y21</f>
        <v>0</v>
      </c>
      <c r="O16">
        <f>'C18'!Y21</f>
        <v>0</v>
      </c>
      <c r="P16">
        <f>'C21'!Y21</f>
        <v>0</v>
      </c>
      <c r="Q16">
        <f>'C29'!Y21</f>
        <v>0</v>
      </c>
      <c r="R16">
        <f>'C13'!Y21</f>
        <v>0</v>
      </c>
      <c r="S16">
        <f>'C12'!Y21</f>
        <v>430.45000000000005</v>
      </c>
      <c r="T16">
        <f>'C20'!Y21</f>
        <v>0</v>
      </c>
      <c r="U16">
        <f>'C19'!Y21</f>
        <v>1471.12</v>
      </c>
      <c r="V16">
        <f>'C17'!Y21</f>
        <v>0</v>
      </c>
      <c r="W16">
        <f>'C26'!Y21</f>
        <v>0</v>
      </c>
      <c r="X16">
        <f>'C27'!Y21</f>
        <v>0</v>
      </c>
      <c r="Y16">
        <f>'C25'!Y21</f>
        <v>0</v>
      </c>
      <c r="Z16">
        <f>'C23'!Y21</f>
        <v>0</v>
      </c>
      <c r="AA16">
        <f>'C15'!Y21</f>
        <v>1403.46</v>
      </c>
      <c r="AB16">
        <f>'C24'!Y21</f>
        <v>0</v>
      </c>
      <c r="AC16">
        <f>'C22'!Y21</f>
        <v>0</v>
      </c>
      <c r="AD16">
        <f>'C33'!Y21</f>
        <v>0</v>
      </c>
      <c r="AE16">
        <f>'C32'!Y21</f>
        <v>0</v>
      </c>
      <c r="AF16">
        <f>'C28'!Y21</f>
        <v>0</v>
      </c>
      <c r="AG16">
        <f>'C40'!Y21</f>
        <v>0</v>
      </c>
      <c r="AH16">
        <f>'C30'!Y21</f>
        <v>0</v>
      </c>
      <c r="AI16">
        <f>'C31'!Y21</f>
        <v>0</v>
      </c>
      <c r="AJ16">
        <f>'C39'!Y21</f>
        <v>0</v>
      </c>
      <c r="AK16">
        <f>'C36'!Y21</f>
        <v>0</v>
      </c>
      <c r="AL16">
        <f>'C37'!Y21</f>
        <v>0</v>
      </c>
      <c r="AM16">
        <f>'C38'!Y21</f>
        <v>0</v>
      </c>
      <c r="AN16">
        <f>'C34'!Y21</f>
        <v>0</v>
      </c>
      <c r="AO16">
        <f>'C35'!Y21</f>
        <v>0</v>
      </c>
    </row>
    <row r="17" spans="1:41" ht="16.5">
      <c r="A17" s="1">
        <v>1962</v>
      </c>
      <c r="B17">
        <f>'C01'!Y22</f>
        <v>0</v>
      </c>
      <c r="C17">
        <f>'C03'!Y22</f>
        <v>0</v>
      </c>
      <c r="D17">
        <f>'C02'!Y22</f>
        <v>0</v>
      </c>
      <c r="E17">
        <f>'C04'!Y22</f>
        <v>8236.92</v>
      </c>
      <c r="F17">
        <f>'C07'!Y22</f>
        <v>0</v>
      </c>
      <c r="G17">
        <f>'C08'!Y22</f>
        <v>0</v>
      </c>
      <c r="H17">
        <f>'C06'!Y22</f>
        <v>0</v>
      </c>
      <c r="I17">
        <f>'C10'!Y22</f>
        <v>0</v>
      </c>
      <c r="J17">
        <f>'C16'!Y22</f>
        <v>0</v>
      </c>
      <c r="K17">
        <f>'C11'!Y22</f>
        <v>0</v>
      </c>
      <c r="L17">
        <f>'C05'!Y22</f>
        <v>10978.5</v>
      </c>
      <c r="M17">
        <f>'C09'!Y22</f>
        <v>0</v>
      </c>
      <c r="N17">
        <f>'C14'!Y22</f>
        <v>0</v>
      </c>
      <c r="O17">
        <f>'C18'!Y22</f>
        <v>0</v>
      </c>
      <c r="P17">
        <f>'C21'!Y22</f>
        <v>0</v>
      </c>
      <c r="Q17">
        <f>'C29'!Y22</f>
        <v>0</v>
      </c>
      <c r="R17">
        <f>'C13'!Y22</f>
        <v>0</v>
      </c>
      <c r="S17">
        <f>'C12'!Y22</f>
        <v>1383.08</v>
      </c>
      <c r="T17">
        <f>'C20'!Y22</f>
        <v>0</v>
      </c>
      <c r="U17">
        <f>'C19'!Y22</f>
        <v>2648</v>
      </c>
      <c r="V17">
        <f>'C17'!Y22</f>
        <v>0</v>
      </c>
      <c r="W17">
        <f>'C26'!Y22</f>
        <v>0</v>
      </c>
      <c r="X17">
        <f>'C27'!Y22</f>
        <v>0</v>
      </c>
      <c r="Y17">
        <f>'C25'!Y22</f>
        <v>0</v>
      </c>
      <c r="Z17">
        <f>'C23'!Y22</f>
        <v>0</v>
      </c>
      <c r="AA17">
        <f>'C15'!Y22</f>
        <v>605</v>
      </c>
      <c r="AB17">
        <f>'C24'!Y22</f>
        <v>0</v>
      </c>
      <c r="AC17">
        <f>'C22'!Y22</f>
        <v>0</v>
      </c>
      <c r="AD17">
        <f>'C33'!Y22</f>
        <v>0</v>
      </c>
      <c r="AE17">
        <f>'C32'!Y22</f>
        <v>0</v>
      </c>
      <c r="AF17">
        <f>'C28'!Y22</f>
        <v>0</v>
      </c>
      <c r="AG17">
        <f>'C40'!Y22</f>
        <v>0</v>
      </c>
      <c r="AH17">
        <f>'C30'!Y22</f>
        <v>0</v>
      </c>
      <c r="AI17">
        <f>'C31'!Y22</f>
        <v>0</v>
      </c>
      <c r="AJ17">
        <f>'C39'!Y22</f>
        <v>0</v>
      </c>
      <c r="AK17">
        <f>'C36'!Y22</f>
        <v>0</v>
      </c>
      <c r="AL17">
        <f>'C37'!Y22</f>
        <v>0</v>
      </c>
      <c r="AM17">
        <f>'C38'!Y22</f>
        <v>0</v>
      </c>
      <c r="AN17">
        <f>'C34'!Y22</f>
        <v>0</v>
      </c>
      <c r="AO17">
        <f>'C35'!Y22</f>
        <v>0</v>
      </c>
    </row>
    <row r="18" spans="1:41" ht="16.5">
      <c r="A18" s="1">
        <v>1963</v>
      </c>
      <c r="B18">
        <f>'C01'!Y23</f>
        <v>0</v>
      </c>
      <c r="C18">
        <f>'C03'!Y23</f>
        <v>0</v>
      </c>
      <c r="D18">
        <f>'C02'!Y23</f>
        <v>0</v>
      </c>
      <c r="E18">
        <f>'C04'!Y23</f>
        <v>3482.1</v>
      </c>
      <c r="F18">
        <f>'C07'!Y23</f>
        <v>0</v>
      </c>
      <c r="G18">
        <f>'C08'!Y23</f>
        <v>0</v>
      </c>
      <c r="H18">
        <f>'C06'!Y23</f>
        <v>0</v>
      </c>
      <c r="I18">
        <f>'C10'!Y23</f>
        <v>0</v>
      </c>
      <c r="J18">
        <f>'C16'!Y23</f>
        <v>0</v>
      </c>
      <c r="K18">
        <f>'C11'!Y23</f>
        <v>0</v>
      </c>
      <c r="L18">
        <f>'C05'!Y23</f>
        <v>8717.1</v>
      </c>
      <c r="M18">
        <f>'C09'!Y23</f>
        <v>0</v>
      </c>
      <c r="N18">
        <f>'C14'!Y23</f>
        <v>0</v>
      </c>
      <c r="O18">
        <f>'C18'!Y23</f>
        <v>0</v>
      </c>
      <c r="P18">
        <f>'C21'!Y23</f>
        <v>0</v>
      </c>
      <c r="Q18">
        <f>'C29'!Y23</f>
        <v>0</v>
      </c>
      <c r="R18">
        <f>'C13'!Y23</f>
        <v>0</v>
      </c>
      <c r="S18">
        <f>'C12'!Y23</f>
        <v>1114.68</v>
      </c>
      <c r="T18">
        <f>'C20'!Y23</f>
        <v>0</v>
      </c>
      <c r="U18">
        <f>'C19'!Y23</f>
        <v>1690.8600000000001</v>
      </c>
      <c r="V18">
        <f>'C17'!Y23</f>
        <v>0</v>
      </c>
      <c r="W18">
        <f>'C26'!Y23</f>
        <v>0</v>
      </c>
      <c r="X18">
        <f>'C27'!Y23</f>
        <v>0</v>
      </c>
      <c r="Y18">
        <f>'C25'!Y23</f>
        <v>0</v>
      </c>
      <c r="Z18">
        <f>'C23'!Y23</f>
        <v>0</v>
      </c>
      <c r="AA18">
        <f>'C15'!Y23</f>
        <v>1626.3</v>
      </c>
      <c r="AB18">
        <f>'C24'!Y23</f>
        <v>0</v>
      </c>
      <c r="AC18">
        <f>'C22'!Y23</f>
        <v>1076.05</v>
      </c>
      <c r="AD18">
        <f>'C33'!Y23</f>
        <v>0</v>
      </c>
      <c r="AE18">
        <f>'C32'!Y23</f>
        <v>0</v>
      </c>
      <c r="AF18">
        <f>'C28'!Y23</f>
        <v>0</v>
      </c>
      <c r="AG18">
        <f>'C40'!Y23</f>
        <v>0</v>
      </c>
      <c r="AH18">
        <f>'C30'!Y23</f>
        <v>0</v>
      </c>
      <c r="AI18">
        <f>'C31'!Y23</f>
        <v>0</v>
      </c>
      <c r="AJ18">
        <f>'C39'!Y23</f>
        <v>0</v>
      </c>
      <c r="AK18">
        <f>'C36'!Y23</f>
        <v>0</v>
      </c>
      <c r="AL18">
        <f>'C37'!Y23</f>
        <v>0</v>
      </c>
      <c r="AM18">
        <f>'C38'!Y23</f>
        <v>0</v>
      </c>
      <c r="AN18">
        <f>'C34'!Y23</f>
        <v>0</v>
      </c>
      <c r="AO18">
        <f>'C35'!Y23</f>
        <v>0</v>
      </c>
    </row>
    <row r="19" spans="1:41" ht="16.5">
      <c r="A19" s="1">
        <v>1964</v>
      </c>
      <c r="B19">
        <f>'C01'!Y24</f>
        <v>0</v>
      </c>
      <c r="C19">
        <f>'C03'!Y24</f>
        <v>0</v>
      </c>
      <c r="D19">
        <f>'C02'!Y24</f>
        <v>0</v>
      </c>
      <c r="E19">
        <f>'C04'!Y24</f>
        <v>6291.2000000000007</v>
      </c>
      <c r="F19">
        <f>'C07'!Y24</f>
        <v>0</v>
      </c>
      <c r="G19">
        <f>'C08'!Y24</f>
        <v>0</v>
      </c>
      <c r="H19">
        <f>'C06'!Y24</f>
        <v>0</v>
      </c>
      <c r="I19">
        <f>'C10'!Y24</f>
        <v>0</v>
      </c>
      <c r="J19">
        <f>'C16'!Y24</f>
        <v>0</v>
      </c>
      <c r="K19">
        <f>'C11'!Y24</f>
        <v>0</v>
      </c>
      <c r="L19">
        <f>'C05'!Y24</f>
        <v>4390.68</v>
      </c>
      <c r="M19">
        <f>'C09'!Y24</f>
        <v>0</v>
      </c>
      <c r="N19">
        <f>'C14'!Y24</f>
        <v>0</v>
      </c>
      <c r="O19">
        <f>'C18'!Y24</f>
        <v>0</v>
      </c>
      <c r="P19">
        <f>'C21'!Y24</f>
        <v>0</v>
      </c>
      <c r="Q19">
        <f>'C29'!Y24</f>
        <v>0</v>
      </c>
      <c r="R19">
        <f>'C13'!Y24</f>
        <v>0</v>
      </c>
      <c r="S19">
        <f>'C12'!Y24</f>
        <v>1202.9000000000001</v>
      </c>
      <c r="T19">
        <f>'C20'!Y24</f>
        <v>0</v>
      </c>
      <c r="U19">
        <f>'C19'!Y24</f>
        <v>12192.720000000001</v>
      </c>
      <c r="V19">
        <f>'C17'!Y24</f>
        <v>0</v>
      </c>
      <c r="W19">
        <f>'C26'!Y24</f>
        <v>0</v>
      </c>
      <c r="X19">
        <f>'C27'!Y24</f>
        <v>0</v>
      </c>
      <c r="Y19">
        <f>'C25'!Y24</f>
        <v>0</v>
      </c>
      <c r="Z19">
        <f>'C23'!Y24</f>
        <v>0</v>
      </c>
      <c r="AA19">
        <f>'C15'!Y24</f>
        <v>1098.18</v>
      </c>
      <c r="AB19">
        <f>'C24'!Y24</f>
        <v>0</v>
      </c>
      <c r="AC19">
        <f>'C22'!Y24</f>
        <v>1402.3999999999999</v>
      </c>
      <c r="AD19">
        <f>'C33'!Y24</f>
        <v>0</v>
      </c>
      <c r="AE19">
        <f>'C32'!Y24</f>
        <v>0</v>
      </c>
      <c r="AF19">
        <f>'C28'!Y24</f>
        <v>0</v>
      </c>
      <c r="AG19">
        <f>'C40'!Y24</f>
        <v>0</v>
      </c>
      <c r="AH19">
        <f>'C30'!Y24</f>
        <v>0</v>
      </c>
      <c r="AI19">
        <f>'C31'!Y24</f>
        <v>0</v>
      </c>
      <c r="AJ19">
        <f>'C39'!Y24</f>
        <v>0</v>
      </c>
      <c r="AK19">
        <f>'C36'!Y24</f>
        <v>0</v>
      </c>
      <c r="AL19">
        <f>'C37'!Y24</f>
        <v>0</v>
      </c>
      <c r="AM19">
        <f>'C38'!Y24</f>
        <v>0</v>
      </c>
      <c r="AN19">
        <f>'C34'!Y24</f>
        <v>0</v>
      </c>
      <c r="AO19">
        <f>'C35'!Y24</f>
        <v>0</v>
      </c>
    </row>
    <row r="20" spans="1:41" ht="16.5">
      <c r="A20" s="1">
        <v>1965</v>
      </c>
      <c r="B20">
        <f>'C01'!Y25</f>
        <v>0</v>
      </c>
      <c r="C20">
        <f>'C03'!Y25</f>
        <v>0</v>
      </c>
      <c r="D20">
        <f>'C02'!Y25</f>
        <v>0</v>
      </c>
      <c r="E20">
        <f>'C04'!Y25</f>
        <v>2804.13</v>
      </c>
      <c r="F20">
        <f>'C07'!Y25</f>
        <v>0</v>
      </c>
      <c r="G20">
        <f>'C08'!Y25</f>
        <v>0</v>
      </c>
      <c r="H20">
        <f>'C06'!Y25</f>
        <v>0</v>
      </c>
      <c r="I20">
        <f>'C10'!Y25</f>
        <v>0</v>
      </c>
      <c r="J20">
        <f>'C16'!Y25</f>
        <v>0</v>
      </c>
      <c r="K20">
        <f>'C11'!Y25</f>
        <v>0</v>
      </c>
      <c r="L20">
        <f>'C05'!Y25</f>
        <v>12774.399999999998</v>
      </c>
      <c r="M20">
        <f>'C09'!Y25</f>
        <v>0</v>
      </c>
      <c r="N20">
        <f>'C14'!Y25</f>
        <v>0</v>
      </c>
      <c r="O20">
        <f>'C18'!Y25</f>
        <v>0</v>
      </c>
      <c r="P20">
        <f>'C21'!Y25</f>
        <v>0</v>
      </c>
      <c r="Q20">
        <f>'C29'!Y25</f>
        <v>0</v>
      </c>
      <c r="R20">
        <f>'C13'!Y25</f>
        <v>0</v>
      </c>
      <c r="S20">
        <f>'C12'!Y25</f>
        <v>1659.3</v>
      </c>
      <c r="T20">
        <f>'C20'!Y25</f>
        <v>0</v>
      </c>
      <c r="U20">
        <f>'C19'!Y25</f>
        <v>2546.3999999999996</v>
      </c>
      <c r="V20">
        <f>'C17'!Y25</f>
        <v>0</v>
      </c>
      <c r="W20">
        <f>'C26'!Y25</f>
        <v>0</v>
      </c>
      <c r="X20">
        <f>'C27'!Y25</f>
        <v>0</v>
      </c>
      <c r="Y20">
        <f>'C25'!Y25</f>
        <v>0</v>
      </c>
      <c r="Z20">
        <f>'C23'!Y25</f>
        <v>0</v>
      </c>
      <c r="AA20">
        <f>'C15'!Y25</f>
        <v>274.86</v>
      </c>
      <c r="AB20">
        <f>'C24'!Y25</f>
        <v>0</v>
      </c>
      <c r="AC20">
        <f>'C22'!Y25</f>
        <v>817.25</v>
      </c>
      <c r="AD20">
        <f>'C33'!Y25</f>
        <v>0</v>
      </c>
      <c r="AE20">
        <f>'C32'!Y25</f>
        <v>0</v>
      </c>
      <c r="AF20">
        <f>'C28'!Y25</f>
        <v>0</v>
      </c>
      <c r="AG20">
        <f>'C40'!Y25</f>
        <v>0</v>
      </c>
      <c r="AH20">
        <f>'C30'!Y25</f>
        <v>0</v>
      </c>
      <c r="AI20">
        <f>'C31'!Y25</f>
        <v>0</v>
      </c>
      <c r="AJ20">
        <f>'C39'!Y25</f>
        <v>0</v>
      </c>
      <c r="AK20">
        <f>'C36'!Y25</f>
        <v>0</v>
      </c>
      <c r="AL20">
        <f>'C37'!Y25</f>
        <v>0</v>
      </c>
      <c r="AM20">
        <f>'C38'!Y25</f>
        <v>0</v>
      </c>
      <c r="AN20">
        <f>'C34'!Y25</f>
        <v>0</v>
      </c>
      <c r="AO20">
        <f>'C35'!Y25</f>
        <v>0</v>
      </c>
    </row>
    <row r="21" spans="1:41" ht="16.5">
      <c r="A21" s="1">
        <v>1966</v>
      </c>
      <c r="B21">
        <f>'C01'!Y26</f>
        <v>0</v>
      </c>
      <c r="C21">
        <f>'C03'!Y26</f>
        <v>0</v>
      </c>
      <c r="D21">
        <f>'C02'!Y26</f>
        <v>0</v>
      </c>
      <c r="E21">
        <f>'C04'!Y26</f>
        <v>12514.88</v>
      </c>
      <c r="F21">
        <f>'C07'!Y26</f>
        <v>0</v>
      </c>
      <c r="G21">
        <f>'C08'!Y26</f>
        <v>0</v>
      </c>
      <c r="H21">
        <f>'C06'!Y26</f>
        <v>0</v>
      </c>
      <c r="I21">
        <f>'C10'!Y26</f>
        <v>0</v>
      </c>
      <c r="J21">
        <f>'C16'!Y26</f>
        <v>0</v>
      </c>
      <c r="K21">
        <f>'C11'!Y26</f>
        <v>0</v>
      </c>
      <c r="L21">
        <f>'C05'!Y26</f>
        <v>3219.55</v>
      </c>
      <c r="M21">
        <f>'C09'!Y26</f>
        <v>0</v>
      </c>
      <c r="N21">
        <f>'C14'!Y26</f>
        <v>0</v>
      </c>
      <c r="O21">
        <f>'C18'!Y26</f>
        <v>0</v>
      </c>
      <c r="P21">
        <f>'C21'!Y26</f>
        <v>0</v>
      </c>
      <c r="Q21">
        <f>'C29'!Y26</f>
        <v>0</v>
      </c>
      <c r="R21">
        <f>'C13'!Y26</f>
        <v>0</v>
      </c>
      <c r="S21">
        <f>'C12'!Y26</f>
        <v>1903.2199999999998</v>
      </c>
      <c r="T21">
        <f>'C20'!Y26</f>
        <v>0</v>
      </c>
      <c r="U21">
        <f>'C19'!Y26</f>
        <v>2630.5199999999995</v>
      </c>
      <c r="V21">
        <f>'C17'!Y26</f>
        <v>0</v>
      </c>
      <c r="W21">
        <f>'C26'!Y26</f>
        <v>0</v>
      </c>
      <c r="X21">
        <f>'C27'!Y26</f>
        <v>0</v>
      </c>
      <c r="Y21">
        <f>'C25'!Y26</f>
        <v>0</v>
      </c>
      <c r="Z21">
        <f>'C23'!Y26</f>
        <v>0</v>
      </c>
      <c r="AA21">
        <f>'C15'!Y26</f>
        <v>0</v>
      </c>
      <c r="AB21">
        <f>'C24'!Y26</f>
        <v>0</v>
      </c>
      <c r="AC21">
        <f>'C22'!Y26</f>
        <v>1461.3</v>
      </c>
      <c r="AD21">
        <f>'C33'!Y26</f>
        <v>0</v>
      </c>
      <c r="AE21">
        <f>'C32'!Y26</f>
        <v>0</v>
      </c>
      <c r="AF21">
        <f>'C28'!Y26</f>
        <v>0</v>
      </c>
      <c r="AG21">
        <f>'C40'!Y26</f>
        <v>0</v>
      </c>
      <c r="AH21">
        <f>'C30'!Y26</f>
        <v>0</v>
      </c>
      <c r="AI21">
        <f>'C31'!Y26</f>
        <v>0</v>
      </c>
      <c r="AJ21">
        <f>'C39'!Y26</f>
        <v>0</v>
      </c>
      <c r="AK21">
        <f>'C36'!Y26</f>
        <v>0</v>
      </c>
      <c r="AL21">
        <f>'C37'!Y26</f>
        <v>0</v>
      </c>
      <c r="AM21">
        <f>'C38'!Y26</f>
        <v>0</v>
      </c>
      <c r="AN21">
        <f>'C34'!Y26</f>
        <v>0</v>
      </c>
      <c r="AO21">
        <f>'C35'!Y26</f>
        <v>0</v>
      </c>
    </row>
    <row r="22" spans="1:41" ht="16.5">
      <c r="A22" s="1">
        <v>1967</v>
      </c>
      <c r="B22">
        <f>'C01'!Y27</f>
        <v>0</v>
      </c>
      <c r="C22">
        <f>'C03'!Y27</f>
        <v>0</v>
      </c>
      <c r="D22">
        <f>'C02'!Y27</f>
        <v>0</v>
      </c>
      <c r="E22">
        <f>'C04'!Y27</f>
        <v>19424.8</v>
      </c>
      <c r="F22">
        <f>'C07'!Y27</f>
        <v>0</v>
      </c>
      <c r="G22">
        <f>'C08'!Y27</f>
        <v>0</v>
      </c>
      <c r="H22">
        <f>'C06'!Y27</f>
        <v>0</v>
      </c>
      <c r="I22">
        <f>'C10'!Y27</f>
        <v>0</v>
      </c>
      <c r="J22">
        <f>'C16'!Y27</f>
        <v>0</v>
      </c>
      <c r="K22">
        <f>'C11'!Y27</f>
        <v>0</v>
      </c>
      <c r="L22">
        <f>'C05'!Y27</f>
        <v>375.57000000000005</v>
      </c>
      <c r="M22">
        <f>'C09'!Y27</f>
        <v>0</v>
      </c>
      <c r="N22">
        <f>'C14'!Y27</f>
        <v>0</v>
      </c>
      <c r="O22">
        <f>'C18'!Y27</f>
        <v>0</v>
      </c>
      <c r="P22">
        <f>'C21'!Y27</f>
        <v>0</v>
      </c>
      <c r="Q22">
        <f>'C29'!Y27</f>
        <v>0</v>
      </c>
      <c r="R22">
        <f>'C13'!Y27</f>
        <v>0</v>
      </c>
      <c r="S22">
        <f>'C12'!Y27</f>
        <v>757.57999999999993</v>
      </c>
      <c r="T22">
        <f>'C20'!Y27</f>
        <v>0</v>
      </c>
      <c r="U22">
        <f>'C19'!Y27</f>
        <v>1327.7</v>
      </c>
      <c r="V22">
        <f>'C17'!Y27</f>
        <v>0</v>
      </c>
      <c r="W22">
        <f>'C26'!Y27</f>
        <v>0</v>
      </c>
      <c r="X22">
        <f>'C27'!Y27</f>
        <v>0</v>
      </c>
      <c r="Y22">
        <f>'C25'!Y27</f>
        <v>0</v>
      </c>
      <c r="Z22">
        <f>'C23'!Y27</f>
        <v>0</v>
      </c>
      <c r="AA22">
        <f>'C15'!Y27</f>
        <v>0</v>
      </c>
      <c r="AB22">
        <f>'C24'!Y27</f>
        <v>0</v>
      </c>
      <c r="AC22">
        <f>'C22'!Y27</f>
        <v>407.36</v>
      </c>
      <c r="AD22">
        <f>'C33'!Y27</f>
        <v>0</v>
      </c>
      <c r="AE22">
        <f>'C32'!Y27</f>
        <v>0</v>
      </c>
      <c r="AF22">
        <f>'C28'!Y27</f>
        <v>0</v>
      </c>
      <c r="AG22">
        <f>'C40'!Y27</f>
        <v>0</v>
      </c>
      <c r="AH22">
        <f>'C30'!Y27</f>
        <v>0</v>
      </c>
      <c r="AI22">
        <f>'C31'!Y27</f>
        <v>0</v>
      </c>
      <c r="AJ22">
        <f>'C39'!Y27</f>
        <v>0</v>
      </c>
      <c r="AK22">
        <f>'C36'!Y27</f>
        <v>0</v>
      </c>
      <c r="AL22">
        <f>'C37'!Y27</f>
        <v>0</v>
      </c>
      <c r="AM22">
        <f>'C38'!Y27</f>
        <v>0</v>
      </c>
      <c r="AN22">
        <f>'C34'!Y27</f>
        <v>0</v>
      </c>
      <c r="AO22">
        <f>'C35'!Y27</f>
        <v>0</v>
      </c>
    </row>
    <row r="23" spans="1:41" ht="16.5">
      <c r="A23" s="1">
        <v>1968</v>
      </c>
      <c r="B23">
        <f>'C01'!Y28</f>
        <v>0</v>
      </c>
      <c r="C23">
        <f>'C03'!Y28</f>
        <v>0</v>
      </c>
      <c r="D23">
        <f>'C02'!Y28</f>
        <v>0</v>
      </c>
      <c r="E23">
        <f>'C04'!Y28</f>
        <v>12961.619999999999</v>
      </c>
      <c r="F23">
        <f>'C07'!Y28</f>
        <v>0</v>
      </c>
      <c r="G23">
        <f>'C08'!Y28</f>
        <v>0</v>
      </c>
      <c r="H23">
        <f>'C06'!Y28</f>
        <v>0</v>
      </c>
      <c r="I23">
        <f>'C10'!Y28</f>
        <v>0</v>
      </c>
      <c r="J23">
        <f>'C16'!Y28</f>
        <v>0</v>
      </c>
      <c r="K23">
        <f>'C11'!Y28</f>
        <v>0</v>
      </c>
      <c r="L23">
        <f>'C05'!Y28</f>
        <v>1867.5</v>
      </c>
      <c r="M23">
        <f>'C09'!Y28</f>
        <v>0</v>
      </c>
      <c r="N23">
        <f>'C14'!Y28</f>
        <v>0</v>
      </c>
      <c r="O23">
        <f>'C18'!Y28</f>
        <v>0</v>
      </c>
      <c r="P23">
        <f>'C21'!Y28</f>
        <v>0</v>
      </c>
      <c r="Q23">
        <f>'C29'!Y28</f>
        <v>0</v>
      </c>
      <c r="R23">
        <f>'C13'!Y28</f>
        <v>0</v>
      </c>
      <c r="S23">
        <f>'C12'!Y28</f>
        <v>823.21999999999991</v>
      </c>
      <c r="T23">
        <f>'C20'!Y28</f>
        <v>0</v>
      </c>
      <c r="U23">
        <f>'C19'!Y28</f>
        <v>654.36000000000013</v>
      </c>
      <c r="V23">
        <f>'C17'!Y28</f>
        <v>0</v>
      </c>
      <c r="W23">
        <f>'C26'!Y28</f>
        <v>0</v>
      </c>
      <c r="X23">
        <f>'C27'!Y28</f>
        <v>0</v>
      </c>
      <c r="Y23">
        <f>'C25'!Y28</f>
        <v>0</v>
      </c>
      <c r="Z23">
        <f>'C23'!Y28</f>
        <v>0</v>
      </c>
      <c r="AA23">
        <f>'C15'!Y28</f>
        <v>0</v>
      </c>
      <c r="AB23">
        <f>'C24'!Y28</f>
        <v>0</v>
      </c>
      <c r="AC23">
        <f>'C22'!Y28</f>
        <v>2651.5999999999995</v>
      </c>
      <c r="AD23">
        <f>'C33'!Y28</f>
        <v>0</v>
      </c>
      <c r="AE23">
        <f>'C32'!Y28</f>
        <v>0</v>
      </c>
      <c r="AF23">
        <f>'C28'!Y28</f>
        <v>0</v>
      </c>
      <c r="AG23">
        <f>'C40'!Y28</f>
        <v>0</v>
      </c>
      <c r="AH23">
        <f>'C30'!Y28</f>
        <v>0</v>
      </c>
      <c r="AI23">
        <f>'C31'!Y28</f>
        <v>0</v>
      </c>
      <c r="AJ23">
        <f>'C39'!Y28</f>
        <v>0</v>
      </c>
      <c r="AK23">
        <f>'C36'!Y28</f>
        <v>0</v>
      </c>
      <c r="AL23">
        <f>'C37'!Y28</f>
        <v>0</v>
      </c>
      <c r="AM23">
        <f>'C38'!Y28</f>
        <v>0</v>
      </c>
      <c r="AN23">
        <f>'C34'!Y28</f>
        <v>0</v>
      </c>
      <c r="AO23">
        <f>'C35'!Y28</f>
        <v>0</v>
      </c>
    </row>
    <row r="24" spans="1:41" ht="16.5">
      <c r="A24" s="1">
        <v>1969</v>
      </c>
      <c r="B24">
        <f>'C01'!Y29</f>
        <v>0</v>
      </c>
      <c r="C24">
        <f>'C03'!Y29</f>
        <v>0</v>
      </c>
      <c r="D24">
        <f>'C02'!Y29</f>
        <v>0</v>
      </c>
      <c r="E24">
        <f>'C04'!Y29</f>
        <v>2156.94</v>
      </c>
      <c r="F24">
        <f>'C07'!Y29</f>
        <v>0</v>
      </c>
      <c r="G24">
        <f>'C08'!Y29</f>
        <v>0</v>
      </c>
      <c r="H24">
        <f>'C06'!Y29</f>
        <v>0</v>
      </c>
      <c r="I24">
        <f>'C10'!Y29</f>
        <v>0</v>
      </c>
      <c r="J24">
        <f>'C16'!Y29</f>
        <v>0</v>
      </c>
      <c r="K24">
        <f>'C11'!Y29</f>
        <v>0</v>
      </c>
      <c r="L24">
        <f>'C05'!Y29</f>
        <v>2186.88</v>
      </c>
      <c r="M24">
        <f>'C09'!Y29</f>
        <v>0</v>
      </c>
      <c r="N24">
        <f>'C14'!Y29</f>
        <v>0</v>
      </c>
      <c r="O24">
        <f>'C18'!Y29</f>
        <v>0</v>
      </c>
      <c r="P24">
        <f>'C21'!Y29</f>
        <v>0</v>
      </c>
      <c r="Q24">
        <f>'C29'!Y29</f>
        <v>0</v>
      </c>
      <c r="R24">
        <f>'C13'!Y29</f>
        <v>0</v>
      </c>
      <c r="S24">
        <f>'C12'!Y29</f>
        <v>8378.4600000000009</v>
      </c>
      <c r="T24">
        <f>'C20'!Y29</f>
        <v>0</v>
      </c>
      <c r="U24">
        <f>'C19'!Y29</f>
        <v>1212.0800000000002</v>
      </c>
      <c r="V24">
        <f>'C17'!Y29</f>
        <v>0</v>
      </c>
      <c r="W24">
        <f>'C26'!Y29</f>
        <v>0</v>
      </c>
      <c r="X24">
        <f>'C27'!Y29</f>
        <v>0</v>
      </c>
      <c r="Y24">
        <f>'C25'!Y29</f>
        <v>0</v>
      </c>
      <c r="Z24">
        <f>'C23'!Y29</f>
        <v>0</v>
      </c>
      <c r="AA24">
        <f>'C15'!Y29</f>
        <v>0</v>
      </c>
      <c r="AB24">
        <f>'C24'!Y29</f>
        <v>0</v>
      </c>
      <c r="AC24">
        <f>'C22'!Y29</f>
        <v>2558</v>
      </c>
      <c r="AD24">
        <f>'C33'!Y29</f>
        <v>0</v>
      </c>
      <c r="AE24">
        <f>'C32'!Y29</f>
        <v>0</v>
      </c>
      <c r="AF24">
        <f>'C28'!Y29</f>
        <v>0</v>
      </c>
      <c r="AG24">
        <f>'C40'!Y29</f>
        <v>0</v>
      </c>
      <c r="AH24">
        <f>'C30'!Y29</f>
        <v>0</v>
      </c>
      <c r="AI24">
        <f>'C31'!Y29</f>
        <v>0</v>
      </c>
      <c r="AJ24">
        <f>'C39'!Y29</f>
        <v>0</v>
      </c>
      <c r="AK24">
        <f>'C36'!Y29</f>
        <v>0</v>
      </c>
      <c r="AL24">
        <f>'C37'!Y29</f>
        <v>0</v>
      </c>
      <c r="AM24">
        <f>'C38'!Y29</f>
        <v>0</v>
      </c>
      <c r="AN24">
        <f>'C34'!Y29</f>
        <v>0</v>
      </c>
      <c r="AO24">
        <f>'C35'!Y29</f>
        <v>0</v>
      </c>
    </row>
    <row r="25" spans="1:41" ht="16.5">
      <c r="A25" s="1">
        <v>1970</v>
      </c>
      <c r="B25">
        <f>'C01'!Y30</f>
        <v>0</v>
      </c>
      <c r="C25">
        <f>'C03'!Y30</f>
        <v>0</v>
      </c>
      <c r="D25">
        <f>'C02'!Y30</f>
        <v>862.2</v>
      </c>
      <c r="E25">
        <f>'C04'!Y30</f>
        <v>437.09000000000003</v>
      </c>
      <c r="F25">
        <f>'C07'!Y30</f>
        <v>0</v>
      </c>
      <c r="G25">
        <f>'C08'!Y30</f>
        <v>0</v>
      </c>
      <c r="H25">
        <f>'C06'!Y30</f>
        <v>0</v>
      </c>
      <c r="I25">
        <f>'C10'!Y30</f>
        <v>0</v>
      </c>
      <c r="J25">
        <f>'C16'!Y30</f>
        <v>0</v>
      </c>
      <c r="K25">
        <f>'C11'!Y30</f>
        <v>0</v>
      </c>
      <c r="L25">
        <f>'C05'!Y30</f>
        <v>0</v>
      </c>
      <c r="M25">
        <f>'C09'!Y30</f>
        <v>0</v>
      </c>
      <c r="N25">
        <f>'C14'!Y30</f>
        <v>0</v>
      </c>
      <c r="O25">
        <f>'C18'!Y30</f>
        <v>0</v>
      </c>
      <c r="P25">
        <f>'C21'!Y30</f>
        <v>0</v>
      </c>
      <c r="Q25">
        <f>'C29'!Y30</f>
        <v>0</v>
      </c>
      <c r="R25">
        <f>'C13'!Y30</f>
        <v>0</v>
      </c>
      <c r="S25">
        <f>'C12'!Y30</f>
        <v>4208.1000000000004</v>
      </c>
      <c r="T25">
        <f>'C20'!Y30</f>
        <v>0</v>
      </c>
      <c r="U25">
        <f>'C19'!Y30</f>
        <v>266.60000000000002</v>
      </c>
      <c r="V25">
        <f>'C17'!Y30</f>
        <v>0</v>
      </c>
      <c r="W25">
        <f>'C26'!Y30</f>
        <v>0</v>
      </c>
      <c r="X25">
        <f>'C27'!Y30</f>
        <v>0</v>
      </c>
      <c r="Y25">
        <f>'C25'!Y30</f>
        <v>0</v>
      </c>
      <c r="Z25">
        <f>'C23'!Y30</f>
        <v>0</v>
      </c>
      <c r="AA25">
        <f>'C15'!Y30</f>
        <v>0</v>
      </c>
      <c r="AB25">
        <f>'C24'!Y30</f>
        <v>0</v>
      </c>
      <c r="AC25">
        <f>'C22'!Y30</f>
        <v>232</v>
      </c>
      <c r="AD25">
        <f>'C33'!Y30</f>
        <v>0</v>
      </c>
      <c r="AE25">
        <f>'C32'!Y30</f>
        <v>0</v>
      </c>
      <c r="AF25">
        <f>'C28'!Y30</f>
        <v>0</v>
      </c>
      <c r="AG25">
        <f>'C40'!Y30</f>
        <v>0</v>
      </c>
      <c r="AH25">
        <f>'C30'!Y30</f>
        <v>0</v>
      </c>
      <c r="AI25">
        <f>'C31'!Y30</f>
        <v>0</v>
      </c>
      <c r="AJ25">
        <f>'C39'!Y30</f>
        <v>0</v>
      </c>
      <c r="AK25">
        <f>'C36'!Y30</f>
        <v>0</v>
      </c>
      <c r="AL25">
        <f>'C37'!Y30</f>
        <v>0</v>
      </c>
      <c r="AM25">
        <f>'C38'!Y30</f>
        <v>0</v>
      </c>
      <c r="AN25">
        <f>'C34'!Y30</f>
        <v>0</v>
      </c>
      <c r="AO25">
        <f>'C35'!Y30</f>
        <v>0</v>
      </c>
    </row>
    <row r="26" spans="1:41" ht="16.5">
      <c r="A26" s="1">
        <v>1971</v>
      </c>
      <c r="B26">
        <f>'C01'!Y31</f>
        <v>0</v>
      </c>
      <c r="C26">
        <f>'C03'!Y31</f>
        <v>0</v>
      </c>
      <c r="D26">
        <f>'C02'!Y31</f>
        <v>29271.600000000002</v>
      </c>
      <c r="E26">
        <f>'C04'!Y31</f>
        <v>1343.94</v>
      </c>
      <c r="F26">
        <f>'C07'!Y31</f>
        <v>0</v>
      </c>
      <c r="G26">
        <f>'C08'!Y31</f>
        <v>0</v>
      </c>
      <c r="H26">
        <f>'C06'!Y31</f>
        <v>0</v>
      </c>
      <c r="I26">
        <f>'C10'!Y31</f>
        <v>0</v>
      </c>
      <c r="J26">
        <f>'C16'!Y31</f>
        <v>0</v>
      </c>
      <c r="K26">
        <f>'C11'!Y31</f>
        <v>0</v>
      </c>
      <c r="L26">
        <f>'C05'!Y31</f>
        <v>0</v>
      </c>
      <c r="M26">
        <f>'C09'!Y31</f>
        <v>0</v>
      </c>
      <c r="N26">
        <f>'C14'!Y31</f>
        <v>0</v>
      </c>
      <c r="O26">
        <f>'C18'!Y31</f>
        <v>0</v>
      </c>
      <c r="P26">
        <f>'C21'!Y31</f>
        <v>0</v>
      </c>
      <c r="Q26">
        <f>'C29'!Y31</f>
        <v>0</v>
      </c>
      <c r="R26">
        <f>'C13'!Y31</f>
        <v>0</v>
      </c>
      <c r="S26">
        <f>'C12'!Y31</f>
        <v>972.90000000000009</v>
      </c>
      <c r="T26">
        <f>'C20'!Y31</f>
        <v>0</v>
      </c>
      <c r="U26">
        <f>'C19'!Y31</f>
        <v>3053.95</v>
      </c>
      <c r="V26">
        <f>'C17'!Y31</f>
        <v>0</v>
      </c>
      <c r="W26">
        <f>'C26'!Y31</f>
        <v>0</v>
      </c>
      <c r="X26">
        <f>'C27'!Y31</f>
        <v>0</v>
      </c>
      <c r="Y26">
        <f>'C25'!Y31</f>
        <v>0</v>
      </c>
      <c r="Z26">
        <f>'C23'!Y31</f>
        <v>0</v>
      </c>
      <c r="AA26">
        <f>'C15'!Y31</f>
        <v>0</v>
      </c>
      <c r="AB26">
        <f>'C24'!Y31</f>
        <v>0</v>
      </c>
      <c r="AC26">
        <f>'C22'!Y31</f>
        <v>561.6</v>
      </c>
      <c r="AD26">
        <f>'C33'!Y31</f>
        <v>0</v>
      </c>
      <c r="AE26">
        <f>'C32'!Y31</f>
        <v>0</v>
      </c>
      <c r="AF26">
        <f>'C28'!Y31</f>
        <v>0</v>
      </c>
      <c r="AG26">
        <f>'C40'!Y31</f>
        <v>0</v>
      </c>
      <c r="AH26">
        <f>'C30'!Y31</f>
        <v>0</v>
      </c>
      <c r="AI26">
        <f>'C31'!Y31</f>
        <v>0</v>
      </c>
      <c r="AJ26">
        <f>'C39'!Y31</f>
        <v>0</v>
      </c>
      <c r="AK26">
        <f>'C36'!Y31</f>
        <v>0</v>
      </c>
      <c r="AL26">
        <f>'C37'!Y31</f>
        <v>0</v>
      </c>
      <c r="AM26">
        <f>'C38'!Y31</f>
        <v>0</v>
      </c>
      <c r="AN26">
        <f>'C34'!Y31</f>
        <v>0</v>
      </c>
      <c r="AO26">
        <f>'C35'!Y31</f>
        <v>0</v>
      </c>
    </row>
    <row r="27" spans="1:41" ht="16.5">
      <c r="A27" s="1">
        <v>1972</v>
      </c>
      <c r="B27">
        <f>'C01'!Y32</f>
        <v>0</v>
      </c>
      <c r="C27">
        <f>'C03'!Y32</f>
        <v>0</v>
      </c>
      <c r="D27">
        <f>'C02'!Y32</f>
        <v>12966.72</v>
      </c>
      <c r="E27">
        <f>'C04'!Y32</f>
        <v>10668.8</v>
      </c>
      <c r="F27">
        <f>'C07'!Y32</f>
        <v>0</v>
      </c>
      <c r="G27">
        <f>'C08'!Y32</f>
        <v>0</v>
      </c>
      <c r="H27">
        <f>'C06'!Y32</f>
        <v>0</v>
      </c>
      <c r="I27">
        <f>'C10'!Y32</f>
        <v>0</v>
      </c>
      <c r="J27">
        <f>'C16'!Y32</f>
        <v>919.37</v>
      </c>
      <c r="K27">
        <f>'C11'!Y32</f>
        <v>0</v>
      </c>
      <c r="L27">
        <f>'C05'!Y32</f>
        <v>0</v>
      </c>
      <c r="M27">
        <f>'C09'!Y32</f>
        <v>0</v>
      </c>
      <c r="N27">
        <f>'C14'!Y32</f>
        <v>0</v>
      </c>
      <c r="O27">
        <f>'C18'!Y32</f>
        <v>0</v>
      </c>
      <c r="P27">
        <f>'C21'!Y32</f>
        <v>0</v>
      </c>
      <c r="Q27">
        <f>'C29'!Y32</f>
        <v>0</v>
      </c>
      <c r="R27">
        <f>'C13'!Y32</f>
        <v>0</v>
      </c>
      <c r="S27">
        <f>'C12'!Y32</f>
        <v>4664.97</v>
      </c>
      <c r="T27">
        <f>'C20'!Y32</f>
        <v>0</v>
      </c>
      <c r="U27">
        <f>'C19'!Y32</f>
        <v>347.97</v>
      </c>
      <c r="V27">
        <f>'C17'!Y32</f>
        <v>0</v>
      </c>
      <c r="W27">
        <f>'C26'!Y32</f>
        <v>0</v>
      </c>
      <c r="X27">
        <f>'C27'!Y32</f>
        <v>0</v>
      </c>
      <c r="Y27">
        <f>'C25'!Y32</f>
        <v>0</v>
      </c>
      <c r="Z27">
        <f>'C23'!Y32</f>
        <v>0</v>
      </c>
      <c r="AA27">
        <f>'C15'!Y32</f>
        <v>0</v>
      </c>
      <c r="AB27">
        <f>'C24'!Y32</f>
        <v>0</v>
      </c>
      <c r="AC27">
        <f>'C22'!Y32</f>
        <v>1554.27</v>
      </c>
      <c r="AD27">
        <f>'C33'!Y32</f>
        <v>0</v>
      </c>
      <c r="AE27">
        <f>'C32'!Y32</f>
        <v>0</v>
      </c>
      <c r="AF27">
        <f>'C28'!Y32</f>
        <v>0</v>
      </c>
      <c r="AG27">
        <f>'C40'!Y32</f>
        <v>0</v>
      </c>
      <c r="AH27">
        <f>'C30'!Y32</f>
        <v>0</v>
      </c>
      <c r="AI27">
        <f>'C31'!Y32</f>
        <v>0</v>
      </c>
      <c r="AJ27">
        <f>'C39'!Y32</f>
        <v>0</v>
      </c>
      <c r="AK27">
        <f>'C36'!Y32</f>
        <v>0</v>
      </c>
      <c r="AL27">
        <f>'C37'!Y32</f>
        <v>0</v>
      </c>
      <c r="AM27">
        <f>'C38'!Y32</f>
        <v>0</v>
      </c>
      <c r="AN27">
        <f>'C34'!Y32</f>
        <v>0</v>
      </c>
      <c r="AO27">
        <f>'C35'!Y32</f>
        <v>0</v>
      </c>
    </row>
    <row r="28" spans="1:41" ht="16.5">
      <c r="A28" s="1">
        <v>1973</v>
      </c>
      <c r="B28">
        <f>'C01'!Y33</f>
        <v>0</v>
      </c>
      <c r="C28">
        <f>'C03'!Y33</f>
        <v>0</v>
      </c>
      <c r="D28">
        <f>'C02'!Y33</f>
        <v>1570.8</v>
      </c>
      <c r="E28">
        <f>'C04'!Y33</f>
        <v>2702.6800000000003</v>
      </c>
      <c r="F28">
        <f>'C07'!Y33</f>
        <v>0</v>
      </c>
      <c r="G28">
        <f>'C08'!Y33</f>
        <v>0</v>
      </c>
      <c r="H28">
        <f>'C06'!Y33</f>
        <v>0</v>
      </c>
      <c r="I28">
        <f>'C10'!Y33</f>
        <v>0</v>
      </c>
      <c r="J28">
        <f>'C16'!Y33</f>
        <v>1993.44</v>
      </c>
      <c r="K28">
        <f>'C11'!Y33</f>
        <v>0</v>
      </c>
      <c r="L28">
        <f>'C05'!Y33</f>
        <v>0</v>
      </c>
      <c r="M28">
        <f>'C09'!Y33</f>
        <v>0</v>
      </c>
      <c r="N28">
        <f>'C14'!Y33</f>
        <v>0</v>
      </c>
      <c r="O28">
        <f>'C18'!Y33</f>
        <v>0</v>
      </c>
      <c r="P28">
        <f>'C21'!Y33</f>
        <v>0</v>
      </c>
      <c r="Q28">
        <f>'C29'!Y33</f>
        <v>0</v>
      </c>
      <c r="R28">
        <f>'C13'!Y33</f>
        <v>0</v>
      </c>
      <c r="S28">
        <f>'C12'!Y33</f>
        <v>1965.06</v>
      </c>
      <c r="T28">
        <f>'C20'!Y33</f>
        <v>0</v>
      </c>
      <c r="U28">
        <f>'C19'!Y33</f>
        <v>403.18</v>
      </c>
      <c r="V28">
        <f>'C17'!Y33</f>
        <v>0</v>
      </c>
      <c r="W28">
        <f>'C26'!Y33</f>
        <v>0</v>
      </c>
      <c r="X28">
        <f>'C27'!Y33</f>
        <v>0</v>
      </c>
      <c r="Y28">
        <f>'C25'!Y33</f>
        <v>0</v>
      </c>
      <c r="Z28">
        <f>'C23'!Y33</f>
        <v>0</v>
      </c>
      <c r="AA28">
        <f>'C15'!Y33</f>
        <v>0</v>
      </c>
      <c r="AB28">
        <f>'C24'!Y33</f>
        <v>0</v>
      </c>
      <c r="AC28">
        <f>'C22'!Y33</f>
        <v>1528.8300000000002</v>
      </c>
      <c r="AD28">
        <f>'C33'!Y33</f>
        <v>0</v>
      </c>
      <c r="AE28">
        <f>'C32'!Y33</f>
        <v>0</v>
      </c>
      <c r="AF28">
        <f>'C28'!Y33</f>
        <v>0</v>
      </c>
      <c r="AG28">
        <f>'C40'!Y33</f>
        <v>0</v>
      </c>
      <c r="AH28">
        <f>'C30'!Y33</f>
        <v>0</v>
      </c>
      <c r="AI28">
        <f>'C31'!Y33</f>
        <v>0</v>
      </c>
      <c r="AJ28">
        <f>'C39'!Y33</f>
        <v>0</v>
      </c>
      <c r="AK28">
        <f>'C36'!Y33</f>
        <v>0</v>
      </c>
      <c r="AL28">
        <f>'C37'!Y33</f>
        <v>0</v>
      </c>
      <c r="AM28">
        <f>'C38'!Y33</f>
        <v>0</v>
      </c>
      <c r="AN28">
        <f>'C34'!Y33</f>
        <v>0</v>
      </c>
      <c r="AO28">
        <f>'C35'!Y33</f>
        <v>0</v>
      </c>
    </row>
    <row r="29" spans="1:41" ht="16.5">
      <c r="A29" s="1">
        <v>1974</v>
      </c>
      <c r="B29">
        <f>'C01'!Y34</f>
        <v>0</v>
      </c>
      <c r="C29">
        <f>'C03'!Y34</f>
        <v>0</v>
      </c>
      <c r="D29">
        <f>'C02'!Y34</f>
        <v>14079.009999999998</v>
      </c>
      <c r="E29">
        <f>'C04'!Y34</f>
        <v>0</v>
      </c>
      <c r="F29">
        <f>'C07'!Y34</f>
        <v>0</v>
      </c>
      <c r="G29">
        <f>'C08'!Y34</f>
        <v>0</v>
      </c>
      <c r="H29">
        <f>'C06'!Y34</f>
        <v>0</v>
      </c>
      <c r="I29">
        <f>'C10'!Y34</f>
        <v>0</v>
      </c>
      <c r="J29">
        <f>'C16'!Y34</f>
        <v>14876</v>
      </c>
      <c r="K29">
        <f>'C11'!Y34</f>
        <v>0</v>
      </c>
      <c r="L29">
        <f>'C05'!Y34</f>
        <v>0</v>
      </c>
      <c r="M29">
        <f>'C09'!Y34</f>
        <v>0</v>
      </c>
      <c r="N29">
        <f>'C14'!Y34</f>
        <v>0</v>
      </c>
      <c r="O29">
        <f>'C18'!Y34</f>
        <v>0</v>
      </c>
      <c r="P29">
        <f>'C21'!Y34</f>
        <v>0</v>
      </c>
      <c r="Q29">
        <f>'C29'!Y34</f>
        <v>0</v>
      </c>
      <c r="R29">
        <f>'C13'!Y34</f>
        <v>0</v>
      </c>
      <c r="S29">
        <f>'C12'!Y34</f>
        <v>86.88</v>
      </c>
      <c r="T29">
        <f>'C20'!Y34</f>
        <v>0</v>
      </c>
      <c r="U29">
        <f>'C19'!Y34</f>
        <v>286.73</v>
      </c>
      <c r="V29">
        <f>'C17'!Y34</f>
        <v>0</v>
      </c>
      <c r="W29">
        <f>'C26'!Y34</f>
        <v>0</v>
      </c>
      <c r="X29">
        <f>'C27'!Y34</f>
        <v>0</v>
      </c>
      <c r="Y29">
        <f>'C25'!Y34</f>
        <v>0</v>
      </c>
      <c r="Z29">
        <f>'C23'!Y34</f>
        <v>0</v>
      </c>
      <c r="AA29">
        <f>'C15'!Y34</f>
        <v>0</v>
      </c>
      <c r="AB29">
        <f>'C24'!Y34</f>
        <v>0</v>
      </c>
      <c r="AC29">
        <f>'C22'!Y34</f>
        <v>9711.4499999999989</v>
      </c>
      <c r="AD29">
        <f>'C33'!Y34</f>
        <v>0</v>
      </c>
      <c r="AE29">
        <f>'C32'!Y34</f>
        <v>0</v>
      </c>
      <c r="AF29">
        <f>'C28'!Y34</f>
        <v>0</v>
      </c>
      <c r="AG29">
        <f>'C40'!Y34</f>
        <v>0</v>
      </c>
      <c r="AH29">
        <f>'C30'!Y34</f>
        <v>0</v>
      </c>
      <c r="AI29">
        <f>'C31'!Y34</f>
        <v>0</v>
      </c>
      <c r="AJ29">
        <f>'C39'!Y34</f>
        <v>0</v>
      </c>
      <c r="AK29">
        <f>'C36'!Y34</f>
        <v>0</v>
      </c>
      <c r="AL29">
        <f>'C37'!Y34</f>
        <v>0</v>
      </c>
      <c r="AM29">
        <f>'C38'!Y34</f>
        <v>0</v>
      </c>
      <c r="AN29">
        <f>'C34'!Y34</f>
        <v>0</v>
      </c>
      <c r="AO29">
        <f>'C35'!Y34</f>
        <v>0</v>
      </c>
    </row>
    <row r="30" spans="1:41" ht="16.5">
      <c r="A30" s="1">
        <v>1975</v>
      </c>
      <c r="B30">
        <f>'C01'!Y35</f>
        <v>0</v>
      </c>
      <c r="C30">
        <f>'C03'!Y35</f>
        <v>0</v>
      </c>
      <c r="D30">
        <f>'C02'!Y35</f>
        <v>1467.84</v>
      </c>
      <c r="E30">
        <f>'C04'!Y35</f>
        <v>0</v>
      </c>
      <c r="F30">
        <f>'C07'!Y35</f>
        <v>0</v>
      </c>
      <c r="G30">
        <f>'C08'!Y35</f>
        <v>0</v>
      </c>
      <c r="H30">
        <f>'C06'!Y35</f>
        <v>0</v>
      </c>
      <c r="I30">
        <f>'C10'!Y35</f>
        <v>0</v>
      </c>
      <c r="J30">
        <f>'C16'!Y35</f>
        <v>6280.2</v>
      </c>
      <c r="K30">
        <f>'C11'!Y35</f>
        <v>0</v>
      </c>
      <c r="L30">
        <f>'C05'!Y35</f>
        <v>0</v>
      </c>
      <c r="M30">
        <f>'C09'!Y35</f>
        <v>0</v>
      </c>
      <c r="N30">
        <f>'C14'!Y35</f>
        <v>0</v>
      </c>
      <c r="O30">
        <f>'C18'!Y35</f>
        <v>0</v>
      </c>
      <c r="P30">
        <f>'C21'!Y35</f>
        <v>0</v>
      </c>
      <c r="Q30">
        <f>'C29'!Y35</f>
        <v>0</v>
      </c>
      <c r="R30">
        <f>'C13'!Y35</f>
        <v>473.62</v>
      </c>
      <c r="S30">
        <f>'C12'!Y35</f>
        <v>0</v>
      </c>
      <c r="T30">
        <f>'C20'!Y35</f>
        <v>0</v>
      </c>
      <c r="U30">
        <f>'C19'!Y35</f>
        <v>0</v>
      </c>
      <c r="V30">
        <f>'C17'!Y35</f>
        <v>0</v>
      </c>
      <c r="W30">
        <f>'C26'!Y35</f>
        <v>0</v>
      </c>
      <c r="X30">
        <f>'C27'!Y35</f>
        <v>0</v>
      </c>
      <c r="Y30">
        <f>'C25'!Y35</f>
        <v>0</v>
      </c>
      <c r="Z30">
        <f>'C23'!Y35</f>
        <v>0</v>
      </c>
      <c r="AA30">
        <f>'C15'!Y35</f>
        <v>0</v>
      </c>
      <c r="AB30">
        <f>'C24'!Y35</f>
        <v>0</v>
      </c>
      <c r="AC30">
        <f>'C22'!Y35</f>
        <v>702.78</v>
      </c>
      <c r="AD30">
        <f>'C33'!Y35</f>
        <v>0</v>
      </c>
      <c r="AE30">
        <f>'C32'!Y35</f>
        <v>0</v>
      </c>
      <c r="AF30">
        <f>'C28'!Y35</f>
        <v>0</v>
      </c>
      <c r="AG30">
        <f>'C40'!Y35</f>
        <v>0</v>
      </c>
      <c r="AH30">
        <f>'C30'!Y35</f>
        <v>0</v>
      </c>
      <c r="AI30">
        <f>'C31'!Y35</f>
        <v>0</v>
      </c>
      <c r="AJ30">
        <f>'C39'!Y35</f>
        <v>0</v>
      </c>
      <c r="AK30">
        <f>'C36'!Y35</f>
        <v>0</v>
      </c>
      <c r="AL30">
        <f>'C37'!Y35</f>
        <v>0</v>
      </c>
      <c r="AM30">
        <f>'C38'!Y35</f>
        <v>0</v>
      </c>
      <c r="AN30">
        <f>'C34'!Y35</f>
        <v>0</v>
      </c>
      <c r="AO30">
        <f>'C35'!Y35</f>
        <v>0</v>
      </c>
    </row>
    <row r="31" spans="1:41" ht="16.5">
      <c r="A31" s="1">
        <v>1976</v>
      </c>
      <c r="B31">
        <f>'C01'!Y36</f>
        <v>0</v>
      </c>
      <c r="C31">
        <f>'C03'!Y36</f>
        <v>0</v>
      </c>
      <c r="D31">
        <f>'C02'!Y36</f>
        <v>6854.4</v>
      </c>
      <c r="E31">
        <f>'C04'!Y36</f>
        <v>0</v>
      </c>
      <c r="F31">
        <f>'C07'!Y36</f>
        <v>0</v>
      </c>
      <c r="G31">
        <f>'C08'!Y36</f>
        <v>0</v>
      </c>
      <c r="H31">
        <f>'C06'!Y36</f>
        <v>0</v>
      </c>
      <c r="I31">
        <f>'C10'!Y36</f>
        <v>0</v>
      </c>
      <c r="J31">
        <f>'C16'!Y36</f>
        <v>21907.73</v>
      </c>
      <c r="K31">
        <f>'C11'!Y36</f>
        <v>0</v>
      </c>
      <c r="L31">
        <f>'C05'!Y36</f>
        <v>0</v>
      </c>
      <c r="M31">
        <f>'C09'!Y36</f>
        <v>0</v>
      </c>
      <c r="N31">
        <f>'C14'!Y36</f>
        <v>0</v>
      </c>
      <c r="O31">
        <f>'C18'!Y36</f>
        <v>0</v>
      </c>
      <c r="P31">
        <f>'C21'!Y36</f>
        <v>0</v>
      </c>
      <c r="Q31">
        <f>'C29'!Y36</f>
        <v>0</v>
      </c>
      <c r="R31">
        <f>'C13'!Y36</f>
        <v>48.72</v>
      </c>
      <c r="S31">
        <f>'C12'!Y36</f>
        <v>0</v>
      </c>
      <c r="T31">
        <f>'C20'!Y36</f>
        <v>0</v>
      </c>
      <c r="U31">
        <f>'C19'!Y36</f>
        <v>0</v>
      </c>
      <c r="V31">
        <f>'C17'!Y36</f>
        <v>0</v>
      </c>
      <c r="W31">
        <f>'C26'!Y36</f>
        <v>0</v>
      </c>
      <c r="X31">
        <f>'C27'!Y36</f>
        <v>0</v>
      </c>
      <c r="Y31">
        <f>'C25'!Y36</f>
        <v>0</v>
      </c>
      <c r="Z31">
        <f>'C23'!Y36</f>
        <v>0</v>
      </c>
      <c r="AA31">
        <f>'C15'!Y36</f>
        <v>0</v>
      </c>
      <c r="AB31">
        <f>'C24'!Y36</f>
        <v>0</v>
      </c>
      <c r="AC31">
        <f>'C22'!Y36</f>
        <v>1678.2000000000003</v>
      </c>
      <c r="AD31">
        <f>'C33'!Y36</f>
        <v>0</v>
      </c>
      <c r="AE31">
        <f>'C32'!Y36</f>
        <v>0</v>
      </c>
      <c r="AF31">
        <f>'C28'!Y36</f>
        <v>0</v>
      </c>
      <c r="AG31">
        <f>'C40'!Y36</f>
        <v>0</v>
      </c>
      <c r="AH31">
        <f>'C30'!Y36</f>
        <v>0</v>
      </c>
      <c r="AI31">
        <f>'C31'!Y36</f>
        <v>0</v>
      </c>
      <c r="AJ31">
        <f>'C39'!Y36</f>
        <v>0</v>
      </c>
      <c r="AK31">
        <f>'C36'!Y36</f>
        <v>0</v>
      </c>
      <c r="AL31">
        <f>'C37'!Y36</f>
        <v>0</v>
      </c>
      <c r="AM31">
        <f>'C38'!Y36</f>
        <v>0</v>
      </c>
      <c r="AN31">
        <f>'C34'!Y36</f>
        <v>0</v>
      </c>
      <c r="AO31">
        <f>'C35'!Y36</f>
        <v>0</v>
      </c>
    </row>
    <row r="32" spans="1:41" ht="16.5">
      <c r="A32" s="1">
        <v>1977</v>
      </c>
      <c r="B32">
        <f>'C01'!Y37</f>
        <v>0</v>
      </c>
      <c r="C32">
        <f>'C03'!Y37</f>
        <v>0</v>
      </c>
      <c r="D32">
        <f>'C02'!Y37</f>
        <v>12030.4</v>
      </c>
      <c r="E32">
        <f>'C04'!Y37</f>
        <v>0</v>
      </c>
      <c r="F32">
        <f>'C07'!Y37</f>
        <v>0</v>
      </c>
      <c r="G32">
        <f>'C08'!Y37</f>
        <v>0</v>
      </c>
      <c r="H32">
        <f>'C06'!Y37</f>
        <v>0</v>
      </c>
      <c r="I32">
        <f>'C10'!Y37</f>
        <v>0</v>
      </c>
      <c r="J32">
        <f>'C16'!Y37</f>
        <v>765.05</v>
      </c>
      <c r="K32">
        <f>'C11'!Y37</f>
        <v>0</v>
      </c>
      <c r="L32">
        <f>'C05'!Y37</f>
        <v>0</v>
      </c>
      <c r="M32">
        <f>'C09'!Y37</f>
        <v>0</v>
      </c>
      <c r="N32">
        <f>'C14'!Y37</f>
        <v>0</v>
      </c>
      <c r="O32">
        <f>'C18'!Y37</f>
        <v>0</v>
      </c>
      <c r="P32">
        <f>'C21'!Y37</f>
        <v>0</v>
      </c>
      <c r="Q32">
        <f>'C29'!Y37</f>
        <v>0</v>
      </c>
      <c r="R32">
        <f>'C13'!Y37</f>
        <v>441.81</v>
      </c>
      <c r="S32">
        <f>'C12'!Y37</f>
        <v>0</v>
      </c>
      <c r="T32">
        <f>'C20'!Y37</f>
        <v>0</v>
      </c>
      <c r="U32">
        <f>'C19'!Y37</f>
        <v>0</v>
      </c>
      <c r="V32">
        <f>'C17'!Y37</f>
        <v>0</v>
      </c>
      <c r="W32">
        <f>'C26'!Y37</f>
        <v>0</v>
      </c>
      <c r="X32">
        <f>'C27'!Y37</f>
        <v>0</v>
      </c>
      <c r="Y32">
        <f>'C25'!Y37</f>
        <v>0</v>
      </c>
      <c r="Z32">
        <f>'C23'!Y37</f>
        <v>0</v>
      </c>
      <c r="AA32">
        <f>'C15'!Y37</f>
        <v>0</v>
      </c>
      <c r="AB32">
        <f>'C24'!Y37</f>
        <v>0</v>
      </c>
      <c r="AC32">
        <f>'C22'!Y37</f>
        <v>186.26999999999998</v>
      </c>
      <c r="AD32">
        <f>'C33'!Y37</f>
        <v>0</v>
      </c>
      <c r="AE32">
        <f>'C32'!Y37</f>
        <v>0</v>
      </c>
      <c r="AF32">
        <f>'C28'!Y37</f>
        <v>0</v>
      </c>
      <c r="AG32">
        <f>'C40'!Y37</f>
        <v>0</v>
      </c>
      <c r="AH32">
        <f>'C30'!Y37</f>
        <v>0</v>
      </c>
      <c r="AI32">
        <f>'C31'!Y37</f>
        <v>0</v>
      </c>
      <c r="AJ32">
        <f>'C39'!Y37</f>
        <v>0</v>
      </c>
      <c r="AK32">
        <f>'C36'!Y37</f>
        <v>0</v>
      </c>
      <c r="AL32">
        <f>'C37'!Y37</f>
        <v>0</v>
      </c>
      <c r="AM32">
        <f>'C38'!Y37</f>
        <v>0</v>
      </c>
      <c r="AN32">
        <f>'C34'!Y37</f>
        <v>0</v>
      </c>
      <c r="AO32">
        <f>'C35'!Y37</f>
        <v>0</v>
      </c>
    </row>
    <row r="33" spans="1:41" ht="16.5">
      <c r="A33" s="1">
        <v>1978</v>
      </c>
      <c r="B33">
        <f>'C01'!Y38</f>
        <v>0</v>
      </c>
      <c r="C33">
        <f>'C03'!Y38</f>
        <v>0</v>
      </c>
      <c r="D33">
        <f>'C02'!Y38</f>
        <v>535.81999999999994</v>
      </c>
      <c r="E33">
        <f>'C04'!Y38</f>
        <v>0</v>
      </c>
      <c r="F33">
        <f>'C07'!Y38</f>
        <v>0</v>
      </c>
      <c r="G33">
        <f>'C08'!Y38</f>
        <v>0</v>
      </c>
      <c r="H33">
        <f>'C06'!Y38</f>
        <v>0</v>
      </c>
      <c r="I33">
        <f>'C10'!Y38</f>
        <v>0</v>
      </c>
      <c r="J33">
        <f>'C16'!Y38</f>
        <v>925.93999999999994</v>
      </c>
      <c r="K33">
        <f>'C11'!Y38</f>
        <v>0</v>
      </c>
      <c r="L33">
        <f>'C05'!Y38</f>
        <v>0</v>
      </c>
      <c r="M33">
        <f>'C09'!Y38</f>
        <v>0</v>
      </c>
      <c r="N33">
        <f>'C14'!Y38</f>
        <v>0</v>
      </c>
      <c r="O33">
        <f>'C18'!Y38</f>
        <v>0</v>
      </c>
      <c r="P33">
        <f>'C21'!Y38</f>
        <v>0</v>
      </c>
      <c r="Q33">
        <f>'C29'!Y38</f>
        <v>0</v>
      </c>
      <c r="R33">
        <f>'C13'!Y38</f>
        <v>150.51999999999998</v>
      </c>
      <c r="S33">
        <f>'C12'!Y38</f>
        <v>0</v>
      </c>
      <c r="T33">
        <f>'C20'!Y38</f>
        <v>0</v>
      </c>
      <c r="U33">
        <f>'C19'!Y38</f>
        <v>0</v>
      </c>
      <c r="V33">
        <f>'C17'!Y38</f>
        <v>0</v>
      </c>
      <c r="W33">
        <f>'C26'!Y38</f>
        <v>0</v>
      </c>
      <c r="X33">
        <f>'C27'!Y38</f>
        <v>0</v>
      </c>
      <c r="Y33">
        <f>'C25'!Y38</f>
        <v>0</v>
      </c>
      <c r="Z33">
        <f>'C23'!Y38</f>
        <v>0</v>
      </c>
      <c r="AA33">
        <f>'C15'!Y38</f>
        <v>0</v>
      </c>
      <c r="AB33">
        <f>'C24'!Y38</f>
        <v>0</v>
      </c>
      <c r="AC33">
        <f>'C22'!Y38</f>
        <v>87.23</v>
      </c>
      <c r="AD33">
        <f>'C33'!Y38</f>
        <v>0</v>
      </c>
      <c r="AE33">
        <f>'C32'!Y38</f>
        <v>0</v>
      </c>
      <c r="AF33">
        <f>'C28'!Y38</f>
        <v>0</v>
      </c>
      <c r="AG33">
        <f>'C40'!Y38</f>
        <v>0</v>
      </c>
      <c r="AH33">
        <f>'C30'!Y38</f>
        <v>0</v>
      </c>
      <c r="AI33">
        <f>'C31'!Y38</f>
        <v>0</v>
      </c>
      <c r="AJ33">
        <f>'C39'!Y38</f>
        <v>0</v>
      </c>
      <c r="AK33">
        <f>'C36'!Y38</f>
        <v>0</v>
      </c>
      <c r="AL33">
        <f>'C37'!Y38</f>
        <v>0</v>
      </c>
      <c r="AM33">
        <f>'C38'!Y38</f>
        <v>0</v>
      </c>
      <c r="AN33">
        <f>'C34'!Y38</f>
        <v>0</v>
      </c>
      <c r="AO33">
        <f>'C35'!Y38</f>
        <v>0</v>
      </c>
    </row>
    <row r="34" spans="1:41" ht="16.5">
      <c r="A34" s="1">
        <v>1979</v>
      </c>
      <c r="B34">
        <f>'C01'!Y39</f>
        <v>0</v>
      </c>
      <c r="C34">
        <f>'C03'!Y39</f>
        <v>0</v>
      </c>
      <c r="D34">
        <f>'C02'!Y39</f>
        <v>3001.8</v>
      </c>
      <c r="E34">
        <f>'C04'!Y39</f>
        <v>0</v>
      </c>
      <c r="F34">
        <f>'C07'!Y39</f>
        <v>0</v>
      </c>
      <c r="G34">
        <f>'C08'!Y39</f>
        <v>0</v>
      </c>
      <c r="H34">
        <f>'C06'!Y39</f>
        <v>0</v>
      </c>
      <c r="I34">
        <f>'C10'!Y39</f>
        <v>0</v>
      </c>
      <c r="J34">
        <f>'C16'!Y39</f>
        <v>866.07999999999993</v>
      </c>
      <c r="K34">
        <f>'C11'!Y39</f>
        <v>0</v>
      </c>
      <c r="L34">
        <f>'C05'!Y39</f>
        <v>0</v>
      </c>
      <c r="M34">
        <f>'C09'!Y39</f>
        <v>0</v>
      </c>
      <c r="N34">
        <f>'C14'!Y39</f>
        <v>0</v>
      </c>
      <c r="O34">
        <f>'C18'!Y39</f>
        <v>0</v>
      </c>
      <c r="P34">
        <f>'C21'!Y39</f>
        <v>0</v>
      </c>
      <c r="Q34">
        <f>'C29'!Y39</f>
        <v>0</v>
      </c>
      <c r="R34">
        <f>'C13'!Y39</f>
        <v>5988.6200000000008</v>
      </c>
      <c r="S34">
        <f>'C12'!Y39</f>
        <v>0</v>
      </c>
      <c r="T34">
        <f>'C20'!Y39</f>
        <v>0</v>
      </c>
      <c r="U34">
        <f>'C19'!Y39</f>
        <v>0</v>
      </c>
      <c r="V34">
        <f>'C17'!Y39</f>
        <v>0</v>
      </c>
      <c r="W34">
        <f>'C26'!Y39</f>
        <v>0</v>
      </c>
      <c r="X34">
        <f>'C27'!Y39</f>
        <v>0</v>
      </c>
      <c r="Y34">
        <f>'C25'!Y39</f>
        <v>0</v>
      </c>
      <c r="Z34">
        <f>'C23'!Y39</f>
        <v>0</v>
      </c>
      <c r="AA34">
        <f>'C15'!Y39</f>
        <v>0</v>
      </c>
      <c r="AB34">
        <f>'C24'!Y39</f>
        <v>0</v>
      </c>
      <c r="AC34">
        <f>'C22'!Y39</f>
        <v>0</v>
      </c>
      <c r="AD34">
        <f>'C33'!Y39</f>
        <v>0</v>
      </c>
      <c r="AE34">
        <f>'C32'!Y39</f>
        <v>0</v>
      </c>
      <c r="AF34">
        <f>'C28'!Y39</f>
        <v>0</v>
      </c>
      <c r="AG34">
        <f>'C40'!Y39</f>
        <v>0</v>
      </c>
      <c r="AH34">
        <f>'C30'!Y39</f>
        <v>0</v>
      </c>
      <c r="AI34">
        <f>'C31'!Y39</f>
        <v>0</v>
      </c>
      <c r="AJ34">
        <f>'C39'!Y39</f>
        <v>0</v>
      </c>
      <c r="AK34">
        <f>'C36'!Y39</f>
        <v>0</v>
      </c>
      <c r="AL34">
        <f>'C37'!Y39</f>
        <v>0</v>
      </c>
      <c r="AM34">
        <f>'C38'!Y39</f>
        <v>0</v>
      </c>
      <c r="AN34">
        <f>'C34'!Y39</f>
        <v>0</v>
      </c>
      <c r="AO34">
        <f>'C35'!Y39</f>
        <v>0</v>
      </c>
    </row>
    <row r="35" spans="1:41" ht="16.5">
      <c r="A35" s="1">
        <v>1980</v>
      </c>
      <c r="B35">
        <f>'C01'!Y40</f>
        <v>0</v>
      </c>
      <c r="C35">
        <f>'C03'!Y40</f>
        <v>0</v>
      </c>
      <c r="D35">
        <f>'C02'!Y40</f>
        <v>16993.03</v>
      </c>
      <c r="E35">
        <f>'C04'!Y40</f>
        <v>0</v>
      </c>
      <c r="F35">
        <f>'C07'!Y40</f>
        <v>0</v>
      </c>
      <c r="G35">
        <f>'C08'!Y40</f>
        <v>0</v>
      </c>
      <c r="H35">
        <f>'C06'!Y40</f>
        <v>8538.4000000000015</v>
      </c>
      <c r="I35">
        <f>'C10'!Y40</f>
        <v>0</v>
      </c>
      <c r="J35">
        <f>'C16'!Y40</f>
        <v>1495.8</v>
      </c>
      <c r="K35">
        <f>'C11'!Y40</f>
        <v>0</v>
      </c>
      <c r="L35">
        <f>'C05'!Y40</f>
        <v>0</v>
      </c>
      <c r="M35">
        <f>'C09'!Y40</f>
        <v>884.5</v>
      </c>
      <c r="N35">
        <f>'C14'!Y40</f>
        <v>0</v>
      </c>
      <c r="O35">
        <f>'C18'!Y40</f>
        <v>0</v>
      </c>
      <c r="P35">
        <f>'C21'!Y40</f>
        <v>0</v>
      </c>
      <c r="Q35">
        <f>'C29'!Y40</f>
        <v>0</v>
      </c>
      <c r="R35">
        <f>'C13'!Y40</f>
        <v>1094.8800000000001</v>
      </c>
      <c r="S35">
        <f>'C12'!Y40</f>
        <v>0</v>
      </c>
      <c r="T35">
        <f>'C20'!Y40</f>
        <v>0</v>
      </c>
      <c r="U35">
        <f>'C19'!Y40</f>
        <v>0</v>
      </c>
      <c r="V35">
        <f>'C17'!Y40</f>
        <v>0</v>
      </c>
      <c r="W35">
        <f>'C26'!Y40</f>
        <v>0</v>
      </c>
      <c r="X35">
        <f>'C27'!Y40</f>
        <v>0</v>
      </c>
      <c r="Y35">
        <f>'C25'!Y40</f>
        <v>0</v>
      </c>
      <c r="Z35">
        <f>'C23'!Y40</f>
        <v>0</v>
      </c>
      <c r="AA35">
        <f>'C15'!Y40</f>
        <v>0</v>
      </c>
      <c r="AB35">
        <f>'C24'!Y40</f>
        <v>0</v>
      </c>
      <c r="AC35">
        <f>'C22'!Y40</f>
        <v>0</v>
      </c>
      <c r="AD35">
        <f>'C33'!Y40</f>
        <v>0</v>
      </c>
      <c r="AE35">
        <f>'C32'!Y40</f>
        <v>0</v>
      </c>
      <c r="AF35">
        <f>'C28'!Y40</f>
        <v>0</v>
      </c>
      <c r="AG35">
        <f>'C40'!Y40</f>
        <v>0</v>
      </c>
      <c r="AH35">
        <f>'C30'!Y40</f>
        <v>0</v>
      </c>
      <c r="AI35">
        <f>'C31'!Y40</f>
        <v>0</v>
      </c>
      <c r="AJ35">
        <f>'C39'!Y40</f>
        <v>0</v>
      </c>
      <c r="AK35">
        <f>'C36'!Y40</f>
        <v>0</v>
      </c>
      <c r="AL35">
        <f>'C37'!Y40</f>
        <v>0</v>
      </c>
      <c r="AM35">
        <f>'C38'!Y40</f>
        <v>0</v>
      </c>
      <c r="AN35">
        <f>'C34'!Y40</f>
        <v>0</v>
      </c>
      <c r="AO35">
        <f>'C35'!Y40</f>
        <v>0</v>
      </c>
    </row>
    <row r="36" spans="1:41" ht="16.5">
      <c r="A36" s="1">
        <v>1981</v>
      </c>
      <c r="B36">
        <f>'C01'!Y41</f>
        <v>0</v>
      </c>
      <c r="C36">
        <f>'C03'!Y41</f>
        <v>0</v>
      </c>
      <c r="D36">
        <f>'C02'!Y41</f>
        <v>1640.8500000000001</v>
      </c>
      <c r="E36">
        <f>'C04'!Y41</f>
        <v>0</v>
      </c>
      <c r="F36">
        <f>'C07'!Y41</f>
        <v>0</v>
      </c>
      <c r="G36">
        <f>'C08'!Y41</f>
        <v>0</v>
      </c>
      <c r="H36">
        <f>'C06'!Y41</f>
        <v>876.54</v>
      </c>
      <c r="I36">
        <f>'C10'!Y41</f>
        <v>0</v>
      </c>
      <c r="J36">
        <f>'C16'!Y41</f>
        <v>6186.8000000000011</v>
      </c>
      <c r="K36">
        <f>'C11'!Y41</f>
        <v>0</v>
      </c>
      <c r="L36">
        <f>'C05'!Y41</f>
        <v>0</v>
      </c>
      <c r="M36">
        <f>'C09'!Y41</f>
        <v>4090.32</v>
      </c>
      <c r="N36">
        <f>'C14'!Y41</f>
        <v>0</v>
      </c>
      <c r="O36">
        <f>'C18'!Y41</f>
        <v>0</v>
      </c>
      <c r="P36">
        <f>'C21'!Y41</f>
        <v>0</v>
      </c>
      <c r="Q36">
        <f>'C29'!Y41</f>
        <v>0</v>
      </c>
      <c r="R36">
        <f>'C13'!Y41</f>
        <v>2618.91</v>
      </c>
      <c r="S36">
        <f>'C12'!Y41</f>
        <v>0</v>
      </c>
      <c r="T36">
        <f>'C20'!Y41</f>
        <v>0</v>
      </c>
      <c r="U36">
        <f>'C19'!Y41</f>
        <v>0</v>
      </c>
      <c r="V36">
        <f>'C17'!Y41</f>
        <v>0</v>
      </c>
      <c r="W36">
        <f>'C26'!Y41</f>
        <v>0</v>
      </c>
      <c r="X36">
        <f>'C27'!Y41</f>
        <v>0</v>
      </c>
      <c r="Y36">
        <f>'C25'!Y41</f>
        <v>0</v>
      </c>
      <c r="Z36">
        <f>'C23'!Y41</f>
        <v>0</v>
      </c>
      <c r="AA36">
        <f>'C15'!Y41</f>
        <v>0</v>
      </c>
      <c r="AB36">
        <f>'C24'!Y41</f>
        <v>0</v>
      </c>
      <c r="AC36">
        <f>'C22'!Y41</f>
        <v>0</v>
      </c>
      <c r="AD36">
        <f>'C33'!Y41</f>
        <v>0</v>
      </c>
      <c r="AE36">
        <f>'C32'!Y41</f>
        <v>0</v>
      </c>
      <c r="AF36">
        <f>'C28'!Y41</f>
        <v>0</v>
      </c>
      <c r="AG36">
        <f>'C40'!Y41</f>
        <v>0</v>
      </c>
      <c r="AH36">
        <f>'C30'!Y41</f>
        <v>0</v>
      </c>
      <c r="AI36">
        <f>'C31'!Y41</f>
        <v>0</v>
      </c>
      <c r="AJ36">
        <f>'C39'!Y41</f>
        <v>0</v>
      </c>
      <c r="AK36">
        <f>'C36'!Y41</f>
        <v>0</v>
      </c>
      <c r="AL36">
        <f>'C37'!Y41</f>
        <v>0</v>
      </c>
      <c r="AM36">
        <f>'C38'!Y41</f>
        <v>0</v>
      </c>
      <c r="AN36">
        <f>'C34'!Y41</f>
        <v>0</v>
      </c>
      <c r="AO36">
        <f>'C35'!Y41</f>
        <v>0</v>
      </c>
    </row>
    <row r="37" spans="1:41" ht="16.5">
      <c r="A37" s="1">
        <v>1982</v>
      </c>
      <c r="B37">
        <f>'C01'!Y42</f>
        <v>0</v>
      </c>
      <c r="C37">
        <f>'C03'!Y42</f>
        <v>0</v>
      </c>
      <c r="D37">
        <f>'C02'!Y42</f>
        <v>2625.1499999999996</v>
      </c>
      <c r="E37">
        <f>'C04'!Y42</f>
        <v>0</v>
      </c>
      <c r="F37">
        <f>'C07'!Y42</f>
        <v>0</v>
      </c>
      <c r="G37">
        <f>'C08'!Y42</f>
        <v>0</v>
      </c>
      <c r="H37">
        <f>'C06'!Y42</f>
        <v>11018.4</v>
      </c>
      <c r="I37">
        <f>'C10'!Y42</f>
        <v>0</v>
      </c>
      <c r="J37">
        <f>'C16'!Y42</f>
        <v>4922.22</v>
      </c>
      <c r="K37">
        <f>'C11'!Y42</f>
        <v>0</v>
      </c>
      <c r="L37">
        <f>'C05'!Y42</f>
        <v>0</v>
      </c>
      <c r="M37">
        <f>'C09'!Y42</f>
        <v>1075.5999999999999</v>
      </c>
      <c r="N37">
        <f>'C14'!Y42</f>
        <v>0</v>
      </c>
      <c r="O37">
        <f>'C18'!Y42</f>
        <v>0</v>
      </c>
      <c r="P37">
        <f>'C21'!Y42</f>
        <v>0</v>
      </c>
      <c r="Q37">
        <f>'C29'!Y42</f>
        <v>0</v>
      </c>
      <c r="R37">
        <f>'C13'!Y42</f>
        <v>7461.24</v>
      </c>
      <c r="S37">
        <f>'C12'!Y42</f>
        <v>0</v>
      </c>
      <c r="T37">
        <f>'C20'!Y42</f>
        <v>0</v>
      </c>
      <c r="U37">
        <f>'C19'!Y42</f>
        <v>0</v>
      </c>
      <c r="V37">
        <f>'C17'!Y42</f>
        <v>0</v>
      </c>
      <c r="W37">
        <f>'C26'!Y42</f>
        <v>0</v>
      </c>
      <c r="X37">
        <f>'C27'!Y42</f>
        <v>0</v>
      </c>
      <c r="Y37">
        <f>'C25'!Y42</f>
        <v>0</v>
      </c>
      <c r="Z37">
        <f>'C23'!Y42</f>
        <v>0</v>
      </c>
      <c r="AA37">
        <f>'C15'!Y42</f>
        <v>0</v>
      </c>
      <c r="AB37">
        <f>'C24'!Y42</f>
        <v>0</v>
      </c>
      <c r="AC37">
        <f>'C22'!Y42</f>
        <v>0</v>
      </c>
      <c r="AD37">
        <f>'C33'!Y42</f>
        <v>0</v>
      </c>
      <c r="AE37">
        <f>'C32'!Y42</f>
        <v>0</v>
      </c>
      <c r="AF37">
        <f>'C28'!Y42</f>
        <v>0</v>
      </c>
      <c r="AG37">
        <f>'C40'!Y42</f>
        <v>0</v>
      </c>
      <c r="AH37">
        <f>'C30'!Y42</f>
        <v>0</v>
      </c>
      <c r="AI37">
        <f>'C31'!Y42</f>
        <v>0</v>
      </c>
      <c r="AJ37">
        <f>'C39'!Y42</f>
        <v>0</v>
      </c>
      <c r="AK37">
        <f>'C36'!Y42</f>
        <v>0</v>
      </c>
      <c r="AL37">
        <f>'C37'!Y42</f>
        <v>0</v>
      </c>
      <c r="AM37">
        <f>'C38'!Y42</f>
        <v>0</v>
      </c>
      <c r="AN37">
        <f>'C34'!Y42</f>
        <v>0</v>
      </c>
      <c r="AO37">
        <f>'C35'!Y42</f>
        <v>0</v>
      </c>
    </row>
    <row r="38" spans="1:41" ht="16.5">
      <c r="A38" s="1">
        <v>1983</v>
      </c>
      <c r="B38">
        <f>'C01'!Y43</f>
        <v>0</v>
      </c>
      <c r="C38">
        <f>'C03'!Y43</f>
        <v>0</v>
      </c>
      <c r="D38">
        <f>'C02'!Y43</f>
        <v>634.24</v>
      </c>
      <c r="E38">
        <f>'C04'!Y43</f>
        <v>0</v>
      </c>
      <c r="F38">
        <f>'C07'!Y43</f>
        <v>0</v>
      </c>
      <c r="G38">
        <f>'C08'!Y43</f>
        <v>0</v>
      </c>
      <c r="H38">
        <f>'C06'!Y43</f>
        <v>2519.1999999999998</v>
      </c>
      <c r="I38">
        <f>'C10'!Y43</f>
        <v>0</v>
      </c>
      <c r="J38">
        <f>'C16'!Y43</f>
        <v>901.78000000000009</v>
      </c>
      <c r="K38">
        <f>'C11'!Y43</f>
        <v>0</v>
      </c>
      <c r="L38">
        <f>'C05'!Y43</f>
        <v>0</v>
      </c>
      <c r="M38">
        <f>'C09'!Y43</f>
        <v>1068.0999999999999</v>
      </c>
      <c r="N38">
        <f>'C14'!Y43</f>
        <v>0</v>
      </c>
      <c r="O38">
        <f>'C18'!Y43</f>
        <v>0</v>
      </c>
      <c r="P38">
        <f>'C21'!Y43</f>
        <v>0</v>
      </c>
      <c r="Q38">
        <f>'C29'!Y43</f>
        <v>0</v>
      </c>
      <c r="R38">
        <f>'C13'!Y43</f>
        <v>22310.250000000004</v>
      </c>
      <c r="S38">
        <f>'C12'!Y43</f>
        <v>0</v>
      </c>
      <c r="T38">
        <f>'C20'!Y43</f>
        <v>0</v>
      </c>
      <c r="U38">
        <f>'C19'!Y43</f>
        <v>0</v>
      </c>
      <c r="V38">
        <f>'C17'!Y43</f>
        <v>0</v>
      </c>
      <c r="W38">
        <f>'C26'!Y43</f>
        <v>0</v>
      </c>
      <c r="X38">
        <f>'C27'!Y43</f>
        <v>0</v>
      </c>
      <c r="Y38">
        <f>'C25'!Y43</f>
        <v>0</v>
      </c>
      <c r="Z38">
        <f>'C23'!Y43</f>
        <v>0</v>
      </c>
      <c r="AA38">
        <f>'C15'!Y43</f>
        <v>0</v>
      </c>
      <c r="AB38">
        <f>'C24'!Y43</f>
        <v>0</v>
      </c>
      <c r="AC38">
        <f>'C22'!Y43</f>
        <v>0</v>
      </c>
      <c r="AD38">
        <f>'C33'!Y43</f>
        <v>0</v>
      </c>
      <c r="AE38">
        <f>'C32'!Y43</f>
        <v>0</v>
      </c>
      <c r="AF38">
        <f>'C28'!Y43</f>
        <v>0</v>
      </c>
      <c r="AG38">
        <f>'C40'!Y43</f>
        <v>0</v>
      </c>
      <c r="AH38">
        <f>'C30'!Y43</f>
        <v>0</v>
      </c>
      <c r="AI38">
        <f>'C31'!Y43</f>
        <v>0</v>
      </c>
      <c r="AJ38">
        <f>'C39'!Y43</f>
        <v>0</v>
      </c>
      <c r="AK38">
        <f>'C36'!Y43</f>
        <v>0</v>
      </c>
      <c r="AL38">
        <f>'C37'!Y43</f>
        <v>0</v>
      </c>
      <c r="AM38">
        <f>'C38'!Y43</f>
        <v>0</v>
      </c>
      <c r="AN38">
        <f>'C34'!Y43</f>
        <v>0</v>
      </c>
      <c r="AO38">
        <f>'C35'!Y43</f>
        <v>0</v>
      </c>
    </row>
    <row r="39" spans="1:41" ht="16.5">
      <c r="A39" s="1">
        <v>1984</v>
      </c>
      <c r="B39">
        <f>'C01'!Y44</f>
        <v>0</v>
      </c>
      <c r="C39">
        <f>'C03'!Y44</f>
        <v>0</v>
      </c>
      <c r="D39">
        <f>'C02'!Y44</f>
        <v>1453.74</v>
      </c>
      <c r="E39">
        <f>'C04'!Y44</f>
        <v>0</v>
      </c>
      <c r="F39">
        <f>'C07'!Y44</f>
        <v>0</v>
      </c>
      <c r="G39">
        <f>'C08'!Y44</f>
        <v>0</v>
      </c>
      <c r="H39">
        <f>'C06'!Y44</f>
        <v>3064.48</v>
      </c>
      <c r="I39">
        <f>'C10'!Y44</f>
        <v>0</v>
      </c>
      <c r="J39">
        <f>'C16'!Y44</f>
        <v>352.98999999999995</v>
      </c>
      <c r="K39">
        <f>'C11'!Y44</f>
        <v>0</v>
      </c>
      <c r="L39">
        <f>'C05'!Y44</f>
        <v>0</v>
      </c>
      <c r="M39">
        <f>'C09'!Y44</f>
        <v>24263.14</v>
      </c>
      <c r="N39">
        <f>'C14'!Y44</f>
        <v>0</v>
      </c>
      <c r="O39">
        <f>'C18'!Y44</f>
        <v>0</v>
      </c>
      <c r="P39">
        <f>'C21'!Y44</f>
        <v>0</v>
      </c>
      <c r="Q39">
        <f>'C29'!Y44</f>
        <v>0</v>
      </c>
      <c r="R39">
        <f>'C13'!Y44</f>
        <v>1069.1999999999998</v>
      </c>
      <c r="S39">
        <f>'C12'!Y44</f>
        <v>0</v>
      </c>
      <c r="T39">
        <f>'C20'!Y44</f>
        <v>0</v>
      </c>
      <c r="U39">
        <f>'C19'!Y44</f>
        <v>0</v>
      </c>
      <c r="V39">
        <f>'C17'!Y44</f>
        <v>0</v>
      </c>
      <c r="W39">
        <f>'C26'!Y44</f>
        <v>0</v>
      </c>
      <c r="X39">
        <f>'C27'!Y44</f>
        <v>0</v>
      </c>
      <c r="Y39">
        <f>'C25'!Y44</f>
        <v>0</v>
      </c>
      <c r="Z39">
        <f>'C23'!Y44</f>
        <v>0</v>
      </c>
      <c r="AA39">
        <f>'C15'!Y44</f>
        <v>0</v>
      </c>
      <c r="AB39">
        <f>'C24'!Y44</f>
        <v>0</v>
      </c>
      <c r="AC39">
        <f>'C22'!Y44</f>
        <v>0</v>
      </c>
      <c r="AD39">
        <f>'C33'!Y44</f>
        <v>0</v>
      </c>
      <c r="AE39">
        <f>'C32'!Y44</f>
        <v>0</v>
      </c>
      <c r="AF39">
        <f>'C28'!Y44</f>
        <v>0</v>
      </c>
      <c r="AG39">
        <f>'C40'!Y44</f>
        <v>0</v>
      </c>
      <c r="AH39">
        <f>'C30'!Y44</f>
        <v>0</v>
      </c>
      <c r="AI39">
        <f>'C31'!Y44</f>
        <v>0</v>
      </c>
      <c r="AJ39">
        <f>'C39'!Y44</f>
        <v>0</v>
      </c>
      <c r="AK39">
        <f>'C36'!Y44</f>
        <v>0</v>
      </c>
      <c r="AL39">
        <f>'C37'!Y44</f>
        <v>0</v>
      </c>
      <c r="AM39">
        <f>'C38'!Y44</f>
        <v>0</v>
      </c>
      <c r="AN39">
        <f>'C34'!Y44</f>
        <v>0</v>
      </c>
      <c r="AO39">
        <f>'C35'!Y44</f>
        <v>0</v>
      </c>
    </row>
    <row r="40" spans="1:41" ht="16.5">
      <c r="A40" s="1">
        <v>1985</v>
      </c>
      <c r="B40">
        <f>'C01'!Y45</f>
        <v>596.95000000000005</v>
      </c>
      <c r="C40">
        <f>'C03'!Y45</f>
        <v>0</v>
      </c>
      <c r="D40">
        <f>'C02'!Y45</f>
        <v>8659.69</v>
      </c>
      <c r="E40">
        <f>'C04'!Y45</f>
        <v>0</v>
      </c>
      <c r="F40">
        <f>'C07'!Y45</f>
        <v>0</v>
      </c>
      <c r="G40">
        <f>'C08'!Y45</f>
        <v>0</v>
      </c>
      <c r="H40">
        <f>'C06'!Y45</f>
        <v>4583.0399999999991</v>
      </c>
      <c r="I40">
        <f>'C10'!Y45</f>
        <v>0</v>
      </c>
      <c r="J40">
        <f>'C16'!Y45</f>
        <v>349.45000000000005</v>
      </c>
      <c r="K40">
        <f>'C11'!Y45</f>
        <v>393.91999999999996</v>
      </c>
      <c r="L40">
        <f>'C05'!Y45</f>
        <v>0</v>
      </c>
      <c r="M40">
        <f>'C09'!Y45</f>
        <v>8187.5</v>
      </c>
      <c r="N40">
        <f>'C14'!Y45</f>
        <v>0</v>
      </c>
      <c r="O40">
        <f>'C18'!Y45</f>
        <v>0</v>
      </c>
      <c r="P40">
        <f>'C21'!Y45</f>
        <v>0</v>
      </c>
      <c r="Q40">
        <f>'C29'!Y45</f>
        <v>0</v>
      </c>
      <c r="R40">
        <f>'C13'!Y45</f>
        <v>2133</v>
      </c>
      <c r="S40">
        <f>'C12'!Y45</f>
        <v>0</v>
      </c>
      <c r="T40">
        <f>'C20'!Y45</f>
        <v>0</v>
      </c>
      <c r="U40">
        <f>'C19'!Y45</f>
        <v>0</v>
      </c>
      <c r="V40">
        <f>'C17'!Y45</f>
        <v>0</v>
      </c>
      <c r="W40">
        <f>'C26'!Y45</f>
        <v>0</v>
      </c>
      <c r="X40">
        <f>'C27'!Y45</f>
        <v>161.02999999999997</v>
      </c>
      <c r="Y40">
        <f>'C25'!Y45</f>
        <v>0</v>
      </c>
      <c r="Z40">
        <f>'C23'!Y45</f>
        <v>390.75</v>
      </c>
      <c r="AA40">
        <f>'C15'!Y45</f>
        <v>0</v>
      </c>
      <c r="AB40">
        <f>'C24'!Y45</f>
        <v>0</v>
      </c>
      <c r="AC40">
        <f>'C22'!Y45</f>
        <v>0</v>
      </c>
      <c r="AD40">
        <f>'C33'!Y45</f>
        <v>0</v>
      </c>
      <c r="AE40">
        <f>'C32'!Y45</f>
        <v>0</v>
      </c>
      <c r="AF40">
        <f>'C28'!Y45</f>
        <v>0</v>
      </c>
      <c r="AG40">
        <f>'C40'!Y45</f>
        <v>0</v>
      </c>
      <c r="AH40">
        <f>'C30'!Y45</f>
        <v>0</v>
      </c>
      <c r="AI40">
        <f>'C31'!Y45</f>
        <v>0</v>
      </c>
      <c r="AJ40">
        <f>'C39'!Y45</f>
        <v>0</v>
      </c>
      <c r="AK40">
        <f>'C36'!Y45</f>
        <v>0</v>
      </c>
      <c r="AL40">
        <f>'C37'!Y45</f>
        <v>0</v>
      </c>
      <c r="AM40">
        <f>'C38'!Y45</f>
        <v>0</v>
      </c>
      <c r="AN40">
        <f>'C34'!Y45</f>
        <v>0</v>
      </c>
      <c r="AO40">
        <f>'C35'!Y45</f>
        <v>0</v>
      </c>
    </row>
    <row r="41" spans="1:41" ht="16.5">
      <c r="A41" s="1">
        <v>1986</v>
      </c>
      <c r="B41">
        <f>'C01'!Y46</f>
        <v>294.5</v>
      </c>
      <c r="C41">
        <f>'C03'!Y46</f>
        <v>0</v>
      </c>
      <c r="D41">
        <f>'C02'!Y46</f>
        <v>1086.92</v>
      </c>
      <c r="E41">
        <f>'C04'!Y46</f>
        <v>0</v>
      </c>
      <c r="F41">
        <f>'C07'!Y46</f>
        <v>0</v>
      </c>
      <c r="G41">
        <f>'C08'!Y46</f>
        <v>0</v>
      </c>
      <c r="H41">
        <f>'C06'!Y46</f>
        <v>3305.6</v>
      </c>
      <c r="I41">
        <f>'C10'!Y46</f>
        <v>0</v>
      </c>
      <c r="J41">
        <f>'C16'!Y46</f>
        <v>232.86</v>
      </c>
      <c r="K41">
        <f>'C11'!Y46</f>
        <v>855.7</v>
      </c>
      <c r="L41">
        <f>'C05'!Y46</f>
        <v>0</v>
      </c>
      <c r="M41">
        <f>'C09'!Y46</f>
        <v>23132.560000000001</v>
      </c>
      <c r="N41">
        <f>'C14'!Y46</f>
        <v>143.53</v>
      </c>
      <c r="O41">
        <f>'C18'!Y46</f>
        <v>0</v>
      </c>
      <c r="P41">
        <f>'C21'!Y46</f>
        <v>0</v>
      </c>
      <c r="Q41">
        <f>'C29'!Y46</f>
        <v>0</v>
      </c>
      <c r="R41">
        <f>'C13'!Y46</f>
        <v>203.94000000000003</v>
      </c>
      <c r="S41">
        <f>'C12'!Y46</f>
        <v>0</v>
      </c>
      <c r="T41">
        <f>'C20'!Y46</f>
        <v>0</v>
      </c>
      <c r="U41">
        <f>'C19'!Y46</f>
        <v>0</v>
      </c>
      <c r="V41">
        <f>'C17'!Y46</f>
        <v>0</v>
      </c>
      <c r="W41">
        <f>'C26'!Y46</f>
        <v>0</v>
      </c>
      <c r="X41">
        <f>'C27'!Y46</f>
        <v>220.5</v>
      </c>
      <c r="Y41">
        <f>'C25'!Y46</f>
        <v>0</v>
      </c>
      <c r="Z41">
        <f>'C23'!Y46</f>
        <v>621.31999999999994</v>
      </c>
      <c r="AA41">
        <f>'C15'!Y46</f>
        <v>0</v>
      </c>
      <c r="AB41">
        <f>'C24'!Y46</f>
        <v>0</v>
      </c>
      <c r="AC41">
        <f>'C22'!Y46</f>
        <v>0</v>
      </c>
      <c r="AD41">
        <f>'C33'!Y46</f>
        <v>0</v>
      </c>
      <c r="AE41">
        <f>'C32'!Y46</f>
        <v>0</v>
      </c>
      <c r="AF41">
        <f>'C28'!Y46</f>
        <v>0</v>
      </c>
      <c r="AG41">
        <f>'C40'!Y46</f>
        <v>0</v>
      </c>
      <c r="AH41">
        <f>'C30'!Y46</f>
        <v>0</v>
      </c>
      <c r="AI41">
        <f>'C31'!Y46</f>
        <v>0</v>
      </c>
      <c r="AJ41">
        <f>'C39'!Y46</f>
        <v>0</v>
      </c>
      <c r="AK41">
        <f>'C36'!Y46</f>
        <v>0</v>
      </c>
      <c r="AL41">
        <f>'C37'!Y46</f>
        <v>0</v>
      </c>
      <c r="AM41">
        <f>'C38'!Y46</f>
        <v>0</v>
      </c>
      <c r="AN41">
        <f>'C34'!Y46</f>
        <v>0</v>
      </c>
      <c r="AO41">
        <f>'C35'!Y46</f>
        <v>0</v>
      </c>
    </row>
    <row r="42" spans="1:41" ht="16.5">
      <c r="A42" s="1">
        <v>1987</v>
      </c>
      <c r="B42">
        <f>'C01'!Y47</f>
        <v>2920.4799999999996</v>
      </c>
      <c r="C42">
        <f>'C03'!Y47</f>
        <v>0</v>
      </c>
      <c r="D42">
        <f>'C02'!Y47</f>
        <v>2215.75</v>
      </c>
      <c r="E42">
        <f>'C04'!Y47</f>
        <v>0</v>
      </c>
      <c r="F42">
        <f>'C07'!Y47</f>
        <v>0</v>
      </c>
      <c r="G42">
        <f>'C08'!Y47</f>
        <v>0</v>
      </c>
      <c r="H42">
        <f>'C06'!Y47</f>
        <v>25728</v>
      </c>
      <c r="I42">
        <f>'C10'!Y47</f>
        <v>0</v>
      </c>
      <c r="J42">
        <f>'C16'!Y47</f>
        <v>173.35000000000002</v>
      </c>
      <c r="K42">
        <f>'C11'!Y47</f>
        <v>2132.16</v>
      </c>
      <c r="L42">
        <f>'C05'!Y47</f>
        <v>0</v>
      </c>
      <c r="M42">
        <f>'C09'!Y47</f>
        <v>1770.96</v>
      </c>
      <c r="N42">
        <f>'C14'!Y47</f>
        <v>222.60000000000002</v>
      </c>
      <c r="O42">
        <f>'C18'!Y47</f>
        <v>0</v>
      </c>
      <c r="P42">
        <f>'C21'!Y47</f>
        <v>0</v>
      </c>
      <c r="Q42">
        <f>'C29'!Y47</f>
        <v>0</v>
      </c>
      <c r="R42">
        <f>'C13'!Y47</f>
        <v>372.97</v>
      </c>
      <c r="S42">
        <f>'C12'!Y47</f>
        <v>0</v>
      </c>
      <c r="T42">
        <f>'C20'!Y47</f>
        <v>0</v>
      </c>
      <c r="U42">
        <f>'C19'!Y47</f>
        <v>0</v>
      </c>
      <c r="V42">
        <f>'C17'!Y47</f>
        <v>0</v>
      </c>
      <c r="W42">
        <f>'C26'!Y47</f>
        <v>0</v>
      </c>
      <c r="X42">
        <f>'C27'!Y47</f>
        <v>301</v>
      </c>
      <c r="Y42">
        <f>'C25'!Y47</f>
        <v>0</v>
      </c>
      <c r="Z42">
        <f>'C23'!Y47</f>
        <v>1494</v>
      </c>
      <c r="AA42">
        <f>'C15'!Y47</f>
        <v>0</v>
      </c>
      <c r="AB42">
        <f>'C24'!Y47</f>
        <v>0</v>
      </c>
      <c r="AC42">
        <f>'C22'!Y47</f>
        <v>0</v>
      </c>
      <c r="AD42">
        <f>'C33'!Y47</f>
        <v>0</v>
      </c>
      <c r="AE42">
        <f>'C32'!Y47</f>
        <v>0</v>
      </c>
      <c r="AF42">
        <f>'C28'!Y47</f>
        <v>0</v>
      </c>
      <c r="AG42">
        <f>'C40'!Y47</f>
        <v>0</v>
      </c>
      <c r="AH42">
        <f>'C30'!Y47</f>
        <v>0</v>
      </c>
      <c r="AI42">
        <f>'C31'!Y47</f>
        <v>0</v>
      </c>
      <c r="AJ42">
        <f>'C39'!Y47</f>
        <v>0</v>
      </c>
      <c r="AK42">
        <f>'C36'!Y47</f>
        <v>0</v>
      </c>
      <c r="AL42">
        <f>'C37'!Y47</f>
        <v>0</v>
      </c>
      <c r="AM42">
        <f>'C38'!Y47</f>
        <v>0</v>
      </c>
      <c r="AN42">
        <f>'C34'!Y47</f>
        <v>0</v>
      </c>
      <c r="AO42">
        <f>'C35'!Y47</f>
        <v>0</v>
      </c>
    </row>
    <row r="43" spans="1:41" ht="16.5">
      <c r="A43" s="1">
        <v>1988</v>
      </c>
      <c r="B43">
        <f>'C01'!Y48</f>
        <v>19446.98</v>
      </c>
      <c r="C43">
        <f>'C03'!Y48</f>
        <v>0</v>
      </c>
      <c r="D43">
        <f>'C02'!Y48</f>
        <v>1118.7</v>
      </c>
      <c r="E43">
        <f>'C04'!Y48</f>
        <v>0</v>
      </c>
      <c r="F43">
        <f>'C07'!Y48</f>
        <v>0</v>
      </c>
      <c r="G43">
        <f>'C08'!Y48</f>
        <v>0</v>
      </c>
      <c r="H43">
        <f>'C06'!Y48</f>
        <v>5084.34</v>
      </c>
      <c r="I43">
        <f>'C10'!Y48</f>
        <v>0</v>
      </c>
      <c r="J43">
        <f>'C16'!Y48</f>
        <v>0</v>
      </c>
      <c r="K43">
        <f>'C11'!Y48</f>
        <v>2166.84</v>
      </c>
      <c r="L43">
        <f>'C05'!Y48</f>
        <v>0</v>
      </c>
      <c r="M43">
        <f>'C09'!Y48</f>
        <v>1576.4</v>
      </c>
      <c r="N43">
        <f>'C14'!Y48</f>
        <v>413.77</v>
      </c>
      <c r="O43">
        <f>'C18'!Y48</f>
        <v>0</v>
      </c>
      <c r="P43">
        <f>'C21'!Y48</f>
        <v>0</v>
      </c>
      <c r="Q43">
        <f>'C29'!Y48</f>
        <v>0</v>
      </c>
      <c r="R43">
        <f>'C13'!Y48</f>
        <v>351.72</v>
      </c>
      <c r="S43">
        <f>'C12'!Y48</f>
        <v>0</v>
      </c>
      <c r="T43">
        <f>'C20'!Y48</f>
        <v>0</v>
      </c>
      <c r="U43">
        <f>'C19'!Y48</f>
        <v>0</v>
      </c>
      <c r="V43">
        <f>'C17'!Y48</f>
        <v>0</v>
      </c>
      <c r="W43">
        <f>'C26'!Y48</f>
        <v>97.57</v>
      </c>
      <c r="X43">
        <f>'C27'!Y48</f>
        <v>2063.46</v>
      </c>
      <c r="Y43">
        <f>'C25'!Y48</f>
        <v>0</v>
      </c>
      <c r="Z43">
        <f>'C23'!Y48</f>
        <v>977.04</v>
      </c>
      <c r="AA43">
        <f>'C15'!Y48</f>
        <v>0</v>
      </c>
      <c r="AB43">
        <f>'C24'!Y48</f>
        <v>0</v>
      </c>
      <c r="AC43">
        <f>'C22'!Y48</f>
        <v>0</v>
      </c>
      <c r="AD43">
        <f>'C33'!Y48</f>
        <v>0</v>
      </c>
      <c r="AE43">
        <f>'C32'!Y48</f>
        <v>0</v>
      </c>
      <c r="AF43">
        <f>'C28'!Y48</f>
        <v>0</v>
      </c>
      <c r="AG43">
        <f>'C40'!Y48</f>
        <v>0</v>
      </c>
      <c r="AH43">
        <f>'C30'!Y48</f>
        <v>0</v>
      </c>
      <c r="AI43">
        <f>'C31'!Y48</f>
        <v>0</v>
      </c>
      <c r="AJ43">
        <f>'C39'!Y48</f>
        <v>0</v>
      </c>
      <c r="AK43">
        <f>'C36'!Y48</f>
        <v>0</v>
      </c>
      <c r="AL43">
        <f>'C37'!Y48</f>
        <v>0</v>
      </c>
      <c r="AM43">
        <f>'C38'!Y48</f>
        <v>0</v>
      </c>
      <c r="AN43">
        <f>'C34'!Y48</f>
        <v>0</v>
      </c>
      <c r="AO43">
        <f>'C35'!Y48</f>
        <v>0</v>
      </c>
    </row>
    <row r="44" spans="1:41" ht="16.5">
      <c r="A44" s="1">
        <v>1989</v>
      </c>
      <c r="B44">
        <f>'C01'!Y49</f>
        <v>6971.9000000000005</v>
      </c>
      <c r="C44">
        <f>'C03'!Y49</f>
        <v>0</v>
      </c>
      <c r="D44">
        <f>'C02'!Y49</f>
        <v>127.66000000000001</v>
      </c>
      <c r="E44">
        <f>'C04'!Y49</f>
        <v>0</v>
      </c>
      <c r="F44">
        <f>'C07'!Y49</f>
        <v>0</v>
      </c>
      <c r="G44">
        <f>'C08'!Y49</f>
        <v>0</v>
      </c>
      <c r="H44">
        <f>'C06'!Y49</f>
        <v>8343.9</v>
      </c>
      <c r="I44">
        <f>'C10'!Y49</f>
        <v>0</v>
      </c>
      <c r="J44">
        <f>'C16'!Y49</f>
        <v>0</v>
      </c>
      <c r="K44">
        <f>'C11'!Y49</f>
        <v>2121.92</v>
      </c>
      <c r="L44">
        <f>'C05'!Y49</f>
        <v>0</v>
      </c>
      <c r="M44">
        <f>'C09'!Y49</f>
        <v>29.700000000000003</v>
      </c>
      <c r="N44">
        <f>'C14'!Y49</f>
        <v>1099.96</v>
      </c>
      <c r="O44">
        <f>'C18'!Y49</f>
        <v>0</v>
      </c>
      <c r="P44">
        <f>'C21'!Y49</f>
        <v>0</v>
      </c>
      <c r="Q44">
        <f>'C29'!Y49</f>
        <v>0</v>
      </c>
      <c r="R44">
        <f>'C13'!Y49</f>
        <v>476.98999999999995</v>
      </c>
      <c r="S44">
        <f>'C12'!Y49</f>
        <v>0</v>
      </c>
      <c r="T44">
        <f>'C20'!Y49</f>
        <v>0</v>
      </c>
      <c r="U44">
        <f>'C19'!Y49</f>
        <v>0</v>
      </c>
      <c r="V44">
        <f>'C17'!Y49</f>
        <v>0</v>
      </c>
      <c r="W44">
        <f>'C26'!Y49</f>
        <v>240.1</v>
      </c>
      <c r="X44">
        <f>'C27'!Y49</f>
        <v>3001.45</v>
      </c>
      <c r="Y44">
        <f>'C25'!Y49</f>
        <v>0</v>
      </c>
      <c r="Z44">
        <f>'C23'!Y49</f>
        <v>1312.2</v>
      </c>
      <c r="AA44">
        <f>'C15'!Y49</f>
        <v>0</v>
      </c>
      <c r="AB44">
        <f>'C24'!Y49</f>
        <v>0</v>
      </c>
      <c r="AC44">
        <f>'C22'!Y49</f>
        <v>0</v>
      </c>
      <c r="AD44">
        <f>'C33'!Y49</f>
        <v>0</v>
      </c>
      <c r="AE44">
        <f>'C32'!Y49</f>
        <v>0</v>
      </c>
      <c r="AF44">
        <f>'C28'!Y49</f>
        <v>0</v>
      </c>
      <c r="AG44">
        <f>'C40'!Y49</f>
        <v>0</v>
      </c>
      <c r="AH44">
        <f>'C30'!Y49</f>
        <v>0</v>
      </c>
      <c r="AI44">
        <f>'C31'!Y49</f>
        <v>0</v>
      </c>
      <c r="AJ44">
        <f>'C39'!Y49</f>
        <v>0</v>
      </c>
      <c r="AK44">
        <f>'C36'!Y49</f>
        <v>0</v>
      </c>
      <c r="AL44">
        <f>'C37'!Y49</f>
        <v>0</v>
      </c>
      <c r="AM44">
        <f>'C38'!Y49</f>
        <v>0</v>
      </c>
      <c r="AN44">
        <f>'C34'!Y49</f>
        <v>0</v>
      </c>
      <c r="AO44">
        <f>'C35'!Y49</f>
        <v>0</v>
      </c>
    </row>
    <row r="45" spans="1:41" ht="16.5">
      <c r="A45" s="1">
        <v>1990</v>
      </c>
      <c r="B45">
        <f>'C01'!Y50</f>
        <v>9915.5</v>
      </c>
      <c r="C45">
        <f>'C03'!Y50</f>
        <v>0</v>
      </c>
      <c r="D45">
        <f>'C02'!Y50</f>
        <v>0</v>
      </c>
      <c r="E45">
        <f>'C04'!Y50</f>
        <v>0</v>
      </c>
      <c r="F45">
        <f>'C07'!Y50</f>
        <v>0</v>
      </c>
      <c r="G45">
        <f>'C08'!Y50</f>
        <v>0</v>
      </c>
      <c r="H45">
        <f>'C06'!Y50</f>
        <v>8030</v>
      </c>
      <c r="I45">
        <f>'C10'!Y50</f>
        <v>0</v>
      </c>
      <c r="J45">
        <f>'C16'!Y50</f>
        <v>0</v>
      </c>
      <c r="K45">
        <f>'C11'!Y50</f>
        <v>2563.62</v>
      </c>
      <c r="L45">
        <f>'C05'!Y50</f>
        <v>0</v>
      </c>
      <c r="M45">
        <f>'C09'!Y50</f>
        <v>374.84999999999997</v>
      </c>
      <c r="N45">
        <f>'C14'!Y50</f>
        <v>1214.8599999999999</v>
      </c>
      <c r="O45">
        <f>'C18'!Y50</f>
        <v>0</v>
      </c>
      <c r="P45">
        <f>'C21'!Y50</f>
        <v>0</v>
      </c>
      <c r="Q45">
        <f>'C29'!Y50</f>
        <v>0</v>
      </c>
      <c r="R45">
        <f>'C13'!Y50</f>
        <v>175.73999999999998</v>
      </c>
      <c r="S45">
        <f>'C12'!Y50</f>
        <v>0</v>
      </c>
      <c r="T45">
        <f>'C20'!Y50</f>
        <v>752.83</v>
      </c>
      <c r="U45">
        <f>'C19'!Y50</f>
        <v>0</v>
      </c>
      <c r="V45">
        <f>'C17'!Y50</f>
        <v>0</v>
      </c>
      <c r="W45">
        <f>'C26'!Y50</f>
        <v>380.36</v>
      </c>
      <c r="X45">
        <f>'C27'!Y50</f>
        <v>1482.18</v>
      </c>
      <c r="Y45">
        <f>'C25'!Y50</f>
        <v>0</v>
      </c>
      <c r="Z45">
        <f>'C23'!Y50</f>
        <v>1616.8600000000001</v>
      </c>
      <c r="AA45">
        <f>'C15'!Y50</f>
        <v>0</v>
      </c>
      <c r="AB45">
        <f>'C24'!Y50</f>
        <v>0</v>
      </c>
      <c r="AC45">
        <f>'C22'!Y50</f>
        <v>0</v>
      </c>
      <c r="AD45">
        <f>'C33'!Y50</f>
        <v>0</v>
      </c>
      <c r="AE45">
        <f>'C32'!Y50</f>
        <v>0</v>
      </c>
      <c r="AF45">
        <f>'C28'!Y50</f>
        <v>0</v>
      </c>
      <c r="AG45">
        <f>'C40'!Y50</f>
        <v>0</v>
      </c>
      <c r="AH45">
        <f>'C30'!Y50</f>
        <v>0</v>
      </c>
      <c r="AI45">
        <f>'C31'!Y50</f>
        <v>0</v>
      </c>
      <c r="AJ45">
        <f>'C39'!Y50</f>
        <v>0</v>
      </c>
      <c r="AK45">
        <f>'C36'!Y50</f>
        <v>0</v>
      </c>
      <c r="AL45">
        <f>'C37'!Y50</f>
        <v>0</v>
      </c>
      <c r="AM45">
        <f>'C38'!Y50</f>
        <v>0</v>
      </c>
      <c r="AN45">
        <f>'C34'!Y50</f>
        <v>0</v>
      </c>
      <c r="AO45">
        <f>'C35'!Y50</f>
        <v>0</v>
      </c>
    </row>
    <row r="46" spans="1:41" ht="16.5">
      <c r="A46" s="1">
        <v>1991</v>
      </c>
      <c r="B46">
        <f>'C01'!Y51</f>
        <v>40027</v>
      </c>
      <c r="C46">
        <f>'C03'!Y51</f>
        <v>0</v>
      </c>
      <c r="D46">
        <f>'C02'!Y51</f>
        <v>0</v>
      </c>
      <c r="E46">
        <f>'C04'!Y51</f>
        <v>0</v>
      </c>
      <c r="F46">
        <f>'C07'!Y51</f>
        <v>0</v>
      </c>
      <c r="G46">
        <f>'C08'!Y51</f>
        <v>0</v>
      </c>
      <c r="H46">
        <f>'C06'!Y51</f>
        <v>1799.38</v>
      </c>
      <c r="I46">
        <f>'C10'!Y51</f>
        <v>0</v>
      </c>
      <c r="J46">
        <f>'C16'!Y51</f>
        <v>0</v>
      </c>
      <c r="K46">
        <f>'C11'!Y51</f>
        <v>1221.8399999999999</v>
      </c>
      <c r="L46">
        <f>'C05'!Y51</f>
        <v>0</v>
      </c>
      <c r="M46">
        <f>'C09'!Y51</f>
        <v>276.12</v>
      </c>
      <c r="N46">
        <f>'C14'!Y51</f>
        <v>1289.1999999999998</v>
      </c>
      <c r="O46">
        <f>'C18'!Y51</f>
        <v>0</v>
      </c>
      <c r="P46">
        <f>'C21'!Y51</f>
        <v>0</v>
      </c>
      <c r="Q46">
        <f>'C29'!Y51</f>
        <v>0</v>
      </c>
      <c r="R46">
        <f>'C13'!Y51</f>
        <v>204.71999999999997</v>
      </c>
      <c r="S46">
        <f>'C12'!Y51</f>
        <v>0</v>
      </c>
      <c r="T46">
        <f>'C20'!Y51</f>
        <v>3640.5</v>
      </c>
      <c r="U46">
        <f>'C19'!Y51</f>
        <v>0</v>
      </c>
      <c r="V46">
        <f>'C17'!Y51</f>
        <v>0</v>
      </c>
      <c r="W46">
        <f>'C26'!Y51</f>
        <v>4081.9199999999996</v>
      </c>
      <c r="X46">
        <f>'C27'!Y51</f>
        <v>1903.2000000000003</v>
      </c>
      <c r="Y46">
        <f>'C25'!Y51</f>
        <v>0</v>
      </c>
      <c r="Z46">
        <f>'C23'!Y51</f>
        <v>1502.32</v>
      </c>
      <c r="AA46">
        <f>'C15'!Y51</f>
        <v>0</v>
      </c>
      <c r="AB46">
        <f>'C24'!Y51</f>
        <v>0</v>
      </c>
      <c r="AC46">
        <f>'C22'!Y51</f>
        <v>0</v>
      </c>
      <c r="AD46">
        <f>'C33'!Y51</f>
        <v>0</v>
      </c>
      <c r="AE46">
        <f>'C32'!Y51</f>
        <v>0</v>
      </c>
      <c r="AF46">
        <f>'C28'!Y51</f>
        <v>0</v>
      </c>
      <c r="AG46">
        <f>'C40'!Y51</f>
        <v>0</v>
      </c>
      <c r="AH46">
        <f>'C30'!Y51</f>
        <v>0</v>
      </c>
      <c r="AI46">
        <f>'C31'!Y51</f>
        <v>0</v>
      </c>
      <c r="AJ46">
        <f>'C39'!Y51</f>
        <v>0</v>
      </c>
      <c r="AK46">
        <f>'C36'!Y51</f>
        <v>0</v>
      </c>
      <c r="AL46">
        <f>'C37'!Y51</f>
        <v>0</v>
      </c>
      <c r="AM46">
        <f>'C38'!Y51</f>
        <v>0</v>
      </c>
      <c r="AN46">
        <f>'C34'!Y51</f>
        <v>0</v>
      </c>
      <c r="AO46">
        <f>'C35'!Y51</f>
        <v>0</v>
      </c>
    </row>
    <row r="47" spans="1:41" ht="16.5">
      <c r="A47" s="1">
        <v>1992</v>
      </c>
      <c r="B47">
        <f>'C01'!Y52</f>
        <v>30289.750000000004</v>
      </c>
      <c r="C47">
        <f>'C03'!Y52</f>
        <v>0</v>
      </c>
      <c r="D47">
        <f>'C02'!Y52</f>
        <v>0</v>
      </c>
      <c r="E47">
        <f>'C04'!Y52</f>
        <v>0</v>
      </c>
      <c r="F47">
        <f>'C07'!Y52</f>
        <v>0</v>
      </c>
      <c r="G47">
        <f>'C08'!Y52</f>
        <v>0</v>
      </c>
      <c r="H47">
        <f>'C06'!Y52</f>
        <v>0</v>
      </c>
      <c r="I47">
        <f>'C10'!Y52</f>
        <v>0</v>
      </c>
      <c r="J47">
        <f>'C16'!Y52</f>
        <v>0</v>
      </c>
      <c r="K47">
        <f>'C11'!Y52</f>
        <v>255.96</v>
      </c>
      <c r="L47">
        <f>'C05'!Y52</f>
        <v>0</v>
      </c>
      <c r="M47">
        <f>'C09'!Y52</f>
        <v>234.89999999999998</v>
      </c>
      <c r="N47">
        <f>'C14'!Y52</f>
        <v>1867.88</v>
      </c>
      <c r="O47">
        <f>'C18'!Y52</f>
        <v>0</v>
      </c>
      <c r="P47">
        <f>'C21'!Y52</f>
        <v>0</v>
      </c>
      <c r="Q47">
        <f>'C29'!Y52</f>
        <v>0</v>
      </c>
      <c r="R47">
        <f>'C13'!Y52</f>
        <v>168.96</v>
      </c>
      <c r="S47">
        <f>'C12'!Y52</f>
        <v>0</v>
      </c>
      <c r="T47">
        <f>'C20'!Y52</f>
        <v>2048.75</v>
      </c>
      <c r="U47">
        <f>'C19'!Y52</f>
        <v>0</v>
      </c>
      <c r="V47">
        <f>'C17'!Y52</f>
        <v>0</v>
      </c>
      <c r="W47">
        <f>'C26'!Y52</f>
        <v>4239.5999999999995</v>
      </c>
      <c r="X47">
        <f>'C27'!Y52</f>
        <v>2902.6</v>
      </c>
      <c r="Y47">
        <f>'C25'!Y52</f>
        <v>0</v>
      </c>
      <c r="Z47">
        <f>'C23'!Y52</f>
        <v>325.85000000000002</v>
      </c>
      <c r="AA47">
        <f>'C15'!Y52</f>
        <v>0</v>
      </c>
      <c r="AB47">
        <f>'C24'!Y52</f>
        <v>0</v>
      </c>
      <c r="AC47">
        <f>'C22'!Y52</f>
        <v>0</v>
      </c>
      <c r="AD47">
        <f>'C33'!Y52</f>
        <v>0</v>
      </c>
      <c r="AE47">
        <f>'C32'!Y52</f>
        <v>0</v>
      </c>
      <c r="AF47">
        <f>'C28'!Y52</f>
        <v>0</v>
      </c>
      <c r="AG47">
        <f>'C40'!Y52</f>
        <v>0</v>
      </c>
      <c r="AH47">
        <f>'C30'!Y52</f>
        <v>0</v>
      </c>
      <c r="AI47">
        <f>'C31'!Y52</f>
        <v>0</v>
      </c>
      <c r="AJ47">
        <f>'C39'!Y52</f>
        <v>0</v>
      </c>
      <c r="AK47">
        <f>'C36'!Y52</f>
        <v>0</v>
      </c>
      <c r="AL47">
        <f>'C37'!Y52</f>
        <v>0</v>
      </c>
      <c r="AM47">
        <f>'C38'!Y52</f>
        <v>0</v>
      </c>
      <c r="AN47">
        <f>'C34'!Y52</f>
        <v>0</v>
      </c>
      <c r="AO47">
        <f>'C35'!Y52</f>
        <v>0</v>
      </c>
    </row>
    <row r="48" spans="1:41" ht="16.5">
      <c r="A48" s="1">
        <v>1993</v>
      </c>
      <c r="B48">
        <f>'C01'!Y53</f>
        <v>25711.56</v>
      </c>
      <c r="C48">
        <f>'C03'!Y53</f>
        <v>0</v>
      </c>
      <c r="D48">
        <f>'C02'!Y53</f>
        <v>0</v>
      </c>
      <c r="E48">
        <f>'C04'!Y53</f>
        <v>0</v>
      </c>
      <c r="F48">
        <f>'C07'!Y53</f>
        <v>0</v>
      </c>
      <c r="G48">
        <f>'C08'!Y53</f>
        <v>261.06</v>
      </c>
      <c r="H48">
        <f>'C06'!Y53</f>
        <v>0</v>
      </c>
      <c r="I48">
        <f>'C10'!Y53</f>
        <v>0</v>
      </c>
      <c r="J48">
        <f>'C16'!Y53</f>
        <v>0</v>
      </c>
      <c r="K48">
        <f>'C11'!Y53</f>
        <v>6387.78</v>
      </c>
      <c r="L48">
        <f>'C05'!Y53</f>
        <v>0</v>
      </c>
      <c r="M48">
        <f>'C09'!Y53</f>
        <v>0</v>
      </c>
      <c r="N48">
        <f>'C14'!Y53</f>
        <v>1091.76</v>
      </c>
      <c r="O48">
        <f>'C18'!Y53</f>
        <v>0</v>
      </c>
      <c r="P48">
        <f>'C21'!Y53</f>
        <v>0</v>
      </c>
      <c r="Q48">
        <f>'C29'!Y53</f>
        <v>0</v>
      </c>
      <c r="R48">
        <f>'C13'!Y53</f>
        <v>20.57</v>
      </c>
      <c r="S48">
        <f>'C12'!Y53</f>
        <v>0</v>
      </c>
      <c r="T48">
        <f>'C20'!Y53</f>
        <v>613.64</v>
      </c>
      <c r="U48">
        <f>'C19'!Y53</f>
        <v>0</v>
      </c>
      <c r="V48">
        <f>'C17'!Y53</f>
        <v>0</v>
      </c>
      <c r="W48">
        <f>'C26'!Y53</f>
        <v>2322.7200000000003</v>
      </c>
      <c r="X48">
        <f>'C27'!Y53</f>
        <v>1187.6399999999999</v>
      </c>
      <c r="Y48">
        <f>'C25'!Y53</f>
        <v>0</v>
      </c>
      <c r="Z48">
        <f>'C23'!Y53</f>
        <v>10960.599999999999</v>
      </c>
      <c r="AA48">
        <f>'C15'!Y53</f>
        <v>0</v>
      </c>
      <c r="AB48">
        <f>'C24'!Y53</f>
        <v>0</v>
      </c>
      <c r="AC48">
        <f>'C22'!Y53</f>
        <v>0</v>
      </c>
      <c r="AD48">
        <f>'C33'!Y53</f>
        <v>0</v>
      </c>
      <c r="AE48">
        <f>'C32'!Y53</f>
        <v>0</v>
      </c>
      <c r="AF48">
        <f>'C28'!Y53</f>
        <v>0</v>
      </c>
      <c r="AG48">
        <f>'C40'!Y53</f>
        <v>0</v>
      </c>
      <c r="AH48">
        <f>'C30'!Y53</f>
        <v>0</v>
      </c>
      <c r="AI48">
        <f>'C31'!Y53</f>
        <v>0</v>
      </c>
      <c r="AJ48">
        <f>'C39'!Y53</f>
        <v>0</v>
      </c>
      <c r="AK48">
        <f>'C36'!Y53</f>
        <v>0</v>
      </c>
      <c r="AL48">
        <f>'C37'!Y53</f>
        <v>0</v>
      </c>
      <c r="AM48">
        <f>'C38'!Y53</f>
        <v>0</v>
      </c>
      <c r="AN48">
        <f>'C34'!Y53</f>
        <v>0</v>
      </c>
      <c r="AO48">
        <f>'C35'!Y53</f>
        <v>0</v>
      </c>
    </row>
    <row r="49" spans="1:41" ht="16.5">
      <c r="A49" s="1">
        <v>1994</v>
      </c>
      <c r="B49">
        <f>'C01'!Y54</f>
        <v>0</v>
      </c>
      <c r="C49">
        <f>'C03'!Y54</f>
        <v>0</v>
      </c>
      <c r="D49">
        <f>'C02'!Y54</f>
        <v>0</v>
      </c>
      <c r="E49">
        <f>'C04'!Y54</f>
        <v>0</v>
      </c>
      <c r="F49">
        <f>'C07'!Y54</f>
        <v>0</v>
      </c>
      <c r="G49">
        <f>'C08'!Y54</f>
        <v>640.79999999999995</v>
      </c>
      <c r="H49">
        <f>'C06'!Y54</f>
        <v>0</v>
      </c>
      <c r="I49">
        <f>'C10'!Y54</f>
        <v>0</v>
      </c>
      <c r="J49">
        <f>'C16'!Y54</f>
        <v>0</v>
      </c>
      <c r="K49">
        <f>'C11'!Y54</f>
        <v>28028.499999999996</v>
      </c>
      <c r="L49">
        <f>'C05'!Y54</f>
        <v>0</v>
      </c>
      <c r="M49">
        <f>'C09'!Y54</f>
        <v>0</v>
      </c>
      <c r="N49">
        <f>'C14'!Y54</f>
        <v>1668.12</v>
      </c>
      <c r="O49">
        <f>'C18'!Y54</f>
        <v>0</v>
      </c>
      <c r="P49">
        <f>'C21'!Y54</f>
        <v>0</v>
      </c>
      <c r="Q49">
        <f>'C29'!Y54</f>
        <v>0</v>
      </c>
      <c r="R49">
        <f>'C13'!Y54</f>
        <v>35.4</v>
      </c>
      <c r="S49">
        <f>'C12'!Y54</f>
        <v>0</v>
      </c>
      <c r="T49">
        <f>'C20'!Y54</f>
        <v>2363.1</v>
      </c>
      <c r="U49">
        <f>'C19'!Y54</f>
        <v>0</v>
      </c>
      <c r="V49">
        <f>'C17'!Y54</f>
        <v>0</v>
      </c>
      <c r="W49">
        <f>'C26'!Y54</f>
        <v>1601.5199999999998</v>
      </c>
      <c r="X49">
        <f>'C27'!Y54</f>
        <v>2392.3999999999996</v>
      </c>
      <c r="Y49">
        <f>'C25'!Y54</f>
        <v>0</v>
      </c>
      <c r="Z49">
        <f>'C23'!Y54</f>
        <v>612.6400000000001</v>
      </c>
      <c r="AA49">
        <f>'C15'!Y54</f>
        <v>0</v>
      </c>
      <c r="AB49">
        <f>'C24'!Y54</f>
        <v>0</v>
      </c>
      <c r="AC49">
        <f>'C22'!Y54</f>
        <v>0</v>
      </c>
      <c r="AD49">
        <f>'C33'!Y54</f>
        <v>0</v>
      </c>
      <c r="AE49">
        <f>'C32'!Y54</f>
        <v>0</v>
      </c>
      <c r="AF49">
        <f>'C28'!Y54</f>
        <v>0</v>
      </c>
      <c r="AG49">
        <f>'C40'!Y54</f>
        <v>0</v>
      </c>
      <c r="AH49">
        <f>'C30'!Y54</f>
        <v>0</v>
      </c>
      <c r="AI49">
        <f>'C31'!Y54</f>
        <v>0</v>
      </c>
      <c r="AJ49">
        <f>'C39'!Y54</f>
        <v>0</v>
      </c>
      <c r="AK49">
        <f>'C36'!Y54</f>
        <v>0</v>
      </c>
      <c r="AL49">
        <f>'C37'!Y54</f>
        <v>0</v>
      </c>
      <c r="AM49">
        <f>'C38'!Y54</f>
        <v>0</v>
      </c>
      <c r="AN49">
        <f>'C34'!Y54</f>
        <v>0</v>
      </c>
      <c r="AO49">
        <f>'C35'!Y54</f>
        <v>0</v>
      </c>
    </row>
    <row r="50" spans="1:41" ht="16.5">
      <c r="A50" s="1">
        <v>1995</v>
      </c>
      <c r="B50">
        <f>'C01'!Y55</f>
        <v>358.13</v>
      </c>
      <c r="C50">
        <f>'C03'!Y55</f>
        <v>0</v>
      </c>
      <c r="D50">
        <f>'C02'!Y55</f>
        <v>0</v>
      </c>
      <c r="E50">
        <f>'C04'!Y55</f>
        <v>0</v>
      </c>
      <c r="F50">
        <f>'C07'!Y55</f>
        <v>0</v>
      </c>
      <c r="G50">
        <f>'C08'!Y55</f>
        <v>2853</v>
      </c>
      <c r="H50">
        <f>'C06'!Y55</f>
        <v>0</v>
      </c>
      <c r="I50">
        <f>'C10'!Y55</f>
        <v>0</v>
      </c>
      <c r="J50">
        <f>'C16'!Y55</f>
        <v>0</v>
      </c>
      <c r="K50">
        <f>'C11'!Y55</f>
        <v>10549.5</v>
      </c>
      <c r="L50">
        <f>'C05'!Y55</f>
        <v>0</v>
      </c>
      <c r="M50">
        <f>'C09'!Y55</f>
        <v>0</v>
      </c>
      <c r="N50">
        <f>'C14'!Y55</f>
        <v>1111.96</v>
      </c>
      <c r="O50">
        <f>'C18'!Y55</f>
        <v>0</v>
      </c>
      <c r="P50">
        <f>'C21'!Y55</f>
        <v>0</v>
      </c>
      <c r="Q50">
        <f>'C29'!Y55</f>
        <v>0</v>
      </c>
      <c r="R50">
        <f>'C13'!Y55</f>
        <v>15.73</v>
      </c>
      <c r="S50">
        <f>'C12'!Y55</f>
        <v>0</v>
      </c>
      <c r="T50">
        <f>'C20'!Y55</f>
        <v>10023.75</v>
      </c>
      <c r="U50">
        <f>'C19'!Y55</f>
        <v>0</v>
      </c>
      <c r="V50">
        <f>'C17'!Y55</f>
        <v>0</v>
      </c>
      <c r="W50">
        <f>'C26'!Y55</f>
        <v>2485.9</v>
      </c>
      <c r="X50">
        <f>'C27'!Y55</f>
        <v>1934.68</v>
      </c>
      <c r="Y50">
        <f>'C25'!Y55</f>
        <v>0</v>
      </c>
      <c r="Z50">
        <f>'C23'!Y55</f>
        <v>651.42000000000007</v>
      </c>
      <c r="AA50">
        <f>'C15'!Y55</f>
        <v>0</v>
      </c>
      <c r="AB50">
        <f>'C24'!Y55</f>
        <v>0</v>
      </c>
      <c r="AC50">
        <f>'C22'!Y55</f>
        <v>0</v>
      </c>
      <c r="AD50">
        <f>'C33'!Y55</f>
        <v>0</v>
      </c>
      <c r="AE50">
        <f>'C32'!Y55</f>
        <v>0</v>
      </c>
      <c r="AF50">
        <f>'C28'!Y55</f>
        <v>0</v>
      </c>
      <c r="AG50">
        <f>'C40'!Y55</f>
        <v>0</v>
      </c>
      <c r="AH50">
        <f>'C30'!Y55</f>
        <v>0</v>
      </c>
      <c r="AI50">
        <f>'C31'!Y55</f>
        <v>0</v>
      </c>
      <c r="AJ50">
        <f>'C39'!Y55</f>
        <v>0</v>
      </c>
      <c r="AK50">
        <f>'C36'!Y55</f>
        <v>0</v>
      </c>
      <c r="AL50">
        <f>'C37'!Y55</f>
        <v>0</v>
      </c>
      <c r="AM50">
        <f>'C38'!Y55</f>
        <v>0</v>
      </c>
      <c r="AN50">
        <f>'C34'!Y55</f>
        <v>0</v>
      </c>
      <c r="AO50">
        <f>'C35'!Y55</f>
        <v>0</v>
      </c>
    </row>
    <row r="51" spans="1:41" ht="16.5">
      <c r="A51" s="1">
        <v>1996</v>
      </c>
      <c r="B51">
        <f>'C01'!Y56</f>
        <v>34752.75</v>
      </c>
      <c r="C51">
        <f>'C03'!Y56</f>
        <v>0</v>
      </c>
      <c r="D51">
        <f>'C02'!Y56</f>
        <v>0</v>
      </c>
      <c r="E51">
        <f>'C04'!Y56</f>
        <v>0</v>
      </c>
      <c r="F51">
        <f>'C07'!Y56</f>
        <v>0</v>
      </c>
      <c r="G51">
        <f>'C08'!Y56</f>
        <v>551.05999999999995</v>
      </c>
      <c r="H51">
        <f>'C06'!Y56</f>
        <v>239.56</v>
      </c>
      <c r="I51">
        <f>'C10'!Y56</f>
        <v>0</v>
      </c>
      <c r="J51">
        <f>'C16'!Y56</f>
        <v>0</v>
      </c>
      <c r="K51">
        <f>'C11'!Y56</f>
        <v>422.84999999999997</v>
      </c>
      <c r="L51">
        <f>'C05'!Y56</f>
        <v>0</v>
      </c>
      <c r="M51">
        <f>'C09'!Y56</f>
        <v>0</v>
      </c>
      <c r="N51">
        <f>'C14'!Y56</f>
        <v>1686.8000000000002</v>
      </c>
      <c r="O51">
        <f>'C18'!Y56</f>
        <v>0</v>
      </c>
      <c r="P51">
        <f>'C21'!Y56</f>
        <v>85.320000000000007</v>
      </c>
      <c r="Q51">
        <f>'C29'!Y56</f>
        <v>0</v>
      </c>
      <c r="R51">
        <f>'C13'!Y56</f>
        <v>0</v>
      </c>
      <c r="S51">
        <f>'C12'!Y56</f>
        <v>0</v>
      </c>
      <c r="T51">
        <f>'C20'!Y56</f>
        <v>2837.16</v>
      </c>
      <c r="U51">
        <f>'C19'!Y56</f>
        <v>0</v>
      </c>
      <c r="V51">
        <f>'C17'!Y56</f>
        <v>0</v>
      </c>
      <c r="W51">
        <f>'C26'!Y56</f>
        <v>4671.0999999999995</v>
      </c>
      <c r="X51">
        <f>'C27'!Y56</f>
        <v>1735.7999999999997</v>
      </c>
      <c r="Y51">
        <f>'C25'!Y56</f>
        <v>0</v>
      </c>
      <c r="Z51">
        <f>'C23'!Y56</f>
        <v>518.95000000000005</v>
      </c>
      <c r="AA51">
        <f>'C15'!Y56</f>
        <v>0</v>
      </c>
      <c r="AB51">
        <f>'C24'!Y56</f>
        <v>0</v>
      </c>
      <c r="AC51">
        <f>'C22'!Y56</f>
        <v>0</v>
      </c>
      <c r="AD51">
        <f>'C33'!Y56</f>
        <v>0</v>
      </c>
      <c r="AE51">
        <f>'C32'!Y56</f>
        <v>0</v>
      </c>
      <c r="AF51">
        <f>'C28'!Y56</f>
        <v>0</v>
      </c>
      <c r="AG51">
        <f>'C40'!Y56</f>
        <v>0</v>
      </c>
      <c r="AH51">
        <f>'C30'!Y56</f>
        <v>0</v>
      </c>
      <c r="AI51">
        <f>'C31'!Y56</f>
        <v>0</v>
      </c>
      <c r="AJ51">
        <f>'C39'!Y56</f>
        <v>0</v>
      </c>
      <c r="AK51">
        <f>'C36'!Y56</f>
        <v>0</v>
      </c>
      <c r="AL51">
        <f>'C37'!Y56</f>
        <v>0</v>
      </c>
      <c r="AM51">
        <f>'C38'!Y56</f>
        <v>0</v>
      </c>
      <c r="AN51">
        <f>'C34'!Y56</f>
        <v>0</v>
      </c>
      <c r="AO51">
        <f>'C35'!Y56</f>
        <v>0</v>
      </c>
    </row>
    <row r="52" spans="1:41" ht="16.5">
      <c r="A52" s="1">
        <v>1997</v>
      </c>
      <c r="B52">
        <f>'C01'!Y57</f>
        <v>20408.330000000005</v>
      </c>
      <c r="C52">
        <f>'C03'!Y57</f>
        <v>0</v>
      </c>
      <c r="D52">
        <f>'C02'!Y57</f>
        <v>0</v>
      </c>
      <c r="E52">
        <f>'C04'!Y57</f>
        <v>0</v>
      </c>
      <c r="F52">
        <f>'C07'!Y57</f>
        <v>0</v>
      </c>
      <c r="G52">
        <f>'C08'!Y57</f>
        <v>606.4</v>
      </c>
      <c r="H52">
        <f>'C06'!Y57</f>
        <v>0</v>
      </c>
      <c r="I52">
        <f>'C10'!Y57</f>
        <v>109.07000000000002</v>
      </c>
      <c r="J52">
        <f>'C16'!Y57</f>
        <v>0</v>
      </c>
      <c r="K52">
        <f>'C11'!Y57</f>
        <v>1562.54</v>
      </c>
      <c r="L52">
        <f>'C05'!Y57</f>
        <v>0</v>
      </c>
      <c r="M52">
        <f>'C09'!Y57</f>
        <v>0</v>
      </c>
      <c r="N52">
        <f>'C14'!Y57</f>
        <v>9534.0300000000007</v>
      </c>
      <c r="O52">
        <f>'C18'!Y57</f>
        <v>0</v>
      </c>
      <c r="P52">
        <f>'C21'!Y57</f>
        <v>257.21000000000004</v>
      </c>
      <c r="Q52">
        <f>'C29'!Y57</f>
        <v>0</v>
      </c>
      <c r="R52">
        <f>'C13'!Y57</f>
        <v>0</v>
      </c>
      <c r="S52">
        <f>'C12'!Y57</f>
        <v>0</v>
      </c>
      <c r="T52">
        <f>'C20'!Y57</f>
        <v>52.699999999999996</v>
      </c>
      <c r="U52">
        <f>'C19'!Y57</f>
        <v>0</v>
      </c>
      <c r="V52">
        <f>'C17'!Y57</f>
        <v>0</v>
      </c>
      <c r="W52">
        <f>'C26'!Y57</f>
        <v>3593.88</v>
      </c>
      <c r="X52">
        <f>'C27'!Y57</f>
        <v>788.01</v>
      </c>
      <c r="Y52">
        <f>'C25'!Y57</f>
        <v>0</v>
      </c>
      <c r="Z52">
        <f>'C23'!Y57</f>
        <v>556.95000000000005</v>
      </c>
      <c r="AA52">
        <f>'C15'!Y57</f>
        <v>0</v>
      </c>
      <c r="AB52">
        <f>'C24'!Y57</f>
        <v>0</v>
      </c>
      <c r="AC52">
        <f>'C22'!Y57</f>
        <v>0</v>
      </c>
      <c r="AD52">
        <f>'C33'!Y57</f>
        <v>0</v>
      </c>
      <c r="AE52">
        <f>'C32'!Y57</f>
        <v>0</v>
      </c>
      <c r="AF52">
        <f>'C28'!Y57</f>
        <v>-4.59</v>
      </c>
      <c r="AG52">
        <f>'C40'!Y57</f>
        <v>0</v>
      </c>
      <c r="AH52">
        <f>'C30'!Y57</f>
        <v>91.8</v>
      </c>
      <c r="AI52">
        <f>'C31'!Y57</f>
        <v>0</v>
      </c>
      <c r="AJ52">
        <f>'C39'!Y57</f>
        <v>0</v>
      </c>
      <c r="AK52">
        <f>'C36'!Y57</f>
        <v>0</v>
      </c>
      <c r="AL52">
        <f>'C37'!Y57</f>
        <v>0</v>
      </c>
      <c r="AM52">
        <f>'C38'!Y57</f>
        <v>0</v>
      </c>
      <c r="AN52">
        <f>'C34'!Y57</f>
        <v>0</v>
      </c>
      <c r="AO52">
        <f>'C35'!Y57</f>
        <v>0</v>
      </c>
    </row>
    <row r="53" spans="1:41" ht="16.5">
      <c r="A53" s="1">
        <v>1998</v>
      </c>
      <c r="B53">
        <f>'C01'!Y58</f>
        <v>30956.5</v>
      </c>
      <c r="C53">
        <f>'C03'!Y58</f>
        <v>0</v>
      </c>
      <c r="D53">
        <f>'C02'!Y58</f>
        <v>0</v>
      </c>
      <c r="E53">
        <f>'C04'!Y58</f>
        <v>0</v>
      </c>
      <c r="F53">
        <f>'C07'!Y58</f>
        <v>1072.5600000000002</v>
      </c>
      <c r="G53">
        <f>'C08'!Y58</f>
        <v>1606.1200000000001</v>
      </c>
      <c r="H53">
        <f>'C06'!Y58</f>
        <v>0</v>
      </c>
      <c r="I53">
        <f>'C10'!Y58</f>
        <v>211.84999999999997</v>
      </c>
      <c r="J53">
        <f>'C16'!Y58</f>
        <v>0</v>
      </c>
      <c r="K53">
        <f>'C11'!Y58</f>
        <v>227.2</v>
      </c>
      <c r="L53">
        <f>'C05'!Y58</f>
        <v>0</v>
      </c>
      <c r="M53">
        <f>'C09'!Y58</f>
        <v>0</v>
      </c>
      <c r="N53">
        <f>'C14'!Y58</f>
        <v>2908.3799999999997</v>
      </c>
      <c r="O53">
        <f>'C18'!Y58</f>
        <v>0</v>
      </c>
      <c r="P53">
        <f>'C21'!Y58</f>
        <v>293.74</v>
      </c>
      <c r="Q53">
        <f>'C29'!Y58</f>
        <v>0</v>
      </c>
      <c r="R53">
        <f>'C13'!Y58</f>
        <v>0</v>
      </c>
      <c r="S53">
        <f>'C12'!Y58</f>
        <v>0</v>
      </c>
      <c r="T53">
        <f>'C20'!Y58</f>
        <v>688.59</v>
      </c>
      <c r="U53">
        <f>'C19'!Y58</f>
        <v>0</v>
      </c>
      <c r="V53">
        <f>'C17'!Y58</f>
        <v>0</v>
      </c>
      <c r="W53">
        <f>'C26'!Y58</f>
        <v>3211.74</v>
      </c>
      <c r="X53">
        <f>'C27'!Y58</f>
        <v>516.20000000000005</v>
      </c>
      <c r="Y53">
        <f>'C25'!Y58</f>
        <v>0</v>
      </c>
      <c r="Z53">
        <f>'C23'!Y58</f>
        <v>304.56</v>
      </c>
      <c r="AA53">
        <f>'C15'!Y58</f>
        <v>0</v>
      </c>
      <c r="AB53">
        <f>'C24'!Y58</f>
        <v>0</v>
      </c>
      <c r="AC53">
        <f>'C22'!Y58</f>
        <v>0</v>
      </c>
      <c r="AD53">
        <f>'C33'!Y58</f>
        <v>0</v>
      </c>
      <c r="AE53">
        <f>'C32'!Y58</f>
        <v>0</v>
      </c>
      <c r="AF53">
        <f>'C28'!Y58</f>
        <v>181.23000000000002</v>
      </c>
      <c r="AG53">
        <f>'C40'!Y58</f>
        <v>0</v>
      </c>
      <c r="AH53">
        <f>'C30'!Y58</f>
        <v>204</v>
      </c>
      <c r="AI53">
        <f>'C31'!Y58</f>
        <v>0</v>
      </c>
      <c r="AJ53">
        <f>'C39'!Y58</f>
        <v>0</v>
      </c>
      <c r="AK53">
        <f>'C36'!Y58</f>
        <v>52.199999999999996</v>
      </c>
      <c r="AL53">
        <f>'C37'!Y58</f>
        <v>0</v>
      </c>
      <c r="AM53">
        <f>'C38'!Y58</f>
        <v>0</v>
      </c>
      <c r="AN53">
        <f>'C34'!Y58</f>
        <v>0</v>
      </c>
      <c r="AO53">
        <f>'C35'!Y58</f>
        <v>0</v>
      </c>
    </row>
    <row r="54" spans="1:41" ht="16.5">
      <c r="A54" s="1">
        <v>1999</v>
      </c>
      <c r="B54">
        <f>'C01'!Y59</f>
        <v>0</v>
      </c>
      <c r="C54">
        <f>'C03'!Y59</f>
        <v>0</v>
      </c>
      <c r="D54">
        <f>'C02'!Y59</f>
        <v>0</v>
      </c>
      <c r="E54">
        <f>'C04'!Y59</f>
        <v>0</v>
      </c>
      <c r="F54">
        <f>'C07'!Y59</f>
        <v>12223.35</v>
      </c>
      <c r="G54">
        <f>'C08'!Y59</f>
        <v>622.79999999999995</v>
      </c>
      <c r="H54">
        <f>'C06'!Y59</f>
        <v>0</v>
      </c>
      <c r="I54">
        <f>'C10'!Y59</f>
        <v>250.88</v>
      </c>
      <c r="J54">
        <f>'C16'!Y59</f>
        <v>0</v>
      </c>
      <c r="K54">
        <f>'C11'!Y59</f>
        <v>249.15</v>
      </c>
      <c r="L54">
        <f>'C05'!Y59</f>
        <v>0</v>
      </c>
      <c r="M54">
        <f>'C09'!Y59</f>
        <v>0</v>
      </c>
      <c r="N54">
        <f>'C14'!Y59</f>
        <v>5666.7599999999993</v>
      </c>
      <c r="O54">
        <f>'C18'!Y59</f>
        <v>0</v>
      </c>
      <c r="P54">
        <f>'C21'!Y59</f>
        <v>324.11</v>
      </c>
      <c r="Q54">
        <f>'C29'!Y59</f>
        <v>0</v>
      </c>
      <c r="R54">
        <f>'C13'!Y59</f>
        <v>0</v>
      </c>
      <c r="S54">
        <f>'C12'!Y59</f>
        <v>0</v>
      </c>
      <c r="T54">
        <f>'C20'!Y59</f>
        <v>3500.2999999999997</v>
      </c>
      <c r="U54">
        <f>'C19'!Y59</f>
        <v>0</v>
      </c>
      <c r="V54">
        <f>'C17'!Y59</f>
        <v>23.040000000000003</v>
      </c>
      <c r="W54">
        <f>'C26'!Y59</f>
        <v>220.67000000000002</v>
      </c>
      <c r="X54">
        <f>'C27'!Y59</f>
        <v>324.96000000000004</v>
      </c>
      <c r="Y54">
        <f>'C25'!Y59</f>
        <v>0</v>
      </c>
      <c r="Z54">
        <f>'C23'!Y59</f>
        <v>441.18</v>
      </c>
      <c r="AA54">
        <f>'C15'!Y59</f>
        <v>0</v>
      </c>
      <c r="AB54">
        <f>'C24'!Y59</f>
        <v>0</v>
      </c>
      <c r="AC54">
        <f>'C22'!Y59</f>
        <v>0</v>
      </c>
      <c r="AD54">
        <f>'C33'!Y59</f>
        <v>0</v>
      </c>
      <c r="AE54">
        <f>'C32'!Y59</f>
        <v>0</v>
      </c>
      <c r="AF54">
        <f>'C28'!Y59</f>
        <v>21.8</v>
      </c>
      <c r="AG54">
        <f>'C40'!Y59</f>
        <v>0</v>
      </c>
      <c r="AH54">
        <f>'C30'!Y59</f>
        <v>1632.1599999999999</v>
      </c>
      <c r="AI54">
        <f>'C31'!Y59</f>
        <v>0</v>
      </c>
      <c r="AJ54">
        <f>'C39'!Y59</f>
        <v>0</v>
      </c>
      <c r="AK54">
        <f>'C36'!Y59</f>
        <v>88.58</v>
      </c>
      <c r="AL54">
        <f>'C37'!Y59</f>
        <v>0</v>
      </c>
      <c r="AM54">
        <f>'C38'!Y59</f>
        <v>0</v>
      </c>
      <c r="AN54">
        <f>'C34'!Y59</f>
        <v>0</v>
      </c>
      <c r="AO54">
        <f>'C35'!Y59</f>
        <v>0</v>
      </c>
    </row>
    <row r="55" spans="1:41" ht="16.5">
      <c r="A55" s="1">
        <v>2000</v>
      </c>
      <c r="B55">
        <f>'C01'!Y60</f>
        <v>0</v>
      </c>
      <c r="C55">
        <f>'C03'!Y60</f>
        <v>0</v>
      </c>
      <c r="D55">
        <f>'C02'!Y60</f>
        <v>0</v>
      </c>
      <c r="E55">
        <f>'C04'!Y60</f>
        <v>0</v>
      </c>
      <c r="F55">
        <f>'C07'!Y60</f>
        <v>1041.5999999999999</v>
      </c>
      <c r="G55">
        <f>'C08'!Y60</f>
        <v>35256.240000000005</v>
      </c>
      <c r="H55">
        <f>'C06'!Y60</f>
        <v>0</v>
      </c>
      <c r="I55">
        <f>'C10'!Y60</f>
        <v>3305.2200000000003</v>
      </c>
      <c r="J55">
        <f>'C16'!Y60</f>
        <v>0</v>
      </c>
      <c r="K55">
        <f>'C11'!Y60</f>
        <v>43.42</v>
      </c>
      <c r="L55">
        <f>'C05'!Y60</f>
        <v>0</v>
      </c>
      <c r="M55">
        <f>'C09'!Y60</f>
        <v>0</v>
      </c>
      <c r="N55">
        <f>'C14'!Y60</f>
        <v>777.13</v>
      </c>
      <c r="O55">
        <f>'C18'!Y60</f>
        <v>0</v>
      </c>
      <c r="P55">
        <f>'C21'!Y60</f>
        <v>1322.58</v>
      </c>
      <c r="Q55">
        <f>'C29'!Y60</f>
        <v>0</v>
      </c>
      <c r="R55">
        <f>'C13'!Y60</f>
        <v>0</v>
      </c>
      <c r="S55">
        <f>'C12'!Y60</f>
        <v>0</v>
      </c>
      <c r="T55">
        <f>'C20'!Y60</f>
        <v>554.62</v>
      </c>
      <c r="U55">
        <f>'C19'!Y60</f>
        <v>0</v>
      </c>
      <c r="V55">
        <f>'C17'!Y60</f>
        <v>159.25</v>
      </c>
      <c r="W55">
        <f>'C26'!Y60</f>
        <v>389.32</v>
      </c>
      <c r="X55">
        <f>'C27'!Y60</f>
        <v>457.28</v>
      </c>
      <c r="Y55">
        <f>'C25'!Y60</f>
        <v>0</v>
      </c>
      <c r="Z55">
        <f>'C23'!Y60</f>
        <v>57.42</v>
      </c>
      <c r="AA55">
        <f>'C15'!Y60</f>
        <v>0</v>
      </c>
      <c r="AB55">
        <f>'C24'!Y60</f>
        <v>0</v>
      </c>
      <c r="AC55">
        <f>'C22'!Y60</f>
        <v>0</v>
      </c>
      <c r="AD55">
        <f>'C33'!Y60</f>
        <v>0</v>
      </c>
      <c r="AE55">
        <f>'C32'!Y60</f>
        <v>0</v>
      </c>
      <c r="AF55">
        <f>'C28'!Y60</f>
        <v>54</v>
      </c>
      <c r="AG55">
        <f>'C40'!Y60</f>
        <v>0</v>
      </c>
      <c r="AH55">
        <f>'C30'!Y60</f>
        <v>274.20000000000005</v>
      </c>
      <c r="AI55">
        <f>'C31'!Y60</f>
        <v>0</v>
      </c>
      <c r="AJ55">
        <f>'C39'!Y60</f>
        <v>0</v>
      </c>
      <c r="AK55">
        <f>'C36'!Y60</f>
        <v>243.8</v>
      </c>
      <c r="AL55">
        <f>'C37'!Y60</f>
        <v>0</v>
      </c>
      <c r="AM55">
        <f>'C38'!Y60</f>
        <v>0</v>
      </c>
      <c r="AN55">
        <f>'C34'!Y60</f>
        <v>0</v>
      </c>
      <c r="AO55">
        <f>'C35'!Y60</f>
        <v>0</v>
      </c>
    </row>
    <row r="56" spans="1:41" ht="16.5">
      <c r="A56" s="1">
        <v>2001</v>
      </c>
      <c r="B56">
        <f>'C01'!Y61</f>
        <v>89.009999999999991</v>
      </c>
      <c r="C56">
        <f>'C03'!Y61</f>
        <v>0</v>
      </c>
      <c r="D56">
        <f>'C02'!Y61</f>
        <v>0</v>
      </c>
      <c r="E56">
        <f>'C04'!Y61</f>
        <v>0</v>
      </c>
      <c r="F56">
        <f>'C07'!Y61</f>
        <v>2118.7799999999997</v>
      </c>
      <c r="G56">
        <f>'C08'!Y61</f>
        <v>16164.820000000002</v>
      </c>
      <c r="H56">
        <f>'C06'!Y61</f>
        <v>0</v>
      </c>
      <c r="I56">
        <f>'C10'!Y61</f>
        <v>4506.75</v>
      </c>
      <c r="J56">
        <f>'C16'!Y61</f>
        <v>0</v>
      </c>
      <c r="K56">
        <f>'C11'!Y61</f>
        <v>124.19999999999999</v>
      </c>
      <c r="L56">
        <f>'C05'!Y61</f>
        <v>0</v>
      </c>
      <c r="M56">
        <f>'C09'!Y61</f>
        <v>0</v>
      </c>
      <c r="N56">
        <f>'C14'!Y61</f>
        <v>466.46999999999997</v>
      </c>
      <c r="O56">
        <f>'C18'!Y61</f>
        <v>0</v>
      </c>
      <c r="P56">
        <f>'C21'!Y61</f>
        <v>1084.94</v>
      </c>
      <c r="Q56">
        <f>'C29'!Y61</f>
        <v>0</v>
      </c>
      <c r="R56">
        <f>'C13'!Y61</f>
        <v>0</v>
      </c>
      <c r="S56">
        <f>'C12'!Y61</f>
        <v>0</v>
      </c>
      <c r="T56">
        <f>'C20'!Y61</f>
        <v>653.47</v>
      </c>
      <c r="U56">
        <f>'C19'!Y61</f>
        <v>0</v>
      </c>
      <c r="V56">
        <f>'C17'!Y61</f>
        <v>656.73</v>
      </c>
      <c r="W56">
        <f>'C26'!Y61</f>
        <v>132.53</v>
      </c>
      <c r="X56">
        <f>'C27'!Y61</f>
        <v>460.24000000000007</v>
      </c>
      <c r="Y56">
        <f>'C25'!Y61</f>
        <v>0</v>
      </c>
      <c r="Z56">
        <f>'C23'!Y61</f>
        <v>0</v>
      </c>
      <c r="AA56">
        <f>'C15'!Y61</f>
        <v>0</v>
      </c>
      <c r="AB56">
        <f>'C24'!Y61</f>
        <v>0</v>
      </c>
      <c r="AC56">
        <f>'C22'!Y61</f>
        <v>0</v>
      </c>
      <c r="AD56">
        <f>'C33'!Y61</f>
        <v>0</v>
      </c>
      <c r="AE56">
        <f>'C32'!Y61</f>
        <v>0</v>
      </c>
      <c r="AF56">
        <f>'C28'!Y61</f>
        <v>305.04000000000002</v>
      </c>
      <c r="AG56">
        <f>'C40'!Y61</f>
        <v>0</v>
      </c>
      <c r="AH56">
        <f>'C30'!Y61</f>
        <v>10128.300000000001</v>
      </c>
      <c r="AI56">
        <f>'C31'!Y61</f>
        <v>0</v>
      </c>
      <c r="AJ56">
        <f>'C39'!Y61</f>
        <v>0</v>
      </c>
      <c r="AK56">
        <f>'C36'!Y61</f>
        <v>529.67999999999995</v>
      </c>
      <c r="AL56">
        <f>'C37'!Y61</f>
        <v>0</v>
      </c>
      <c r="AM56">
        <f>'C38'!Y61</f>
        <v>0</v>
      </c>
      <c r="AN56">
        <f>'C34'!Y61</f>
        <v>0</v>
      </c>
      <c r="AO56">
        <f>'C35'!Y61</f>
        <v>0</v>
      </c>
    </row>
    <row r="57" spans="1:41" ht="16.5">
      <c r="A57" s="1">
        <v>2002</v>
      </c>
      <c r="B57">
        <f>'C01'!Y62</f>
        <v>138.96</v>
      </c>
      <c r="C57">
        <f>'C03'!Y62</f>
        <v>0</v>
      </c>
      <c r="D57">
        <f>'C02'!Y62</f>
        <v>0</v>
      </c>
      <c r="E57">
        <f>'C04'!Y62</f>
        <v>0</v>
      </c>
      <c r="F57">
        <f>'C07'!Y62</f>
        <v>10830.6</v>
      </c>
      <c r="G57">
        <f>'C08'!Y62</f>
        <v>15413.16</v>
      </c>
      <c r="H57">
        <f>'C06'!Y62</f>
        <v>0</v>
      </c>
      <c r="I57">
        <f>'C10'!Y62</f>
        <v>4121.0399999999991</v>
      </c>
      <c r="J57">
        <f>'C16'!Y62</f>
        <v>0</v>
      </c>
      <c r="K57">
        <f>'C11'!Y62</f>
        <v>153.24</v>
      </c>
      <c r="L57">
        <f>'C05'!Y62</f>
        <v>0</v>
      </c>
      <c r="M57">
        <f>'C09'!Y62</f>
        <v>0</v>
      </c>
      <c r="N57">
        <f>'C14'!Y62</f>
        <v>329.28000000000003</v>
      </c>
      <c r="O57">
        <f>'C18'!Y62</f>
        <v>0</v>
      </c>
      <c r="P57">
        <f>'C21'!Y62</f>
        <v>988.38000000000011</v>
      </c>
      <c r="Q57">
        <f>'C29'!Y62</f>
        <v>0</v>
      </c>
      <c r="R57">
        <f>'C13'!Y62</f>
        <v>0</v>
      </c>
      <c r="S57">
        <f>'C12'!Y62</f>
        <v>0</v>
      </c>
      <c r="T57">
        <f>'C20'!Y62</f>
        <v>300.93</v>
      </c>
      <c r="U57">
        <f>'C19'!Y62</f>
        <v>0</v>
      </c>
      <c r="V57">
        <f>'C17'!Y62</f>
        <v>644.64</v>
      </c>
      <c r="W57">
        <f>'C26'!Y62</f>
        <v>209.78</v>
      </c>
      <c r="X57">
        <f>'C27'!Y62</f>
        <v>444.92999999999995</v>
      </c>
      <c r="Y57">
        <f>'C25'!Y62</f>
        <v>0</v>
      </c>
      <c r="Z57">
        <f>'C23'!Y62</f>
        <v>0</v>
      </c>
      <c r="AA57">
        <f>'C15'!Y62</f>
        <v>0</v>
      </c>
      <c r="AB57">
        <f>'C24'!Y62</f>
        <v>0</v>
      </c>
      <c r="AC57">
        <f>'C22'!Y62</f>
        <v>0</v>
      </c>
      <c r="AD57">
        <f>'C33'!Y62</f>
        <v>0</v>
      </c>
      <c r="AE57">
        <f>'C32'!Y62</f>
        <v>0</v>
      </c>
      <c r="AF57">
        <f>'C28'!Y62</f>
        <v>384.58</v>
      </c>
      <c r="AG57">
        <f>'C40'!Y62</f>
        <v>0</v>
      </c>
      <c r="AH57">
        <f>'C30'!Y62</f>
        <v>1837.0499999999997</v>
      </c>
      <c r="AI57">
        <f>'C31'!Y62</f>
        <v>0</v>
      </c>
      <c r="AJ57">
        <f>'C39'!Y62</f>
        <v>187.35999999999999</v>
      </c>
      <c r="AK57">
        <f>'C36'!Y62</f>
        <v>1037.1000000000001</v>
      </c>
      <c r="AL57">
        <f>'C37'!Y62</f>
        <v>0</v>
      </c>
      <c r="AM57">
        <f>'C38'!Y62</f>
        <v>0</v>
      </c>
      <c r="AN57">
        <f>'C34'!Y62</f>
        <v>0</v>
      </c>
      <c r="AO57">
        <f>'C35'!Y62</f>
        <v>0</v>
      </c>
    </row>
    <row r="58" spans="1:41" ht="16.5">
      <c r="A58" s="1">
        <v>2003</v>
      </c>
      <c r="B58">
        <f>'C01'!Y63</f>
        <v>0</v>
      </c>
      <c r="C58">
        <f>'C03'!Y63</f>
        <v>0</v>
      </c>
      <c r="D58">
        <f>'C02'!Y63</f>
        <v>0</v>
      </c>
      <c r="E58">
        <f>'C04'!Y63</f>
        <v>0</v>
      </c>
      <c r="F58">
        <f>'C07'!Y63</f>
        <v>33362.65</v>
      </c>
      <c r="G58">
        <f>'C08'!Y63</f>
        <v>1878.2</v>
      </c>
      <c r="H58">
        <f>'C06'!Y63</f>
        <v>0</v>
      </c>
      <c r="I58">
        <f>'C10'!Y63</f>
        <v>2082.2399999999998</v>
      </c>
      <c r="J58">
        <f>'C16'!Y63</f>
        <v>0</v>
      </c>
      <c r="K58">
        <f>'C11'!Y63</f>
        <v>0</v>
      </c>
      <c r="L58">
        <f>'C05'!Y63</f>
        <v>0</v>
      </c>
      <c r="M58">
        <f>'C09'!Y63</f>
        <v>0</v>
      </c>
      <c r="N58">
        <f>'C14'!Y63</f>
        <v>330.07</v>
      </c>
      <c r="O58">
        <f>'C18'!Y63</f>
        <v>0</v>
      </c>
      <c r="P58">
        <f>'C21'!Y63</f>
        <v>1989.72</v>
      </c>
      <c r="Q58">
        <f>'C29'!Y63</f>
        <v>0</v>
      </c>
      <c r="R58">
        <f>'C13'!Y63</f>
        <v>0</v>
      </c>
      <c r="S58">
        <f>'C12'!Y63</f>
        <v>0</v>
      </c>
      <c r="T58">
        <f>'C20'!Y63</f>
        <v>2083.25</v>
      </c>
      <c r="U58">
        <f>'C19'!Y63</f>
        <v>0</v>
      </c>
      <c r="V58">
        <f>'C17'!Y63</f>
        <v>855.36</v>
      </c>
      <c r="W58">
        <f>'C26'!Y63</f>
        <v>120.94</v>
      </c>
      <c r="X58">
        <f>'C27'!Y63</f>
        <v>312.60000000000002</v>
      </c>
      <c r="Y58">
        <f>'C25'!Y63</f>
        <v>0</v>
      </c>
      <c r="Z58">
        <f>'C23'!Y63</f>
        <v>0</v>
      </c>
      <c r="AA58">
        <f>'C15'!Y63</f>
        <v>0</v>
      </c>
      <c r="AB58">
        <f>'C24'!Y63</f>
        <v>0</v>
      </c>
      <c r="AC58">
        <f>'C22'!Y63</f>
        <v>0</v>
      </c>
      <c r="AD58">
        <f>'C33'!Y63</f>
        <v>0</v>
      </c>
      <c r="AE58">
        <f>'C32'!Y63</f>
        <v>0</v>
      </c>
      <c r="AF58">
        <f>'C28'!Y63</f>
        <v>529.11</v>
      </c>
      <c r="AG58">
        <f>'C40'!Y63</f>
        <v>1544.7</v>
      </c>
      <c r="AH58">
        <f>'C30'!Y63</f>
        <v>1569.12</v>
      </c>
      <c r="AI58">
        <f>'C31'!Y63</f>
        <v>0</v>
      </c>
      <c r="AJ58">
        <f>'C39'!Y63</f>
        <v>1342.5</v>
      </c>
      <c r="AK58">
        <f>'C36'!Y63</f>
        <v>3260.5200000000004</v>
      </c>
      <c r="AL58">
        <f>'C37'!Y63</f>
        <v>0</v>
      </c>
      <c r="AM58">
        <f>'C38'!Y63</f>
        <v>0</v>
      </c>
      <c r="AN58">
        <f>'C34'!Y63</f>
        <v>0</v>
      </c>
      <c r="AO58">
        <f>'C35'!Y63</f>
        <v>199.82</v>
      </c>
    </row>
    <row r="59" spans="1:41" ht="16.5">
      <c r="A59" s="1">
        <v>2004</v>
      </c>
      <c r="B59">
        <f>'C01'!Y64</f>
        <v>0</v>
      </c>
      <c r="C59">
        <f>'C03'!Y64</f>
        <v>111.63</v>
      </c>
      <c r="D59">
        <f>'C02'!Y64</f>
        <v>0</v>
      </c>
      <c r="E59">
        <f>'C04'!Y64</f>
        <v>0</v>
      </c>
      <c r="F59">
        <f>'C07'!Y64</f>
        <v>1366.72</v>
      </c>
      <c r="G59">
        <f>'C08'!Y64</f>
        <v>1747.12</v>
      </c>
      <c r="H59">
        <f>'C06'!Y64</f>
        <v>0</v>
      </c>
      <c r="I59">
        <f>'C10'!Y64</f>
        <v>2060.37</v>
      </c>
      <c r="J59">
        <f>'C16'!Y64</f>
        <v>0</v>
      </c>
      <c r="K59">
        <f>'C11'!Y64</f>
        <v>0</v>
      </c>
      <c r="L59">
        <f>'C05'!Y64</f>
        <v>0</v>
      </c>
      <c r="M59">
        <f>'C09'!Y64</f>
        <v>0</v>
      </c>
      <c r="N59">
        <f>'C14'!Y64</f>
        <v>249.59</v>
      </c>
      <c r="O59">
        <f>'C18'!Y64</f>
        <v>0</v>
      </c>
      <c r="P59">
        <f>'C21'!Y64</f>
        <v>13388.960000000001</v>
      </c>
      <c r="Q59">
        <f>'C29'!Y64</f>
        <v>0</v>
      </c>
      <c r="R59">
        <f>'C13'!Y64</f>
        <v>0</v>
      </c>
      <c r="S59">
        <f>'C12'!Y64</f>
        <v>0</v>
      </c>
      <c r="T59">
        <f>'C20'!Y64</f>
        <v>0</v>
      </c>
      <c r="U59">
        <f>'C19'!Y64</f>
        <v>0</v>
      </c>
      <c r="V59">
        <f>'C17'!Y64</f>
        <v>597.5</v>
      </c>
      <c r="W59">
        <f>'C26'!Y64</f>
        <v>16.12</v>
      </c>
      <c r="X59">
        <f>'C27'!Y64</f>
        <v>0</v>
      </c>
      <c r="Y59">
        <f>'C25'!Y64</f>
        <v>0</v>
      </c>
      <c r="Z59">
        <f>'C23'!Y64</f>
        <v>0</v>
      </c>
      <c r="AA59">
        <f>'C15'!Y64</f>
        <v>0</v>
      </c>
      <c r="AB59">
        <f>'C24'!Y64</f>
        <v>284.41000000000003</v>
      </c>
      <c r="AC59">
        <f>'C22'!Y64</f>
        <v>0</v>
      </c>
      <c r="AD59">
        <f>'C33'!Y64</f>
        <v>0</v>
      </c>
      <c r="AE59">
        <f>'C32'!Y64</f>
        <v>0</v>
      </c>
      <c r="AF59">
        <f>'C28'!Y64</f>
        <v>309.39999999999998</v>
      </c>
      <c r="AG59">
        <f>'C40'!Y64</f>
        <v>442.15</v>
      </c>
      <c r="AH59">
        <f>'C30'!Y64</f>
        <v>73.34</v>
      </c>
      <c r="AI59">
        <f>'C31'!Y64</f>
        <v>0</v>
      </c>
      <c r="AJ59">
        <f>'C39'!Y64</f>
        <v>322.45</v>
      </c>
      <c r="AK59">
        <f>'C36'!Y64</f>
        <v>713.46</v>
      </c>
      <c r="AL59">
        <f>'C37'!Y64</f>
        <v>164.16000000000003</v>
      </c>
      <c r="AM59">
        <f>'C38'!Y64</f>
        <v>0</v>
      </c>
      <c r="AN59">
        <f>'C34'!Y64</f>
        <v>0</v>
      </c>
      <c r="AO59">
        <f>'C35'!Y64</f>
        <v>368.41</v>
      </c>
    </row>
    <row r="60" spans="1:41" ht="16.5">
      <c r="A60" s="1">
        <v>2005</v>
      </c>
      <c r="B60">
        <f>'C01'!Y65</f>
        <v>0</v>
      </c>
      <c r="C60">
        <f>'C03'!Y65</f>
        <v>393.21</v>
      </c>
      <c r="D60">
        <f>'C02'!Y65</f>
        <v>0</v>
      </c>
      <c r="E60">
        <f>'C04'!Y65</f>
        <v>0</v>
      </c>
      <c r="F60">
        <f>'C07'!Y65</f>
        <v>13344.75</v>
      </c>
      <c r="G60">
        <f>'C08'!Y65</f>
        <v>973.80000000000007</v>
      </c>
      <c r="H60">
        <f>'C06'!Y65</f>
        <v>0</v>
      </c>
      <c r="I60">
        <f>'C10'!Y65</f>
        <v>212.03</v>
      </c>
      <c r="J60">
        <f>'C16'!Y65</f>
        <v>0</v>
      </c>
      <c r="K60">
        <f>'C11'!Y65</f>
        <v>0</v>
      </c>
      <c r="L60">
        <f>'C05'!Y65</f>
        <v>0</v>
      </c>
      <c r="M60">
        <f>'C09'!Y65</f>
        <v>0</v>
      </c>
      <c r="N60">
        <f>'C14'!Y65</f>
        <v>0</v>
      </c>
      <c r="O60">
        <f>'C18'!Y65</f>
        <v>0</v>
      </c>
      <c r="P60">
        <f>'C21'!Y65</f>
        <v>1928.88</v>
      </c>
      <c r="Q60">
        <f>'C29'!Y65</f>
        <v>0</v>
      </c>
      <c r="R60">
        <f>'C13'!Y65</f>
        <v>0</v>
      </c>
      <c r="S60">
        <f>'C12'!Y65</f>
        <v>0</v>
      </c>
      <c r="T60">
        <f>'C20'!Y65</f>
        <v>0</v>
      </c>
      <c r="U60">
        <f>'C19'!Y65</f>
        <v>0</v>
      </c>
      <c r="V60">
        <f>'C17'!Y65</f>
        <v>1308.7200000000003</v>
      </c>
      <c r="W60">
        <f>'C26'!Y65</f>
        <v>0</v>
      </c>
      <c r="X60">
        <f>'C27'!Y65</f>
        <v>0</v>
      </c>
      <c r="Y60">
        <f>'C25'!Y65</f>
        <v>0</v>
      </c>
      <c r="Z60">
        <f>'C23'!Y65</f>
        <v>0</v>
      </c>
      <c r="AA60">
        <f>'C15'!Y65</f>
        <v>0</v>
      </c>
      <c r="AB60">
        <f>'C24'!Y65</f>
        <v>653.85</v>
      </c>
      <c r="AC60">
        <f>'C22'!Y65</f>
        <v>0</v>
      </c>
      <c r="AD60">
        <f>'C33'!Y65</f>
        <v>0</v>
      </c>
      <c r="AE60">
        <f>'C32'!Y65</f>
        <v>0</v>
      </c>
      <c r="AF60">
        <f>'C28'!Y65</f>
        <v>7494</v>
      </c>
      <c r="AG60">
        <f>'C40'!Y65</f>
        <v>4562</v>
      </c>
      <c r="AH60">
        <f>'C30'!Y65</f>
        <v>1730.4</v>
      </c>
      <c r="AI60">
        <f>'C31'!Y65</f>
        <v>0</v>
      </c>
      <c r="AJ60">
        <f>'C39'!Y65</f>
        <v>1299</v>
      </c>
      <c r="AK60">
        <f>'C36'!Y65</f>
        <v>569.70000000000005</v>
      </c>
      <c r="AL60">
        <f>'C37'!Y65</f>
        <v>177.73000000000002</v>
      </c>
      <c r="AM60">
        <f>'C38'!Y65</f>
        <v>0</v>
      </c>
      <c r="AN60">
        <f>'C34'!Y65</f>
        <v>0</v>
      </c>
      <c r="AO60">
        <f>'C35'!Y65</f>
        <v>561.44000000000005</v>
      </c>
    </row>
    <row r="61" spans="1:41" ht="16.5">
      <c r="A61" s="1">
        <v>2006</v>
      </c>
      <c r="B61">
        <f>'C01'!Y66</f>
        <v>0</v>
      </c>
      <c r="C61">
        <f>'C03'!Y66</f>
        <v>1598.66</v>
      </c>
      <c r="D61">
        <f>'C02'!Y66</f>
        <v>0</v>
      </c>
      <c r="E61">
        <f>'C04'!Y66</f>
        <v>0</v>
      </c>
      <c r="F61">
        <f>'C07'!Y66</f>
        <v>819.78000000000009</v>
      </c>
      <c r="G61">
        <f>'C08'!Y66</f>
        <v>2606.2799999999997</v>
      </c>
      <c r="H61">
        <f>'C06'!Y66</f>
        <v>0</v>
      </c>
      <c r="I61">
        <f>'C10'!Y66</f>
        <v>3078</v>
      </c>
      <c r="J61">
        <f>'C16'!Y66</f>
        <v>0</v>
      </c>
      <c r="K61">
        <f>'C11'!Y66</f>
        <v>0</v>
      </c>
      <c r="L61">
        <f>'C05'!Y66</f>
        <v>0</v>
      </c>
      <c r="M61">
        <f>'C09'!Y66</f>
        <v>0</v>
      </c>
      <c r="N61">
        <f>'C14'!Y66</f>
        <v>0</v>
      </c>
      <c r="O61">
        <f>'C18'!Y66</f>
        <v>0</v>
      </c>
      <c r="P61">
        <f>'C21'!Y66</f>
        <v>1278.3600000000001</v>
      </c>
      <c r="Q61">
        <f>'C29'!Y66</f>
        <v>251.94000000000003</v>
      </c>
      <c r="R61">
        <f>'C13'!Y66</f>
        <v>0</v>
      </c>
      <c r="S61">
        <f>'C12'!Y66</f>
        <v>0</v>
      </c>
      <c r="T61">
        <f>'C20'!Y66</f>
        <v>0</v>
      </c>
      <c r="U61">
        <f>'C19'!Y66</f>
        <v>0</v>
      </c>
      <c r="V61">
        <f>'C17'!Y66</f>
        <v>2766.1400000000003</v>
      </c>
      <c r="W61">
        <f>'C26'!Y66</f>
        <v>0</v>
      </c>
      <c r="X61">
        <f>'C27'!Y66</f>
        <v>0</v>
      </c>
      <c r="Y61">
        <f>'C25'!Y66</f>
        <v>0</v>
      </c>
      <c r="Z61">
        <f>'C23'!Y66</f>
        <v>0</v>
      </c>
      <c r="AA61">
        <f>'C15'!Y66</f>
        <v>0</v>
      </c>
      <c r="AB61">
        <f>'C24'!Y66</f>
        <v>15666.819999999998</v>
      </c>
      <c r="AC61">
        <f>'C22'!Y66</f>
        <v>0</v>
      </c>
      <c r="AD61">
        <f>'C33'!Y66</f>
        <v>0</v>
      </c>
      <c r="AE61">
        <f>'C32'!Y66</f>
        <v>0</v>
      </c>
      <c r="AF61">
        <f>'C28'!Y66</f>
        <v>8347.4400000000023</v>
      </c>
      <c r="AG61">
        <f>'C40'!Y66</f>
        <v>477.52</v>
      </c>
      <c r="AH61">
        <f>'C30'!Y66</f>
        <v>300.44</v>
      </c>
      <c r="AI61">
        <f>'C31'!Y66</f>
        <v>0</v>
      </c>
      <c r="AJ61">
        <f>'C39'!Y66</f>
        <v>342.98</v>
      </c>
      <c r="AK61">
        <f>'C36'!Y66</f>
        <v>111.68999999999998</v>
      </c>
      <c r="AL61">
        <f>'C37'!Y66</f>
        <v>282.3</v>
      </c>
      <c r="AM61">
        <f>'C38'!Y66</f>
        <v>0</v>
      </c>
      <c r="AN61">
        <f>'C34'!Y66</f>
        <v>0</v>
      </c>
      <c r="AO61">
        <f>'C35'!Y66</f>
        <v>245.76</v>
      </c>
    </row>
    <row r="62" spans="1:41" ht="16.5">
      <c r="A62" s="1">
        <v>2007</v>
      </c>
      <c r="B62">
        <f>'C01'!Y67</f>
        <v>0</v>
      </c>
      <c r="C62">
        <f>'C03'!Y67</f>
        <v>921.8</v>
      </c>
      <c r="D62">
        <f>'C02'!Y67</f>
        <v>0</v>
      </c>
      <c r="E62">
        <f>'C04'!Y67</f>
        <v>0</v>
      </c>
      <c r="F62">
        <f>'C07'!Y67</f>
        <v>6681.5</v>
      </c>
      <c r="G62">
        <f>'C08'!Y67</f>
        <v>181.95999999999998</v>
      </c>
      <c r="H62">
        <f>'C06'!Y67</f>
        <v>0</v>
      </c>
      <c r="I62">
        <f>'C10'!Y67</f>
        <v>2730.7500000000005</v>
      </c>
      <c r="J62">
        <f>'C16'!Y67</f>
        <v>0</v>
      </c>
      <c r="K62">
        <f>'C11'!Y67</f>
        <v>0</v>
      </c>
      <c r="L62">
        <f>'C05'!Y67</f>
        <v>0</v>
      </c>
      <c r="M62">
        <f>'C09'!Y67</f>
        <v>0</v>
      </c>
      <c r="N62">
        <f>'C14'!Y67</f>
        <v>0</v>
      </c>
      <c r="O62">
        <f>'C18'!Y67</f>
        <v>0</v>
      </c>
      <c r="P62">
        <f>'C21'!Y67</f>
        <v>845.91000000000008</v>
      </c>
      <c r="Q62">
        <f>'C29'!Y67</f>
        <v>215.60000000000002</v>
      </c>
      <c r="R62">
        <f>'C13'!Y67</f>
        <v>0</v>
      </c>
      <c r="S62">
        <f>'C12'!Y67</f>
        <v>0</v>
      </c>
      <c r="T62">
        <f>'C20'!Y67</f>
        <v>0</v>
      </c>
      <c r="U62">
        <f>'C19'!Y67</f>
        <v>0</v>
      </c>
      <c r="V62">
        <f>'C17'!Y67</f>
        <v>6446.8000000000011</v>
      </c>
      <c r="W62">
        <f>'C26'!Y67</f>
        <v>0</v>
      </c>
      <c r="X62">
        <f>'C27'!Y67</f>
        <v>0</v>
      </c>
      <c r="Y62">
        <f>'C25'!Y67</f>
        <v>0</v>
      </c>
      <c r="Z62">
        <f>'C23'!Y67</f>
        <v>0</v>
      </c>
      <c r="AA62">
        <f>'C15'!Y67</f>
        <v>0</v>
      </c>
      <c r="AB62">
        <f>'C24'!Y67</f>
        <v>344.02000000000004</v>
      </c>
      <c r="AC62">
        <f>'C22'!Y67</f>
        <v>0</v>
      </c>
      <c r="AD62">
        <f>'C33'!Y67</f>
        <v>0</v>
      </c>
      <c r="AE62">
        <f>'C32'!Y67</f>
        <v>0</v>
      </c>
      <c r="AF62">
        <f>'C28'!Y67</f>
        <v>2345.92</v>
      </c>
      <c r="AG62">
        <f>'C40'!Y67</f>
        <v>3368.8</v>
      </c>
      <c r="AH62">
        <f>'C30'!Y67</f>
        <v>206.12</v>
      </c>
      <c r="AI62">
        <f>'C31'!Y67</f>
        <v>0</v>
      </c>
      <c r="AJ62">
        <f>'C39'!Y67</f>
        <v>6109.2199999999993</v>
      </c>
      <c r="AK62">
        <f>'C36'!Y67</f>
        <v>392.32000000000005</v>
      </c>
      <c r="AL62">
        <f>'C37'!Y67</f>
        <v>360.23000000000008</v>
      </c>
      <c r="AM62">
        <f>'C38'!Y67</f>
        <v>0</v>
      </c>
      <c r="AN62">
        <f>'C34'!Y67</f>
        <v>0</v>
      </c>
      <c r="AO62">
        <f>'C35'!Y67</f>
        <v>371.85</v>
      </c>
    </row>
    <row r="63" spans="1:41" ht="16.5">
      <c r="A63" s="1">
        <v>2008</v>
      </c>
      <c r="B63">
        <f>'C01'!Y68</f>
        <v>0</v>
      </c>
      <c r="C63">
        <f>'C03'!Y68</f>
        <v>3440.88</v>
      </c>
      <c r="D63">
        <f>'C02'!Y68</f>
        <v>0</v>
      </c>
      <c r="E63">
        <f>'C04'!Y68</f>
        <v>0</v>
      </c>
      <c r="F63">
        <f>'C07'!Y68</f>
        <v>1181.78</v>
      </c>
      <c r="G63">
        <f>'C08'!Y68</f>
        <v>187.82999999999998</v>
      </c>
      <c r="H63">
        <f>'C06'!Y68</f>
        <v>0</v>
      </c>
      <c r="I63">
        <f>'C10'!Y68</f>
        <v>9714.76</v>
      </c>
      <c r="J63">
        <f>'C16'!Y68</f>
        <v>0</v>
      </c>
      <c r="K63">
        <f>'C11'!Y68</f>
        <v>0</v>
      </c>
      <c r="L63">
        <f>'C05'!Y68</f>
        <v>0</v>
      </c>
      <c r="M63">
        <f>'C09'!Y68</f>
        <v>0</v>
      </c>
      <c r="N63">
        <f>'C14'!Y68</f>
        <v>0</v>
      </c>
      <c r="O63">
        <f>'C18'!Y68</f>
        <v>52.14</v>
      </c>
      <c r="P63">
        <f>'C21'!Y68</f>
        <v>8443.5300000000007</v>
      </c>
      <c r="Q63">
        <f>'C29'!Y68</f>
        <v>6784.14</v>
      </c>
      <c r="R63">
        <f>'C13'!Y68</f>
        <v>0</v>
      </c>
      <c r="S63">
        <f>'C12'!Y68</f>
        <v>0</v>
      </c>
      <c r="T63">
        <f>'C20'!Y68</f>
        <v>0</v>
      </c>
      <c r="U63">
        <f>'C19'!Y68</f>
        <v>0</v>
      </c>
      <c r="V63">
        <f>'C17'!Y68</f>
        <v>591.79000000000008</v>
      </c>
      <c r="W63">
        <f>'C26'!Y68</f>
        <v>0</v>
      </c>
      <c r="X63">
        <f>'C27'!Y68</f>
        <v>0</v>
      </c>
      <c r="Y63">
        <f>'C25'!Y68</f>
        <v>0</v>
      </c>
      <c r="Z63">
        <f>'C23'!Y68</f>
        <v>0</v>
      </c>
      <c r="AA63">
        <f>'C15'!Y68</f>
        <v>0</v>
      </c>
      <c r="AB63">
        <f>'C24'!Y68</f>
        <v>92.45</v>
      </c>
      <c r="AC63">
        <f>'C22'!Y68</f>
        <v>0</v>
      </c>
      <c r="AD63">
        <f>'C33'!Y68</f>
        <v>0</v>
      </c>
      <c r="AE63">
        <f>'C32'!Y68</f>
        <v>0</v>
      </c>
      <c r="AF63">
        <f>'C28'!Y68</f>
        <v>360.25</v>
      </c>
      <c r="AG63">
        <f>'C40'!Y68</f>
        <v>490.67999999999995</v>
      </c>
      <c r="AH63">
        <f>'C30'!Y68</f>
        <v>375.53999999999996</v>
      </c>
      <c r="AI63">
        <f>'C31'!Y68</f>
        <v>0</v>
      </c>
      <c r="AJ63">
        <f>'C39'!Y68</f>
        <v>428.65</v>
      </c>
      <c r="AK63">
        <f>'C36'!Y68</f>
        <v>320.32</v>
      </c>
      <c r="AL63">
        <f>'C37'!Y68</f>
        <v>261.17</v>
      </c>
      <c r="AM63">
        <f>'C38'!Y68</f>
        <v>0</v>
      </c>
      <c r="AN63">
        <f>'C34'!Y68</f>
        <v>0</v>
      </c>
      <c r="AO63">
        <f>'C35'!Y68</f>
        <v>209.25000000000003</v>
      </c>
    </row>
    <row r="64" spans="1:41" ht="16.5">
      <c r="A64" s="1">
        <v>2009</v>
      </c>
      <c r="B64">
        <f>'C01'!Y69</f>
        <v>0</v>
      </c>
      <c r="C64">
        <f>'C03'!Y69</f>
        <v>19357.91</v>
      </c>
      <c r="D64">
        <f>'C02'!Y69</f>
        <v>0</v>
      </c>
      <c r="E64">
        <f>'C04'!Y69</f>
        <v>0</v>
      </c>
      <c r="F64">
        <f>'C07'!Y69</f>
        <v>489.24</v>
      </c>
      <c r="G64">
        <f>'C08'!Y69</f>
        <v>196.24</v>
      </c>
      <c r="H64">
        <f>'C06'!Y69</f>
        <v>0</v>
      </c>
      <c r="I64">
        <f>'C10'!Y69</f>
        <v>16471.199999999997</v>
      </c>
      <c r="J64">
        <f>'C16'!Y69</f>
        <v>0</v>
      </c>
      <c r="K64">
        <f>'C11'!Y69</f>
        <v>0</v>
      </c>
      <c r="L64">
        <f>'C05'!Y69</f>
        <v>0</v>
      </c>
      <c r="M64">
        <f>'C09'!Y69</f>
        <v>0</v>
      </c>
      <c r="N64">
        <f>'C14'!Y69</f>
        <v>0</v>
      </c>
      <c r="O64">
        <f>'C18'!Y69</f>
        <v>185.12</v>
      </c>
      <c r="P64">
        <f>'C21'!Y69</f>
        <v>343.44</v>
      </c>
      <c r="Q64">
        <f>'C29'!Y69</f>
        <v>3908.7000000000003</v>
      </c>
      <c r="R64">
        <f>'C13'!Y69</f>
        <v>0</v>
      </c>
      <c r="S64">
        <f>'C12'!Y69</f>
        <v>0</v>
      </c>
      <c r="T64">
        <f>'C20'!Y69</f>
        <v>0</v>
      </c>
      <c r="U64">
        <f>'C19'!Y69</f>
        <v>0</v>
      </c>
      <c r="V64">
        <f>'C17'!Y69</f>
        <v>1401.78</v>
      </c>
      <c r="W64">
        <f>'C26'!Y69</f>
        <v>0</v>
      </c>
      <c r="X64">
        <f>'C27'!Y69</f>
        <v>0</v>
      </c>
      <c r="Y64">
        <f>'C25'!Y69</f>
        <v>0</v>
      </c>
      <c r="Z64">
        <f>'C23'!Y69</f>
        <v>0</v>
      </c>
      <c r="AA64">
        <f>'C15'!Y69</f>
        <v>0</v>
      </c>
      <c r="AB64">
        <f>'C24'!Y69</f>
        <v>3066.3199999999997</v>
      </c>
      <c r="AC64">
        <f>'C22'!Y69</f>
        <v>0</v>
      </c>
      <c r="AD64">
        <f>'C33'!Y69</f>
        <v>0</v>
      </c>
      <c r="AE64">
        <f>'C32'!Y69</f>
        <v>0</v>
      </c>
      <c r="AF64">
        <f>'C28'!Y69</f>
        <v>161.85000000000002</v>
      </c>
      <c r="AG64">
        <f>'C40'!Y69</f>
        <v>137.39999999999998</v>
      </c>
      <c r="AH64">
        <f>'C30'!Y69</f>
        <v>61.620000000000005</v>
      </c>
      <c r="AI64">
        <f>'C31'!Y69</f>
        <v>44.08</v>
      </c>
      <c r="AJ64">
        <f>'C39'!Y69</f>
        <v>444.39</v>
      </c>
      <c r="AK64">
        <f>'C36'!Y69</f>
        <v>60.31</v>
      </c>
      <c r="AL64">
        <f>'C37'!Y69</f>
        <v>551.40000000000009</v>
      </c>
      <c r="AM64">
        <f>'C38'!Y69</f>
        <v>0</v>
      </c>
      <c r="AN64">
        <f>'C34'!Y69</f>
        <v>0</v>
      </c>
      <c r="AO64">
        <f>'C35'!Y69</f>
        <v>521.31999999999994</v>
      </c>
    </row>
    <row r="65" spans="1:41" ht="16.5">
      <c r="A65" s="1">
        <v>2010</v>
      </c>
      <c r="B65">
        <f>'C01'!Y70</f>
        <v>0</v>
      </c>
      <c r="C65">
        <f>'C03'!Y70</f>
        <v>11861.849999999999</v>
      </c>
      <c r="D65">
        <f>'C02'!Y70</f>
        <v>0</v>
      </c>
      <c r="E65">
        <f>'C04'!Y70</f>
        <v>0</v>
      </c>
      <c r="F65">
        <f>'C07'!Y70</f>
        <v>461.38</v>
      </c>
      <c r="G65">
        <f>'C08'!Y70</f>
        <v>186.78999999999996</v>
      </c>
      <c r="H65">
        <f>'C06'!Y70</f>
        <v>0</v>
      </c>
      <c r="I65">
        <f>'C10'!Y70</f>
        <v>11937.899999999998</v>
      </c>
      <c r="J65">
        <f>'C16'!Y70</f>
        <v>0</v>
      </c>
      <c r="K65">
        <f>'C11'!Y70</f>
        <v>0</v>
      </c>
      <c r="L65">
        <f>'C05'!Y70</f>
        <v>0</v>
      </c>
      <c r="M65">
        <f>'C09'!Y70</f>
        <v>0</v>
      </c>
      <c r="N65">
        <f>'C14'!Y70</f>
        <v>0</v>
      </c>
      <c r="O65">
        <f>'C18'!Y70</f>
        <v>2223.6800000000003</v>
      </c>
      <c r="P65">
        <f>'C21'!Y70</f>
        <v>460.22</v>
      </c>
      <c r="Q65">
        <f>'C29'!Y70</f>
        <v>196.71</v>
      </c>
      <c r="R65">
        <f>'C13'!Y70</f>
        <v>0</v>
      </c>
      <c r="S65">
        <f>'C12'!Y70</f>
        <v>0</v>
      </c>
      <c r="T65">
        <f>'C20'!Y70</f>
        <v>0</v>
      </c>
      <c r="U65">
        <f>'C19'!Y70</f>
        <v>0</v>
      </c>
      <c r="V65">
        <f>'C17'!Y70</f>
        <v>644.17000000000007</v>
      </c>
      <c r="W65">
        <f>'C26'!Y70</f>
        <v>0</v>
      </c>
      <c r="X65">
        <f>'C27'!Y70</f>
        <v>0</v>
      </c>
      <c r="Y65">
        <f>'C25'!Y70</f>
        <v>92.910000000000011</v>
      </c>
      <c r="Z65">
        <f>'C23'!Y70</f>
        <v>0</v>
      </c>
      <c r="AA65">
        <f>'C15'!Y70</f>
        <v>0</v>
      </c>
      <c r="AB65">
        <f>'C24'!Y70</f>
        <v>1372</v>
      </c>
      <c r="AC65">
        <f>'C22'!Y70</f>
        <v>0</v>
      </c>
      <c r="AD65">
        <f>'C33'!Y70</f>
        <v>0</v>
      </c>
      <c r="AE65">
        <f>'C32'!Y70</f>
        <v>195.5</v>
      </c>
      <c r="AF65">
        <f>'C28'!Y70</f>
        <v>1714.3199999999997</v>
      </c>
      <c r="AG65">
        <f>'C40'!Y70</f>
        <v>465.44999999999993</v>
      </c>
      <c r="AH65">
        <f>'C30'!Y70</f>
        <v>22.78</v>
      </c>
      <c r="AI65">
        <f>'C31'!Y70</f>
        <v>357.23</v>
      </c>
      <c r="AJ65">
        <f>'C39'!Y70</f>
        <v>183.99</v>
      </c>
      <c r="AK65">
        <f>'C36'!Y70</f>
        <v>12.4</v>
      </c>
      <c r="AL65">
        <f>'C37'!Y70</f>
        <v>395.63</v>
      </c>
      <c r="AM65">
        <f>'C38'!Y70</f>
        <v>0</v>
      </c>
      <c r="AN65">
        <f>'C34'!Y70</f>
        <v>0</v>
      </c>
      <c r="AO65">
        <f>'C35'!Y70</f>
        <v>0</v>
      </c>
    </row>
    <row r="66" spans="1:41" ht="16.5">
      <c r="A66" s="1">
        <v>2011</v>
      </c>
      <c r="B66">
        <f>'C01'!Y71</f>
        <v>0</v>
      </c>
      <c r="C66">
        <f>'C03'!Y71</f>
        <v>3065.94</v>
      </c>
      <c r="D66">
        <f>'C02'!Y71</f>
        <v>0</v>
      </c>
      <c r="E66">
        <f>'C04'!Y71</f>
        <v>0</v>
      </c>
      <c r="F66">
        <f>'C07'!Y71</f>
        <v>283.52999999999997</v>
      </c>
      <c r="G66">
        <f>'C08'!Y71</f>
        <v>70.88</v>
      </c>
      <c r="H66">
        <f>'C06'!Y71</f>
        <v>0</v>
      </c>
      <c r="I66">
        <f>'C10'!Y71</f>
        <v>1335.51</v>
      </c>
      <c r="J66">
        <f>'C16'!Y71</f>
        <v>0</v>
      </c>
      <c r="K66">
        <f>'C11'!Y71</f>
        <v>0</v>
      </c>
      <c r="L66">
        <f>'C05'!Y71</f>
        <v>0</v>
      </c>
      <c r="M66">
        <f>'C09'!Y71</f>
        <v>0</v>
      </c>
      <c r="N66">
        <f>'C14'!Y71</f>
        <v>0</v>
      </c>
      <c r="O66">
        <f>'C18'!Y71</f>
        <v>3299.8</v>
      </c>
      <c r="P66">
        <f>'C21'!Y71</f>
        <v>723.4</v>
      </c>
      <c r="Q66">
        <f>'C29'!Y71</f>
        <v>2056.4399999999996</v>
      </c>
      <c r="R66">
        <f>'C13'!Y71</f>
        <v>0</v>
      </c>
      <c r="S66">
        <f>'C12'!Y71</f>
        <v>0</v>
      </c>
      <c r="T66">
        <f>'C20'!Y71</f>
        <v>0</v>
      </c>
      <c r="U66">
        <f>'C19'!Y71</f>
        <v>0</v>
      </c>
      <c r="V66">
        <f>'C17'!Y71</f>
        <v>11215.619999999999</v>
      </c>
      <c r="W66">
        <f>'C26'!Y71</f>
        <v>0</v>
      </c>
      <c r="X66">
        <f>'C27'!Y71</f>
        <v>0</v>
      </c>
      <c r="Y66">
        <f>'C25'!Y71</f>
        <v>147.43999999999997</v>
      </c>
      <c r="Z66">
        <f>'C23'!Y71</f>
        <v>0</v>
      </c>
      <c r="AA66">
        <f>'C15'!Y71</f>
        <v>0</v>
      </c>
      <c r="AB66">
        <f>'C24'!Y71</f>
        <v>971.33000000000015</v>
      </c>
      <c r="AC66">
        <f>'C22'!Y71</f>
        <v>0</v>
      </c>
      <c r="AD66">
        <f>'C33'!Y71</f>
        <v>0</v>
      </c>
      <c r="AE66">
        <f>'C32'!Y71</f>
        <v>438.44</v>
      </c>
      <c r="AF66">
        <f>'C28'!Y71</f>
        <v>555.36</v>
      </c>
      <c r="AG66">
        <f>'C40'!Y71</f>
        <v>414.93</v>
      </c>
      <c r="AH66">
        <f>'C30'!Y71</f>
        <v>0</v>
      </c>
      <c r="AI66">
        <f>'C31'!Y71</f>
        <v>451.24</v>
      </c>
      <c r="AJ66">
        <f>'C39'!Y71</f>
        <v>302.08</v>
      </c>
      <c r="AK66">
        <f>'C36'!Y71</f>
        <v>46.190000000000005</v>
      </c>
      <c r="AL66">
        <f>'C37'!Y71</f>
        <v>361.88</v>
      </c>
      <c r="AM66">
        <f>'C38'!Y71</f>
        <v>94.199999999999989</v>
      </c>
      <c r="AN66">
        <f>'C34'!Y71</f>
        <v>0</v>
      </c>
      <c r="AO66">
        <f>'C35'!Y71</f>
        <v>25.740000000000002</v>
      </c>
    </row>
    <row r="67" spans="1:41" ht="16.5">
      <c r="A67" s="1">
        <v>2012</v>
      </c>
      <c r="B67">
        <f>'C01'!Y72</f>
        <v>0</v>
      </c>
      <c r="C67">
        <f>'C03'!Y72</f>
        <v>34639.15</v>
      </c>
      <c r="D67">
        <f>'C02'!Y72</f>
        <v>0</v>
      </c>
      <c r="E67">
        <f>'C04'!Y72</f>
        <v>0</v>
      </c>
      <c r="F67">
        <f>'C07'!Y72</f>
        <v>475.84999999999997</v>
      </c>
      <c r="G67">
        <f>'C08'!Y72</f>
        <v>0</v>
      </c>
      <c r="H67">
        <f>'C06'!Y72</f>
        <v>0</v>
      </c>
      <c r="I67">
        <f>'C10'!Y72</f>
        <v>900.95999999999992</v>
      </c>
      <c r="J67">
        <f>'C16'!Y72</f>
        <v>0</v>
      </c>
      <c r="K67">
        <f>'C11'!Y72</f>
        <v>0</v>
      </c>
      <c r="L67">
        <f>'C05'!Y72</f>
        <v>0</v>
      </c>
      <c r="M67">
        <f>'C09'!Y72</f>
        <v>0</v>
      </c>
      <c r="N67">
        <f>'C14'!Y72</f>
        <v>0</v>
      </c>
      <c r="O67">
        <f>'C18'!Y72</f>
        <v>4133.3599999999997</v>
      </c>
      <c r="P67">
        <f>'C21'!Y72</f>
        <v>499.40999999999997</v>
      </c>
      <c r="Q67">
        <f>'C29'!Y72</f>
        <v>2799.5</v>
      </c>
      <c r="R67">
        <f>'C13'!Y72</f>
        <v>0</v>
      </c>
      <c r="S67">
        <f>'C12'!Y72</f>
        <v>0</v>
      </c>
      <c r="T67">
        <f>'C20'!Y72</f>
        <v>0</v>
      </c>
      <c r="U67">
        <f>'C19'!Y72</f>
        <v>0</v>
      </c>
      <c r="V67">
        <f>'C17'!Y72</f>
        <v>344.11999999999995</v>
      </c>
      <c r="W67">
        <f>'C26'!Y72</f>
        <v>0</v>
      </c>
      <c r="X67">
        <f>'C27'!Y72</f>
        <v>0</v>
      </c>
      <c r="Y67">
        <f>'C25'!Y72</f>
        <v>67.84</v>
      </c>
      <c r="Z67">
        <f>'C23'!Y72</f>
        <v>0</v>
      </c>
      <c r="AA67">
        <f>'C15'!Y72</f>
        <v>0</v>
      </c>
      <c r="AB67">
        <f>'C24'!Y72</f>
        <v>3399.0499999999997</v>
      </c>
      <c r="AC67">
        <f>'C22'!Y72</f>
        <v>0</v>
      </c>
      <c r="AD67">
        <f>'C33'!Y72</f>
        <v>274</v>
      </c>
      <c r="AE67">
        <f>'C32'!Y72</f>
        <v>572.63</v>
      </c>
      <c r="AF67">
        <f>'C28'!Y72</f>
        <v>140.07000000000002</v>
      </c>
      <c r="AG67">
        <f>'C40'!Y72</f>
        <v>295.32</v>
      </c>
      <c r="AH67">
        <f>'C30'!Y72</f>
        <v>0</v>
      </c>
      <c r="AI67">
        <f>'C31'!Y72</f>
        <v>554.11</v>
      </c>
      <c r="AJ67">
        <f>'C39'!Y72</f>
        <v>411</v>
      </c>
      <c r="AK67">
        <f>'C36'!Y72</f>
        <v>64.61</v>
      </c>
      <c r="AL67">
        <f>'C37'!Y72</f>
        <v>302.42</v>
      </c>
      <c r="AM67">
        <f>'C38'!Y72</f>
        <v>228</v>
      </c>
      <c r="AN67">
        <f>'C34'!Y72</f>
        <v>40.230000000000004</v>
      </c>
      <c r="AO67">
        <f>'C35'!Y72</f>
        <v>0</v>
      </c>
    </row>
    <row r="68" spans="1:41" ht="16.5">
      <c r="A68" s="1">
        <v>2013</v>
      </c>
      <c r="B68">
        <f>'C01'!Y73</f>
        <v>0</v>
      </c>
      <c r="C68">
        <f>'C03'!Y73</f>
        <v>34789.340000000004</v>
      </c>
      <c r="D68">
        <f>'C02'!Y73</f>
        <v>0</v>
      </c>
      <c r="E68">
        <f>'C04'!Y73</f>
        <v>0</v>
      </c>
      <c r="F68">
        <f>'C07'!Y73</f>
        <v>1199.3400000000001</v>
      </c>
      <c r="G68">
        <f>'C08'!Y73</f>
        <v>0</v>
      </c>
      <c r="H68">
        <f>'C06'!Y73</f>
        <v>0</v>
      </c>
      <c r="I68">
        <f>'C10'!Y73</f>
        <v>547.4</v>
      </c>
      <c r="J68">
        <f>'C16'!Y73</f>
        <v>0</v>
      </c>
      <c r="K68">
        <f>'C11'!Y73</f>
        <v>0</v>
      </c>
      <c r="L68">
        <f>'C05'!Y73</f>
        <v>0</v>
      </c>
      <c r="M68">
        <f>'C09'!Y73</f>
        <v>0</v>
      </c>
      <c r="N68">
        <f>'C14'!Y73</f>
        <v>0</v>
      </c>
      <c r="O68">
        <f>'C18'!Y73</f>
        <v>1932.3400000000001</v>
      </c>
      <c r="P68">
        <f>'C21'!Y73</f>
        <v>265.12</v>
      </c>
      <c r="Q68">
        <f>'C29'!Y73</f>
        <v>3572.8</v>
      </c>
      <c r="R68">
        <f>'C13'!Y73</f>
        <v>0</v>
      </c>
      <c r="S68">
        <f>'C12'!Y73</f>
        <v>0</v>
      </c>
      <c r="T68">
        <f>'C20'!Y73</f>
        <v>0</v>
      </c>
      <c r="U68">
        <f>'C19'!Y73</f>
        <v>0</v>
      </c>
      <c r="V68">
        <f>'C17'!Y73</f>
        <v>118.80000000000001</v>
      </c>
      <c r="W68">
        <f>'C26'!Y73</f>
        <v>0</v>
      </c>
      <c r="X68">
        <f>'C27'!Y73</f>
        <v>0</v>
      </c>
      <c r="Y68">
        <f>'C25'!Y73</f>
        <v>536.61</v>
      </c>
      <c r="Z68">
        <f>'C23'!Y73</f>
        <v>0</v>
      </c>
      <c r="AA68">
        <f>'C15'!Y73</f>
        <v>0</v>
      </c>
      <c r="AB68">
        <f>'C24'!Y73</f>
        <v>2580.9999999999995</v>
      </c>
      <c r="AC68">
        <f>'C22'!Y73</f>
        <v>0</v>
      </c>
      <c r="AD68">
        <f>'C33'!Y73</f>
        <v>505.52999999999992</v>
      </c>
      <c r="AE68">
        <f>'C32'!Y73</f>
        <v>473.40000000000003</v>
      </c>
      <c r="AF68">
        <f>'C28'!Y73</f>
        <v>157.30000000000001</v>
      </c>
      <c r="AG68">
        <f>'C40'!Y73</f>
        <v>294.25</v>
      </c>
      <c r="AH68">
        <f>'C30'!Y73</f>
        <v>0</v>
      </c>
      <c r="AI68">
        <f>'C31'!Y73</f>
        <v>454.74</v>
      </c>
      <c r="AJ68">
        <f>'C39'!Y73</f>
        <v>602.4</v>
      </c>
      <c r="AK68">
        <f>'C36'!Y73</f>
        <v>31.5</v>
      </c>
      <c r="AL68">
        <f>'C37'!Y73</f>
        <v>1423.8000000000002</v>
      </c>
      <c r="AM68">
        <f>'C38'!Y73</f>
        <v>408.7</v>
      </c>
      <c r="AN68">
        <f>'C34'!Y73</f>
        <v>138.01</v>
      </c>
      <c r="AO68">
        <f>'C35'!Y73</f>
        <v>0</v>
      </c>
    </row>
    <row r="69" spans="1:41" ht="16.5">
      <c r="A69" s="1">
        <v>2014</v>
      </c>
      <c r="B69">
        <f>'C01'!Y74</f>
        <v>0</v>
      </c>
      <c r="C69">
        <f>'C03'!Y74</f>
        <v>3957.9600000000005</v>
      </c>
      <c r="D69">
        <f>'C02'!Y74</f>
        <v>0</v>
      </c>
      <c r="E69">
        <f>'C04'!Y74</f>
        <v>0</v>
      </c>
      <c r="F69">
        <f>'C07'!Y74</f>
        <v>3110.1</v>
      </c>
      <c r="G69">
        <f>'C08'!Y74</f>
        <v>0</v>
      </c>
      <c r="H69">
        <f>'C06'!Y74</f>
        <v>0</v>
      </c>
      <c r="I69">
        <f>'C10'!Y74</f>
        <v>6.419999999999999</v>
      </c>
      <c r="J69">
        <f>'C16'!Y74</f>
        <v>0</v>
      </c>
      <c r="K69">
        <f>'C11'!Y74</f>
        <v>0</v>
      </c>
      <c r="L69">
        <f>'C05'!Y74</f>
        <v>0</v>
      </c>
      <c r="M69">
        <f>'C09'!Y74</f>
        <v>0</v>
      </c>
      <c r="N69">
        <f>'C14'!Y74</f>
        <v>0</v>
      </c>
      <c r="O69">
        <f>'C18'!Y74</f>
        <v>11969.52</v>
      </c>
      <c r="P69">
        <f>'C21'!Y74</f>
        <v>166.86</v>
      </c>
      <c r="Q69">
        <f>'C29'!Y74</f>
        <v>4788.5599999999995</v>
      </c>
      <c r="R69">
        <f>'C13'!Y74</f>
        <v>0</v>
      </c>
      <c r="S69">
        <f>'C12'!Y74</f>
        <v>0</v>
      </c>
      <c r="T69">
        <f>'C20'!Y74</f>
        <v>0</v>
      </c>
      <c r="U69">
        <f>'C19'!Y74</f>
        <v>0</v>
      </c>
      <c r="V69">
        <f>'C17'!Y74</f>
        <v>357.29</v>
      </c>
      <c r="W69">
        <f>'C26'!Y74</f>
        <v>0</v>
      </c>
      <c r="X69">
        <f>'C27'!Y74</f>
        <v>0</v>
      </c>
      <c r="Y69">
        <f>'C25'!Y74</f>
        <v>516.24</v>
      </c>
      <c r="Z69">
        <f>'C23'!Y74</f>
        <v>0</v>
      </c>
      <c r="AA69">
        <f>'C15'!Y74</f>
        <v>0</v>
      </c>
      <c r="AB69">
        <f>'C24'!Y74</f>
        <v>346.5</v>
      </c>
      <c r="AC69">
        <f>'C22'!Y74</f>
        <v>0</v>
      </c>
      <c r="AD69">
        <f>'C33'!Y74</f>
        <v>6934.5899999999992</v>
      </c>
      <c r="AE69">
        <f>'C32'!Y74</f>
        <v>941.40000000000009</v>
      </c>
      <c r="AF69">
        <f>'C28'!Y74</f>
        <v>13.42</v>
      </c>
      <c r="AG69">
        <f>'C40'!Y74</f>
        <v>2294.0000000000005</v>
      </c>
      <c r="AH69">
        <f>'C30'!Y74</f>
        <v>0</v>
      </c>
      <c r="AI69">
        <f>'C31'!Y74</f>
        <v>588.88999999999987</v>
      </c>
      <c r="AJ69">
        <f>'C39'!Y74</f>
        <v>1481.55</v>
      </c>
      <c r="AK69">
        <f>'C36'!Y74</f>
        <v>0</v>
      </c>
      <c r="AL69">
        <f>'C37'!Y74</f>
        <v>285.47999999999996</v>
      </c>
      <c r="AM69">
        <f>'C38'!Y74</f>
        <v>1232.8600000000001</v>
      </c>
      <c r="AN69">
        <f>'C34'!Y74</f>
        <v>182.11</v>
      </c>
      <c r="AO69">
        <f>'C35'!Y74</f>
        <v>0</v>
      </c>
    </row>
    <row r="70" spans="1:41" ht="16.5">
      <c r="A70" s="1">
        <v>2015</v>
      </c>
      <c r="B70">
        <f>'C01'!Y75</f>
        <v>0</v>
      </c>
      <c r="C70">
        <f>'C03'!Y75</f>
        <v>1602.52</v>
      </c>
      <c r="D70">
        <f>'C02'!Y75</f>
        <v>0</v>
      </c>
      <c r="E70">
        <f>'C04'!Y75</f>
        <v>0</v>
      </c>
      <c r="F70">
        <f>'C07'!Y75</f>
        <v>505.76</v>
      </c>
      <c r="G70">
        <f>'C08'!Y75</f>
        <v>0</v>
      </c>
      <c r="H70">
        <f>'C06'!Y75</f>
        <v>0</v>
      </c>
      <c r="I70">
        <f>'C10'!Y75</f>
        <v>21.12</v>
      </c>
      <c r="J70">
        <f>'C16'!Y75</f>
        <v>0</v>
      </c>
      <c r="K70">
        <f>'C11'!Y75</f>
        <v>0</v>
      </c>
      <c r="L70">
        <f>'C05'!Y75</f>
        <v>0</v>
      </c>
      <c r="M70">
        <f>'C09'!Y75</f>
        <v>0</v>
      </c>
      <c r="N70">
        <f>'C14'!Y75</f>
        <v>0</v>
      </c>
      <c r="O70">
        <f>'C18'!Y75</f>
        <v>160.08000000000001</v>
      </c>
      <c r="P70">
        <f>'C21'!Y75</f>
        <v>38.480000000000004</v>
      </c>
      <c r="Q70">
        <f>'C29'!Y75</f>
        <v>3474.6</v>
      </c>
      <c r="R70">
        <f>'C13'!Y75</f>
        <v>0</v>
      </c>
      <c r="S70">
        <f>'C12'!Y75</f>
        <v>0</v>
      </c>
      <c r="T70">
        <f>'C20'!Y75</f>
        <v>0</v>
      </c>
      <c r="U70">
        <f>'C19'!Y75</f>
        <v>0</v>
      </c>
      <c r="V70">
        <f>'C17'!Y75</f>
        <v>283.43999999999994</v>
      </c>
      <c r="W70">
        <f>'C26'!Y75</f>
        <v>0</v>
      </c>
      <c r="X70">
        <f>'C27'!Y75</f>
        <v>0</v>
      </c>
      <c r="Y70">
        <f>'C25'!Y75</f>
        <v>14949.899999999998</v>
      </c>
      <c r="Z70">
        <f>'C23'!Y75</f>
        <v>0</v>
      </c>
      <c r="AA70">
        <f>'C15'!Y75</f>
        <v>0</v>
      </c>
      <c r="AB70">
        <f>'C24'!Y75</f>
        <v>96.3</v>
      </c>
      <c r="AC70">
        <f>'C22'!Y75</f>
        <v>0</v>
      </c>
      <c r="AD70">
        <f>'C33'!Y75</f>
        <v>2282.1</v>
      </c>
      <c r="AE70">
        <f>'C32'!Y75</f>
        <v>1846.7599999999998</v>
      </c>
      <c r="AF70">
        <f>'C28'!Y75</f>
        <v>0</v>
      </c>
      <c r="AG70">
        <f>'C40'!Y75</f>
        <v>187.29000000000002</v>
      </c>
      <c r="AH70">
        <f>'C30'!Y75</f>
        <v>0</v>
      </c>
      <c r="AI70">
        <f>'C31'!Y75</f>
        <v>1012.6800000000001</v>
      </c>
      <c r="AJ70">
        <f>'C39'!Y75</f>
        <v>103.83999999999999</v>
      </c>
      <c r="AK70">
        <f>'C36'!Y75</f>
        <v>0</v>
      </c>
      <c r="AL70">
        <f>'C37'!Y75</f>
        <v>83.85</v>
      </c>
      <c r="AM70">
        <f>'C38'!Y75</f>
        <v>13</v>
      </c>
      <c r="AN70">
        <f>'C34'!Y75</f>
        <v>2092.2000000000003</v>
      </c>
      <c r="AO70">
        <f>'C35'!Y75</f>
        <v>0</v>
      </c>
    </row>
    <row r="71" spans="1:41" ht="16.5">
      <c r="A71" s="1">
        <v>2016</v>
      </c>
      <c r="B71">
        <f>'C01'!Y76</f>
        <v>0</v>
      </c>
      <c r="C71">
        <f>'C03'!Y76</f>
        <v>17591</v>
      </c>
      <c r="D71">
        <f>'C02'!Y76</f>
        <v>0</v>
      </c>
      <c r="E71">
        <f>'C04'!Y76</f>
        <v>0</v>
      </c>
      <c r="F71">
        <f>'C07'!Y76</f>
        <v>185.98</v>
      </c>
      <c r="G71">
        <f>'C08'!Y76</f>
        <v>0</v>
      </c>
      <c r="H71">
        <f>'C06'!Y76</f>
        <v>0</v>
      </c>
      <c r="I71">
        <f>'C10'!Y76</f>
        <v>8.94</v>
      </c>
      <c r="J71">
        <f>'C16'!Y76</f>
        <v>0</v>
      </c>
      <c r="K71">
        <f>'C11'!Y76</f>
        <v>0</v>
      </c>
      <c r="L71">
        <f>'C05'!Y76</f>
        <v>0</v>
      </c>
      <c r="M71">
        <f>'C09'!Y76</f>
        <v>0</v>
      </c>
      <c r="N71">
        <f>'C14'!Y76</f>
        <v>0</v>
      </c>
      <c r="O71">
        <f>'C18'!Y76</f>
        <v>741.59999999999991</v>
      </c>
      <c r="P71">
        <f>'C21'!Y76</f>
        <v>25.090000000000003</v>
      </c>
      <c r="Q71">
        <f>'C29'!Y76</f>
        <v>1315.48</v>
      </c>
      <c r="R71">
        <f>'C13'!Y76</f>
        <v>0</v>
      </c>
      <c r="S71">
        <f>'C12'!Y76</f>
        <v>0</v>
      </c>
      <c r="T71">
        <f>'C20'!Y76</f>
        <v>0</v>
      </c>
      <c r="U71">
        <f>'C19'!Y76</f>
        <v>0</v>
      </c>
      <c r="V71">
        <f>'C17'!Y76</f>
        <v>251.04999999999998</v>
      </c>
      <c r="W71">
        <f>'C26'!Y76</f>
        <v>0</v>
      </c>
      <c r="X71">
        <f>'C27'!Y76</f>
        <v>0</v>
      </c>
      <c r="Y71">
        <f>'C25'!Y76</f>
        <v>12861.8</v>
      </c>
      <c r="Z71">
        <f>'C23'!Y76</f>
        <v>0</v>
      </c>
      <c r="AA71">
        <f>'C15'!Y76</f>
        <v>0</v>
      </c>
      <c r="AB71">
        <f>'C24'!Y76</f>
        <v>398.52</v>
      </c>
      <c r="AC71">
        <f>'C22'!Y76</f>
        <v>0</v>
      </c>
      <c r="AD71">
        <f>'C33'!Y76</f>
        <v>3984.5</v>
      </c>
      <c r="AE71">
        <f>'C32'!Y76</f>
        <v>514.39</v>
      </c>
      <c r="AF71">
        <f>'C28'!Y76</f>
        <v>0</v>
      </c>
      <c r="AG71">
        <f>'C40'!Y76</f>
        <v>229.44</v>
      </c>
      <c r="AH71">
        <f>'C30'!Y76</f>
        <v>0</v>
      </c>
      <c r="AI71">
        <f>'C31'!Y76</f>
        <v>1877.1</v>
      </c>
      <c r="AJ71">
        <f>'C39'!Y76</f>
        <v>210.26</v>
      </c>
      <c r="AK71">
        <f>'C36'!Y76</f>
        <v>0</v>
      </c>
      <c r="AL71">
        <f>'C37'!Y76</f>
        <v>150.22</v>
      </c>
      <c r="AM71">
        <f>'C38'!Y76</f>
        <v>570.67999999999995</v>
      </c>
      <c r="AN71">
        <f>'C34'!Y76</f>
        <v>508.65</v>
      </c>
      <c r="AO71">
        <f>'C35'!Y76</f>
        <v>0</v>
      </c>
    </row>
    <row r="72" spans="1:41" ht="16.5">
      <c r="A72" s="1">
        <v>2017</v>
      </c>
      <c r="B72">
        <f>'C01'!Y77</f>
        <v>0</v>
      </c>
      <c r="C72">
        <f>'C03'!Y77</f>
        <v>2345.9</v>
      </c>
      <c r="D72">
        <f>'C02'!Y77</f>
        <v>0</v>
      </c>
      <c r="E72">
        <f>'C04'!Y77</f>
        <v>0</v>
      </c>
      <c r="F72">
        <f>'C07'!Y77</f>
        <v>0</v>
      </c>
      <c r="G72">
        <f>'C08'!Y77</f>
        <v>0</v>
      </c>
      <c r="H72">
        <f>'C06'!Y77</f>
        <v>0</v>
      </c>
      <c r="I72">
        <f>'C10'!Y77</f>
        <v>0</v>
      </c>
      <c r="J72">
        <f>'C16'!Y77</f>
        <v>0</v>
      </c>
      <c r="K72">
        <f>'C11'!Y77</f>
        <v>0</v>
      </c>
      <c r="L72">
        <f>'C05'!Y77</f>
        <v>0</v>
      </c>
      <c r="M72">
        <f>'C09'!Y77</f>
        <v>0</v>
      </c>
      <c r="N72">
        <f>'C14'!Y77</f>
        <v>0</v>
      </c>
      <c r="O72">
        <f>'C18'!Y77</f>
        <v>11993.15</v>
      </c>
      <c r="P72">
        <f>'C21'!Y77</f>
        <v>44.08</v>
      </c>
      <c r="Q72">
        <f>'C29'!Y77</f>
        <v>1247.2399999999998</v>
      </c>
      <c r="R72">
        <f>'C13'!Y77</f>
        <v>0</v>
      </c>
      <c r="S72">
        <f>'C12'!Y77</f>
        <v>0</v>
      </c>
      <c r="T72">
        <f>'C20'!Y77</f>
        <v>0</v>
      </c>
      <c r="U72">
        <f>'C19'!Y77</f>
        <v>0</v>
      </c>
      <c r="V72">
        <f>'C17'!Y77</f>
        <v>59.5</v>
      </c>
      <c r="W72">
        <f>'C26'!Y77</f>
        <v>0</v>
      </c>
      <c r="X72">
        <f>'C27'!Y77</f>
        <v>0</v>
      </c>
      <c r="Y72">
        <f>'C25'!Y77</f>
        <v>4653.8</v>
      </c>
      <c r="Z72">
        <f>'C23'!Y77</f>
        <v>0</v>
      </c>
      <c r="AA72">
        <f>'C15'!Y77</f>
        <v>0</v>
      </c>
      <c r="AB72">
        <f>'C24'!Y77</f>
        <v>174.39999999999998</v>
      </c>
      <c r="AC72">
        <f>'C22'!Y77</f>
        <v>0</v>
      </c>
      <c r="AD72">
        <f>'C33'!Y77</f>
        <v>3004.38</v>
      </c>
      <c r="AE72">
        <f>'C32'!Y77</f>
        <v>2811.6</v>
      </c>
      <c r="AF72">
        <f>'C28'!Y77</f>
        <v>0</v>
      </c>
      <c r="AG72">
        <f>'C40'!Y77</f>
        <v>161.35</v>
      </c>
      <c r="AH72">
        <f>'C30'!Y77</f>
        <v>0</v>
      </c>
      <c r="AI72">
        <f>'C31'!Y77</f>
        <v>7504.32</v>
      </c>
      <c r="AJ72">
        <f>'C39'!Y77</f>
        <v>208</v>
      </c>
      <c r="AK72">
        <f>'C36'!Y77</f>
        <v>0</v>
      </c>
      <c r="AL72">
        <f>'C37'!Y77</f>
        <v>102.03</v>
      </c>
      <c r="AM72">
        <f>'C38'!Y77</f>
        <v>321.12</v>
      </c>
      <c r="AN72">
        <f>'C34'!Y77</f>
        <v>1076.6999999999998</v>
      </c>
      <c r="AO72">
        <f>'C35'!Y77</f>
        <v>0</v>
      </c>
    </row>
    <row r="73" spans="1:41" ht="16.5">
      <c r="A73" s="1">
        <v>2018</v>
      </c>
      <c r="B73">
        <f>'C01'!Y78</f>
        <v>0</v>
      </c>
      <c r="C73">
        <f>'C03'!Y78</f>
        <v>2854.4</v>
      </c>
      <c r="D73">
        <f>'C02'!Y78</f>
        <v>0</v>
      </c>
      <c r="E73">
        <f>'C04'!Y78</f>
        <v>0</v>
      </c>
      <c r="F73">
        <f>'C07'!Y78</f>
        <v>0</v>
      </c>
      <c r="G73">
        <f>'C08'!Y78</f>
        <v>0</v>
      </c>
      <c r="H73">
        <f>'C06'!Y78</f>
        <v>0</v>
      </c>
      <c r="I73">
        <f>'C10'!Y78</f>
        <v>0</v>
      </c>
      <c r="J73">
        <f>'C16'!Y78</f>
        <v>0</v>
      </c>
      <c r="K73">
        <f>'C11'!Y78</f>
        <v>0</v>
      </c>
      <c r="L73">
        <f>'C05'!Y78</f>
        <v>0</v>
      </c>
      <c r="M73">
        <f>'C09'!Y78</f>
        <v>0</v>
      </c>
      <c r="N73">
        <f>'C14'!Y78</f>
        <v>0</v>
      </c>
      <c r="O73">
        <f>'C18'!Y78</f>
        <v>12934.600000000002</v>
      </c>
      <c r="P73">
        <f>'C21'!Y78</f>
        <v>25.830000000000002</v>
      </c>
      <c r="Q73">
        <f>'C29'!Y78</f>
        <v>626.68000000000006</v>
      </c>
      <c r="R73">
        <f>'C13'!Y78</f>
        <v>0</v>
      </c>
      <c r="S73">
        <f>'C12'!Y78</f>
        <v>0</v>
      </c>
      <c r="T73">
        <f>'C20'!Y78</f>
        <v>0</v>
      </c>
      <c r="U73">
        <f>'C19'!Y78</f>
        <v>0</v>
      </c>
      <c r="V73">
        <f>'C17'!Y78</f>
        <v>96.86</v>
      </c>
      <c r="W73">
        <f>'C26'!Y78</f>
        <v>0</v>
      </c>
      <c r="X73">
        <f>'C27'!Y78</f>
        <v>0</v>
      </c>
      <c r="Y73">
        <f>'C25'!Y78</f>
        <v>3152.3500000000004</v>
      </c>
      <c r="Z73">
        <f>'C23'!Y78</f>
        <v>0</v>
      </c>
      <c r="AA73">
        <f>'C15'!Y78</f>
        <v>0</v>
      </c>
      <c r="AB73">
        <f>'C24'!Y78</f>
        <v>127.2</v>
      </c>
      <c r="AC73">
        <f>'C22'!Y78</f>
        <v>0</v>
      </c>
      <c r="AD73">
        <f>'C33'!Y78</f>
        <v>49.4</v>
      </c>
      <c r="AE73">
        <f>'C32'!Y78</f>
        <v>10496.039999999999</v>
      </c>
      <c r="AF73">
        <f>'C28'!Y78</f>
        <v>0</v>
      </c>
      <c r="AG73">
        <f>'C40'!Y78</f>
        <v>133.07999999999998</v>
      </c>
      <c r="AH73">
        <f>'C30'!Y78</f>
        <v>0</v>
      </c>
      <c r="AI73">
        <f>'C31'!Y78</f>
        <v>1218.3599999999999</v>
      </c>
      <c r="AJ73">
        <f>'C39'!Y78</f>
        <v>61.68</v>
      </c>
      <c r="AK73">
        <f>'C36'!Y78</f>
        <v>0</v>
      </c>
      <c r="AL73">
        <f>'C37'!Y78</f>
        <v>113.03999999999999</v>
      </c>
      <c r="AM73">
        <f>'C38'!Y78</f>
        <v>272.73</v>
      </c>
      <c r="AN73">
        <f>'C34'!Y78</f>
        <v>1445</v>
      </c>
      <c r="AO73">
        <f>'C35'!Y78</f>
        <v>0</v>
      </c>
    </row>
    <row r="74" spans="1:41" ht="16.5">
      <c r="A74" s="1">
        <v>2019</v>
      </c>
      <c r="B74">
        <f>'C01'!Y79</f>
        <v>0</v>
      </c>
      <c r="C74">
        <f>'C03'!Y79</f>
        <v>209.92</v>
      </c>
      <c r="D74">
        <f>'C02'!Y79</f>
        <v>0</v>
      </c>
      <c r="E74">
        <f>'C04'!Y79</f>
        <v>0</v>
      </c>
      <c r="F74">
        <f>'C07'!Y79</f>
        <v>0</v>
      </c>
      <c r="G74">
        <f>'C08'!Y79</f>
        <v>0</v>
      </c>
      <c r="H74">
        <f>'C06'!Y79</f>
        <v>0</v>
      </c>
      <c r="I74">
        <f>'C10'!Y79</f>
        <v>0</v>
      </c>
      <c r="J74">
        <f>'C16'!Y79</f>
        <v>0</v>
      </c>
      <c r="K74">
        <f>'C11'!Y79</f>
        <v>0</v>
      </c>
      <c r="L74">
        <f>'C05'!Y79</f>
        <v>0</v>
      </c>
      <c r="M74">
        <f>'C09'!Y79</f>
        <v>0</v>
      </c>
      <c r="N74">
        <f>'C14'!Y79</f>
        <v>0</v>
      </c>
      <c r="O74">
        <f>'C18'!Y79</f>
        <v>692.55</v>
      </c>
      <c r="P74">
        <f>'C21'!Y79</f>
        <v>0</v>
      </c>
      <c r="Q74">
        <f>'C29'!Y79</f>
        <v>334.52000000000004</v>
      </c>
      <c r="R74">
        <f>'C13'!Y79</f>
        <v>0</v>
      </c>
      <c r="S74">
        <f>'C12'!Y79</f>
        <v>0</v>
      </c>
      <c r="T74">
        <f>'C20'!Y79</f>
        <v>0</v>
      </c>
      <c r="U74">
        <f>'C19'!Y79</f>
        <v>0</v>
      </c>
      <c r="V74">
        <f>'C17'!Y79</f>
        <v>12.48</v>
      </c>
      <c r="W74">
        <f>'C26'!Y79</f>
        <v>0</v>
      </c>
      <c r="X74">
        <f>'C27'!Y79</f>
        <v>0</v>
      </c>
      <c r="Y74">
        <f>'C25'!Y79</f>
        <v>1498.26</v>
      </c>
      <c r="Z74">
        <f>'C23'!Y79</f>
        <v>0</v>
      </c>
      <c r="AA74">
        <f>'C15'!Y79</f>
        <v>0</v>
      </c>
      <c r="AB74">
        <f>'C24'!Y79</f>
        <v>53.72</v>
      </c>
      <c r="AC74">
        <f>'C22'!Y79</f>
        <v>0</v>
      </c>
      <c r="AD74">
        <f>'C33'!Y79</f>
        <v>14259.7</v>
      </c>
      <c r="AE74">
        <f>'C32'!Y79</f>
        <v>3349.08</v>
      </c>
      <c r="AF74">
        <f>'C28'!Y79</f>
        <v>0</v>
      </c>
      <c r="AG74">
        <f>'C40'!Y79</f>
        <v>0</v>
      </c>
      <c r="AH74">
        <f>'C30'!Y79</f>
        <v>0</v>
      </c>
      <c r="AI74">
        <f>'C31'!Y79</f>
        <v>759.3900000000001</v>
      </c>
      <c r="AJ74">
        <f>'C39'!Y79</f>
        <v>31</v>
      </c>
      <c r="AK74">
        <f>'C36'!Y79</f>
        <v>0</v>
      </c>
      <c r="AL74">
        <f>'C37'!Y79</f>
        <v>14.3</v>
      </c>
      <c r="AM74">
        <f>'C38'!Y79</f>
        <v>2200.35</v>
      </c>
      <c r="AN74">
        <f>'C34'!Y79</f>
        <v>264.08000000000004</v>
      </c>
      <c r="AO74">
        <f>'C35'!Y79</f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O74"/>
  <sheetViews>
    <sheetView topLeftCell="Q97" zoomScale="53" zoomScaleNormal="53" workbookViewId="0">
      <selection activeCell="AB95" sqref="AB95"/>
    </sheetView>
  </sheetViews>
  <sheetFormatPr defaultColWidth="14.6640625" defaultRowHeight="14"/>
  <sheetData>
    <row r="1" spans="1:41">
      <c r="B1" s="10" t="str">
        <f>'C01'!B2</f>
        <v>迈克尔-乔丹</v>
      </c>
      <c r="C1" s="11" t="str">
        <f>'C03'!B2</f>
        <v>勒布朗-詹姆斯</v>
      </c>
      <c r="D1" s="10" t="str">
        <f>'C02'!B2</f>
        <v>卡里姆-贾巴尔</v>
      </c>
      <c r="E1" s="10" t="str">
        <f>'C04'!B2</f>
        <v>威尔特-张伯伦</v>
      </c>
      <c r="F1" s="10" t="str">
        <f>'C07'!B2</f>
        <v>蒂姆-邓肯</v>
      </c>
      <c r="G1" s="10" t="str">
        <f>'C08'!B2</f>
        <v>沙奎尔-奥尼尔</v>
      </c>
      <c r="H1" s="10" t="str">
        <f>'C06'!B2</f>
        <v>埃尔文-约翰逊</v>
      </c>
      <c r="I1" s="10" t="str">
        <f>'C10'!B2</f>
        <v>科比-布莱恩特</v>
      </c>
      <c r="J1" s="10" t="str">
        <f>'C16'!B2</f>
        <v>朱利叶斯-欧文</v>
      </c>
      <c r="K1" s="10" t="str">
        <f>'C11'!B2</f>
        <v>哈基姆-奥拉朱旺</v>
      </c>
      <c r="L1" s="10" t="str">
        <f>'C05'!B2</f>
        <v>比尔-拉塞尔</v>
      </c>
      <c r="M1" s="10" t="str">
        <f>'C09'!B2</f>
        <v>拉里-伯德</v>
      </c>
      <c r="N1" s="10" t="str">
        <f>'C14'!B2</f>
        <v>卡尔-马龙</v>
      </c>
      <c r="O1" s="11" t="str">
        <f>'C18'!B2</f>
        <v>凯文-杜兰特</v>
      </c>
      <c r="P1" s="10" t="str">
        <f>'C21'!B2</f>
        <v>凯文-加内特</v>
      </c>
      <c r="Q1" s="11" t="str">
        <f>'C29'!B2</f>
        <v>克里斯-保罗</v>
      </c>
      <c r="R1" s="10" t="str">
        <f>'C13'!B2</f>
        <v>摩西-马龙</v>
      </c>
      <c r="S1" s="10" t="str">
        <f>'C12'!B2</f>
        <v>杰里-韦斯特</v>
      </c>
      <c r="T1" s="10" t="str">
        <f>'C20'!B2</f>
        <v>大卫-罗宾逊</v>
      </c>
      <c r="U1" s="10" t="str">
        <f>'C19'!B2</f>
        <v>奥斯卡-罗波特森</v>
      </c>
      <c r="V1" s="10" t="str">
        <f>'C17'!B2</f>
        <v>德克-诺维茨基</v>
      </c>
      <c r="W1" s="10" t="str">
        <f>'C26'!B2</f>
        <v>斯科蒂-皮蓬</v>
      </c>
      <c r="X1" s="10" t="str">
        <f>'C27'!B2</f>
        <v>约翰-斯托克顿</v>
      </c>
      <c r="Y1" s="11" t="str">
        <f>'C25'!B2</f>
        <v>斯蒂芬-库里</v>
      </c>
      <c r="Z1" s="10" t="str">
        <f>'C23'!B2</f>
        <v>查尔斯-巴克利</v>
      </c>
      <c r="AA1" s="10" t="str">
        <f>'C15'!B2</f>
        <v>鲍勃-佩蒂特</v>
      </c>
      <c r="AB1" s="10" t="str">
        <f>'C24'!B2</f>
        <v>德维恩-韦德</v>
      </c>
      <c r="AC1" s="10" t="str">
        <f>'C22'!B2</f>
        <v>约翰-哈福利切克</v>
      </c>
      <c r="AD1" s="11" t="str">
        <f>'C33'!B2</f>
        <v>科怀-伦纳德</v>
      </c>
      <c r="AE1" s="11" t="str">
        <f>'C32'!B2</f>
        <v>詹姆斯-哈登</v>
      </c>
      <c r="AF1" s="10" t="str">
        <f>'C28'!B2</f>
        <v>史蒂夫-纳什</v>
      </c>
      <c r="AG1" s="10" t="str">
        <f>'C40'!B2</f>
        <v>马努-吉诺比利</v>
      </c>
      <c r="AH1" s="10" t="str">
        <f>'C30'!B2</f>
        <v>阿伦-艾弗森</v>
      </c>
      <c r="AI1" s="11" t="str">
        <f>'C31'!B2</f>
        <v>拉塞尔-威斯布鲁克</v>
      </c>
      <c r="AJ1" s="10" t="str">
        <f>'C39'!B2</f>
        <v>托尼-帕克</v>
      </c>
      <c r="AK1" s="10" t="str">
        <f>'C36'!B2</f>
        <v>特雷西-麦克格雷迪</v>
      </c>
      <c r="AL1" s="10" t="str">
        <f>'C37'!B2</f>
        <v>卡梅罗-安东尼</v>
      </c>
      <c r="AM1" s="10" t="str">
        <f>'C38'!B2</f>
        <v>保罗-乔治</v>
      </c>
      <c r="AN1" s="11" t="str">
        <f>'C34'!B2</f>
        <v>克莱-汤普森</v>
      </c>
      <c r="AO1" s="10" t="str">
        <f>'C35'!B2</f>
        <v>姚明</v>
      </c>
    </row>
    <row r="2" spans="1:41" ht="16.5">
      <c r="A2" s="1">
        <v>1947</v>
      </c>
      <c r="B2">
        <f>每年积分汇总1!B2</f>
        <v>0</v>
      </c>
      <c r="C2">
        <f>每年积分汇总1!C2</f>
        <v>0</v>
      </c>
      <c r="D2">
        <f>每年积分汇总1!D2</f>
        <v>0</v>
      </c>
      <c r="E2">
        <f>每年积分汇总1!E2</f>
        <v>0</v>
      </c>
      <c r="F2">
        <f>每年积分汇总1!F2</f>
        <v>0</v>
      </c>
      <c r="G2">
        <f>每年积分汇总1!G2</f>
        <v>0</v>
      </c>
      <c r="H2">
        <f>每年积分汇总1!H2</f>
        <v>0</v>
      </c>
      <c r="I2">
        <f>每年积分汇总1!I2</f>
        <v>0</v>
      </c>
      <c r="J2">
        <f>每年积分汇总1!J2</f>
        <v>0</v>
      </c>
      <c r="K2">
        <f>每年积分汇总1!K2</f>
        <v>0</v>
      </c>
      <c r="L2">
        <f>每年积分汇总1!L2</f>
        <v>0</v>
      </c>
      <c r="M2">
        <f>每年积分汇总1!M2</f>
        <v>0</v>
      </c>
      <c r="N2">
        <f>每年积分汇总1!N2</f>
        <v>0</v>
      </c>
      <c r="O2">
        <f>每年积分汇总1!O2</f>
        <v>0</v>
      </c>
      <c r="P2">
        <f>每年积分汇总1!P2</f>
        <v>0</v>
      </c>
      <c r="Q2">
        <f>每年积分汇总1!Q2</f>
        <v>0</v>
      </c>
      <c r="R2">
        <f>每年积分汇总1!R2</f>
        <v>0</v>
      </c>
      <c r="S2">
        <f>每年积分汇总1!S2</f>
        <v>0</v>
      </c>
      <c r="T2">
        <f>每年积分汇总1!T2</f>
        <v>0</v>
      </c>
      <c r="U2">
        <f>每年积分汇总1!U2</f>
        <v>0</v>
      </c>
      <c r="V2">
        <f>每年积分汇总1!V2</f>
        <v>0</v>
      </c>
      <c r="W2">
        <f>每年积分汇总1!W2</f>
        <v>0</v>
      </c>
      <c r="X2">
        <f>每年积分汇总1!X2</f>
        <v>0</v>
      </c>
      <c r="Y2">
        <f>每年积分汇总1!Y2</f>
        <v>0</v>
      </c>
      <c r="Z2">
        <f>每年积分汇总1!Z2</f>
        <v>0</v>
      </c>
      <c r="AA2">
        <f>每年积分汇总1!AA2</f>
        <v>0</v>
      </c>
      <c r="AB2">
        <f>每年积分汇总1!AB2</f>
        <v>0</v>
      </c>
      <c r="AC2">
        <f>每年积分汇总1!AC2</f>
        <v>0</v>
      </c>
      <c r="AD2">
        <f>每年积分汇总1!AD2</f>
        <v>0</v>
      </c>
      <c r="AE2">
        <f>每年积分汇总1!AE2</f>
        <v>0</v>
      </c>
      <c r="AF2">
        <f>每年积分汇总1!AF2</f>
        <v>0</v>
      </c>
      <c r="AG2">
        <f>每年积分汇总1!AG2</f>
        <v>0</v>
      </c>
      <c r="AH2">
        <f>每年积分汇总1!AH2</f>
        <v>0</v>
      </c>
      <c r="AI2">
        <f>每年积分汇总1!AI2</f>
        <v>0</v>
      </c>
      <c r="AJ2">
        <f>每年积分汇总1!AJ2</f>
        <v>0</v>
      </c>
      <c r="AK2">
        <f>每年积分汇总1!AK2</f>
        <v>0</v>
      </c>
      <c r="AL2">
        <f>每年积分汇总1!AL2</f>
        <v>0</v>
      </c>
      <c r="AM2">
        <f>每年积分汇总1!AM2</f>
        <v>0</v>
      </c>
      <c r="AN2">
        <f>每年积分汇总1!AN2</f>
        <v>0</v>
      </c>
      <c r="AO2">
        <f>每年积分汇总1!AO2</f>
        <v>0</v>
      </c>
    </row>
    <row r="3" spans="1:41" ht="16.5">
      <c r="A3" s="1">
        <v>1948</v>
      </c>
      <c r="B3">
        <f>B2+每年积分汇总1!B3</f>
        <v>0</v>
      </c>
      <c r="C3">
        <f>C2+每年积分汇总1!C3</f>
        <v>0</v>
      </c>
      <c r="D3">
        <f>D2+每年积分汇总1!D3</f>
        <v>0</v>
      </c>
      <c r="E3">
        <f>E2+每年积分汇总1!E3</f>
        <v>0</v>
      </c>
      <c r="F3">
        <f>F2+每年积分汇总1!F3</f>
        <v>0</v>
      </c>
      <c r="G3">
        <f>G2+每年积分汇总1!G3</f>
        <v>0</v>
      </c>
      <c r="H3">
        <f>H2+每年积分汇总1!H3</f>
        <v>0</v>
      </c>
      <c r="I3">
        <f>I2+每年积分汇总1!I3</f>
        <v>0</v>
      </c>
      <c r="J3">
        <f>J2+每年积分汇总1!J3</f>
        <v>0</v>
      </c>
      <c r="K3">
        <f>K2+每年积分汇总1!K3</f>
        <v>0</v>
      </c>
      <c r="L3">
        <f>L2+每年积分汇总1!L3</f>
        <v>0</v>
      </c>
      <c r="M3">
        <f>M2+每年积分汇总1!M3</f>
        <v>0</v>
      </c>
      <c r="N3">
        <f>N2+每年积分汇总1!N3</f>
        <v>0</v>
      </c>
      <c r="O3">
        <f>O2+每年积分汇总1!O3</f>
        <v>0</v>
      </c>
      <c r="P3">
        <f>P2+每年积分汇总1!P3</f>
        <v>0</v>
      </c>
      <c r="Q3">
        <f>Q2+每年积分汇总1!Q3</f>
        <v>0</v>
      </c>
      <c r="R3">
        <f>R2+每年积分汇总1!R3</f>
        <v>0</v>
      </c>
      <c r="S3">
        <f>S2+每年积分汇总1!S3</f>
        <v>0</v>
      </c>
      <c r="T3">
        <f>T2+每年积分汇总1!T3</f>
        <v>0</v>
      </c>
      <c r="U3">
        <f>U2+每年积分汇总1!U3</f>
        <v>0</v>
      </c>
      <c r="V3">
        <f>V2+每年积分汇总1!V3</f>
        <v>0</v>
      </c>
      <c r="W3">
        <f>W2+每年积分汇总1!W3</f>
        <v>0</v>
      </c>
      <c r="X3">
        <f>X2+每年积分汇总1!X3</f>
        <v>0</v>
      </c>
      <c r="Y3">
        <f>Y2+每年积分汇总1!Y3</f>
        <v>0</v>
      </c>
      <c r="Z3">
        <f>Z2+每年积分汇总1!Z3</f>
        <v>0</v>
      </c>
      <c r="AA3">
        <f>AA2+每年积分汇总1!AA3</f>
        <v>0</v>
      </c>
      <c r="AB3">
        <f>AB2+每年积分汇总1!AB3</f>
        <v>0</v>
      </c>
      <c r="AC3">
        <f>AC2+每年积分汇总1!AC3</f>
        <v>0</v>
      </c>
      <c r="AD3">
        <f>AD2+每年积分汇总1!AD3</f>
        <v>0</v>
      </c>
      <c r="AE3">
        <f>AE2+每年积分汇总1!AE3</f>
        <v>0</v>
      </c>
      <c r="AF3">
        <f>AF2+每年积分汇总1!AF3</f>
        <v>0</v>
      </c>
      <c r="AG3">
        <f>AG2+每年积分汇总1!AG3</f>
        <v>0</v>
      </c>
      <c r="AH3">
        <f>AH2+每年积分汇总1!AH3</f>
        <v>0</v>
      </c>
      <c r="AI3">
        <f>AI2+每年积分汇总1!AI3</f>
        <v>0</v>
      </c>
      <c r="AJ3">
        <f>AJ2+每年积分汇总1!AJ3</f>
        <v>0</v>
      </c>
      <c r="AK3">
        <f>AK2+每年积分汇总1!AK3</f>
        <v>0</v>
      </c>
      <c r="AL3">
        <f>AL2+每年积分汇总1!AL3</f>
        <v>0</v>
      </c>
      <c r="AM3">
        <f>AM2+每年积分汇总1!AM3</f>
        <v>0</v>
      </c>
      <c r="AN3">
        <f>AN2+每年积分汇总1!AN3</f>
        <v>0</v>
      </c>
      <c r="AO3">
        <f>AO2+每年积分汇总1!AO3</f>
        <v>0</v>
      </c>
    </row>
    <row r="4" spans="1:41" ht="16.5">
      <c r="A4" s="1">
        <v>1949</v>
      </c>
      <c r="B4">
        <f>B3+每年积分汇总1!B4</f>
        <v>0</v>
      </c>
      <c r="C4">
        <f>C3+每年积分汇总1!C4</f>
        <v>0</v>
      </c>
      <c r="D4">
        <f>D3+每年积分汇总1!D4</f>
        <v>0</v>
      </c>
      <c r="E4">
        <f>E3+每年积分汇总1!E4</f>
        <v>0</v>
      </c>
      <c r="F4">
        <f>F3+每年积分汇总1!F4</f>
        <v>0</v>
      </c>
      <c r="G4">
        <f>G3+每年积分汇总1!G4</f>
        <v>0</v>
      </c>
      <c r="H4">
        <f>H3+每年积分汇总1!H4</f>
        <v>0</v>
      </c>
      <c r="I4">
        <f>I3+每年积分汇总1!I4</f>
        <v>0</v>
      </c>
      <c r="J4">
        <f>J3+每年积分汇总1!J4</f>
        <v>0</v>
      </c>
      <c r="K4">
        <f>K3+每年积分汇总1!K4</f>
        <v>0</v>
      </c>
      <c r="L4">
        <f>L3+每年积分汇总1!L4</f>
        <v>0</v>
      </c>
      <c r="M4">
        <f>M3+每年积分汇总1!M4</f>
        <v>0</v>
      </c>
      <c r="N4">
        <f>N3+每年积分汇总1!N4</f>
        <v>0</v>
      </c>
      <c r="O4">
        <f>O3+每年积分汇总1!O4</f>
        <v>0</v>
      </c>
      <c r="P4">
        <f>P3+每年积分汇总1!P4</f>
        <v>0</v>
      </c>
      <c r="Q4">
        <f>Q3+每年积分汇总1!Q4</f>
        <v>0</v>
      </c>
      <c r="R4">
        <f>R3+每年积分汇总1!R4</f>
        <v>0</v>
      </c>
      <c r="S4">
        <f>S3+每年积分汇总1!S4</f>
        <v>0</v>
      </c>
      <c r="T4">
        <f>T3+每年积分汇总1!T4</f>
        <v>0</v>
      </c>
      <c r="U4">
        <f>U3+每年积分汇总1!U4</f>
        <v>0</v>
      </c>
      <c r="V4">
        <f>V3+每年积分汇总1!V4</f>
        <v>0</v>
      </c>
      <c r="W4">
        <f>W3+每年积分汇总1!W4</f>
        <v>0</v>
      </c>
      <c r="X4">
        <f>X3+每年积分汇总1!X4</f>
        <v>0</v>
      </c>
      <c r="Y4">
        <f>Y3+每年积分汇总1!Y4</f>
        <v>0</v>
      </c>
      <c r="Z4">
        <f>Z3+每年积分汇总1!Z4</f>
        <v>0</v>
      </c>
      <c r="AA4">
        <f>AA3+每年积分汇总1!AA4</f>
        <v>0</v>
      </c>
      <c r="AB4">
        <f>AB3+每年积分汇总1!AB4</f>
        <v>0</v>
      </c>
      <c r="AC4">
        <f>AC3+每年积分汇总1!AC4</f>
        <v>0</v>
      </c>
      <c r="AD4">
        <f>AD3+每年积分汇总1!AD4</f>
        <v>0</v>
      </c>
      <c r="AE4">
        <f>AE3+每年积分汇总1!AE4</f>
        <v>0</v>
      </c>
      <c r="AF4">
        <f>AF3+每年积分汇总1!AF4</f>
        <v>0</v>
      </c>
      <c r="AG4">
        <f>AG3+每年积分汇总1!AG4</f>
        <v>0</v>
      </c>
      <c r="AH4">
        <f>AH3+每年积分汇总1!AH4</f>
        <v>0</v>
      </c>
      <c r="AI4">
        <f>AI3+每年积分汇总1!AI4</f>
        <v>0</v>
      </c>
      <c r="AJ4">
        <f>AJ3+每年积分汇总1!AJ4</f>
        <v>0</v>
      </c>
      <c r="AK4">
        <f>AK3+每年积分汇总1!AK4</f>
        <v>0</v>
      </c>
      <c r="AL4">
        <f>AL3+每年积分汇总1!AL4</f>
        <v>0</v>
      </c>
      <c r="AM4">
        <f>AM3+每年积分汇总1!AM4</f>
        <v>0</v>
      </c>
      <c r="AN4">
        <f>AN3+每年积分汇总1!AN4</f>
        <v>0</v>
      </c>
      <c r="AO4">
        <f>AO3+每年积分汇总1!AO4</f>
        <v>0</v>
      </c>
    </row>
    <row r="5" spans="1:41" ht="16.5">
      <c r="A5" s="1">
        <v>1950</v>
      </c>
      <c r="B5">
        <f>B4+每年积分汇总1!B5</f>
        <v>0</v>
      </c>
      <c r="C5">
        <f>C4+每年积分汇总1!C5</f>
        <v>0</v>
      </c>
      <c r="D5">
        <f>D4+每年积分汇总1!D5</f>
        <v>0</v>
      </c>
      <c r="E5">
        <f>E4+每年积分汇总1!E5</f>
        <v>0</v>
      </c>
      <c r="F5">
        <f>F4+每年积分汇总1!F5</f>
        <v>0</v>
      </c>
      <c r="G5">
        <f>G4+每年积分汇总1!G5</f>
        <v>0</v>
      </c>
      <c r="H5">
        <f>H4+每年积分汇总1!H5</f>
        <v>0</v>
      </c>
      <c r="I5">
        <f>I4+每年积分汇总1!I5</f>
        <v>0</v>
      </c>
      <c r="J5">
        <f>J4+每年积分汇总1!J5</f>
        <v>0</v>
      </c>
      <c r="K5">
        <f>K4+每年积分汇总1!K5</f>
        <v>0</v>
      </c>
      <c r="L5">
        <f>L4+每年积分汇总1!L5</f>
        <v>0</v>
      </c>
      <c r="M5">
        <f>M4+每年积分汇总1!M5</f>
        <v>0</v>
      </c>
      <c r="N5">
        <f>N4+每年积分汇总1!N5</f>
        <v>0</v>
      </c>
      <c r="O5">
        <f>O4+每年积分汇总1!O5</f>
        <v>0</v>
      </c>
      <c r="P5">
        <f>P4+每年积分汇总1!P5</f>
        <v>0</v>
      </c>
      <c r="Q5">
        <f>Q4+每年积分汇总1!Q5</f>
        <v>0</v>
      </c>
      <c r="R5">
        <f>R4+每年积分汇总1!R5</f>
        <v>0</v>
      </c>
      <c r="S5">
        <f>S4+每年积分汇总1!S5</f>
        <v>0</v>
      </c>
      <c r="T5">
        <f>T4+每年积分汇总1!T5</f>
        <v>0</v>
      </c>
      <c r="U5">
        <f>U4+每年积分汇总1!U5</f>
        <v>0</v>
      </c>
      <c r="V5">
        <f>V4+每年积分汇总1!V5</f>
        <v>0</v>
      </c>
      <c r="W5">
        <f>W4+每年积分汇总1!W5</f>
        <v>0</v>
      </c>
      <c r="X5">
        <f>X4+每年积分汇总1!X5</f>
        <v>0</v>
      </c>
      <c r="Y5">
        <f>Y4+每年积分汇总1!Y5</f>
        <v>0</v>
      </c>
      <c r="Z5">
        <f>Z4+每年积分汇总1!Z5</f>
        <v>0</v>
      </c>
      <c r="AA5">
        <f>AA4+每年积分汇总1!AA5</f>
        <v>0</v>
      </c>
      <c r="AB5">
        <f>AB4+每年积分汇总1!AB5</f>
        <v>0</v>
      </c>
      <c r="AC5">
        <f>AC4+每年积分汇总1!AC5</f>
        <v>0</v>
      </c>
      <c r="AD5">
        <f>AD4+每年积分汇总1!AD5</f>
        <v>0</v>
      </c>
      <c r="AE5">
        <f>AE4+每年积分汇总1!AE5</f>
        <v>0</v>
      </c>
      <c r="AF5">
        <f>AF4+每年积分汇总1!AF5</f>
        <v>0</v>
      </c>
      <c r="AG5">
        <f>AG4+每年积分汇总1!AG5</f>
        <v>0</v>
      </c>
      <c r="AH5">
        <f>AH4+每年积分汇总1!AH5</f>
        <v>0</v>
      </c>
      <c r="AI5">
        <f>AI4+每年积分汇总1!AI5</f>
        <v>0</v>
      </c>
      <c r="AJ5">
        <f>AJ4+每年积分汇总1!AJ5</f>
        <v>0</v>
      </c>
      <c r="AK5">
        <f>AK4+每年积分汇总1!AK5</f>
        <v>0</v>
      </c>
      <c r="AL5">
        <f>AL4+每年积分汇总1!AL5</f>
        <v>0</v>
      </c>
      <c r="AM5">
        <f>AM4+每年积分汇总1!AM5</f>
        <v>0</v>
      </c>
      <c r="AN5">
        <f>AN4+每年积分汇总1!AN5</f>
        <v>0</v>
      </c>
      <c r="AO5">
        <f>AO4+每年积分汇总1!AO5</f>
        <v>0</v>
      </c>
    </row>
    <row r="6" spans="1:41" ht="16.5">
      <c r="A6" s="1">
        <v>1951</v>
      </c>
      <c r="B6">
        <f>B5+每年积分汇总1!B6</f>
        <v>0</v>
      </c>
      <c r="C6">
        <f>C5+每年积分汇总1!C6</f>
        <v>0</v>
      </c>
      <c r="D6">
        <f>D5+每年积分汇总1!D6</f>
        <v>0</v>
      </c>
      <c r="E6">
        <f>E5+每年积分汇总1!E6</f>
        <v>0</v>
      </c>
      <c r="F6">
        <f>F5+每年积分汇总1!F6</f>
        <v>0</v>
      </c>
      <c r="G6">
        <f>G5+每年积分汇总1!G6</f>
        <v>0</v>
      </c>
      <c r="H6">
        <f>H5+每年积分汇总1!H6</f>
        <v>0</v>
      </c>
      <c r="I6">
        <f>I5+每年积分汇总1!I6</f>
        <v>0</v>
      </c>
      <c r="J6">
        <f>J5+每年积分汇总1!J6</f>
        <v>0</v>
      </c>
      <c r="K6">
        <f>K5+每年积分汇总1!K6</f>
        <v>0</v>
      </c>
      <c r="L6">
        <f>L5+每年积分汇总1!L6</f>
        <v>0</v>
      </c>
      <c r="M6">
        <f>M5+每年积分汇总1!M6</f>
        <v>0</v>
      </c>
      <c r="N6">
        <f>N5+每年积分汇总1!N6</f>
        <v>0</v>
      </c>
      <c r="O6">
        <f>O5+每年积分汇总1!O6</f>
        <v>0</v>
      </c>
      <c r="P6">
        <f>P5+每年积分汇总1!P6</f>
        <v>0</v>
      </c>
      <c r="Q6">
        <f>Q5+每年积分汇总1!Q6</f>
        <v>0</v>
      </c>
      <c r="R6">
        <f>R5+每年积分汇总1!R6</f>
        <v>0</v>
      </c>
      <c r="S6">
        <f>S5+每年积分汇总1!S6</f>
        <v>0</v>
      </c>
      <c r="T6">
        <f>T5+每年积分汇总1!T6</f>
        <v>0</v>
      </c>
      <c r="U6">
        <f>U5+每年积分汇总1!U6</f>
        <v>0</v>
      </c>
      <c r="V6">
        <f>V5+每年积分汇总1!V6</f>
        <v>0</v>
      </c>
      <c r="W6">
        <f>W5+每年积分汇总1!W6</f>
        <v>0</v>
      </c>
      <c r="X6">
        <f>X5+每年积分汇总1!X6</f>
        <v>0</v>
      </c>
      <c r="Y6">
        <f>Y5+每年积分汇总1!Y6</f>
        <v>0</v>
      </c>
      <c r="Z6">
        <f>Z5+每年积分汇总1!Z6</f>
        <v>0</v>
      </c>
      <c r="AA6">
        <f>AA5+每年积分汇总1!AA6</f>
        <v>0</v>
      </c>
      <c r="AB6">
        <f>AB5+每年积分汇总1!AB6</f>
        <v>0</v>
      </c>
      <c r="AC6">
        <f>AC5+每年积分汇总1!AC6</f>
        <v>0</v>
      </c>
      <c r="AD6">
        <f>AD5+每年积分汇总1!AD6</f>
        <v>0</v>
      </c>
      <c r="AE6">
        <f>AE5+每年积分汇总1!AE6</f>
        <v>0</v>
      </c>
      <c r="AF6">
        <f>AF5+每年积分汇总1!AF6</f>
        <v>0</v>
      </c>
      <c r="AG6">
        <f>AG5+每年积分汇总1!AG6</f>
        <v>0</v>
      </c>
      <c r="AH6">
        <f>AH5+每年积分汇总1!AH6</f>
        <v>0</v>
      </c>
      <c r="AI6">
        <f>AI5+每年积分汇总1!AI6</f>
        <v>0</v>
      </c>
      <c r="AJ6">
        <f>AJ5+每年积分汇总1!AJ6</f>
        <v>0</v>
      </c>
      <c r="AK6">
        <f>AK5+每年积分汇总1!AK6</f>
        <v>0</v>
      </c>
      <c r="AL6">
        <f>AL5+每年积分汇总1!AL6</f>
        <v>0</v>
      </c>
      <c r="AM6">
        <f>AM5+每年积分汇总1!AM6</f>
        <v>0</v>
      </c>
      <c r="AN6">
        <f>AN5+每年积分汇总1!AN6</f>
        <v>0</v>
      </c>
      <c r="AO6">
        <f>AO5+每年积分汇总1!AO6</f>
        <v>0</v>
      </c>
    </row>
    <row r="7" spans="1:41" ht="16.5">
      <c r="A7" s="1">
        <v>1952</v>
      </c>
      <c r="B7">
        <f>B6+每年积分汇总1!B7</f>
        <v>0</v>
      </c>
      <c r="C7">
        <f>C6+每年积分汇总1!C7</f>
        <v>0</v>
      </c>
      <c r="D7">
        <f>D6+每年积分汇总1!D7</f>
        <v>0</v>
      </c>
      <c r="E7">
        <f>E6+每年积分汇总1!E7</f>
        <v>0</v>
      </c>
      <c r="F7">
        <f>F6+每年积分汇总1!F7</f>
        <v>0</v>
      </c>
      <c r="G7">
        <f>G6+每年积分汇总1!G7</f>
        <v>0</v>
      </c>
      <c r="H7">
        <f>H6+每年积分汇总1!H7</f>
        <v>0</v>
      </c>
      <c r="I7">
        <f>I6+每年积分汇总1!I7</f>
        <v>0</v>
      </c>
      <c r="J7">
        <f>J6+每年积分汇总1!J7</f>
        <v>0</v>
      </c>
      <c r="K7">
        <f>K6+每年积分汇总1!K7</f>
        <v>0</v>
      </c>
      <c r="L7">
        <f>L6+每年积分汇总1!L7</f>
        <v>0</v>
      </c>
      <c r="M7">
        <f>M6+每年积分汇总1!M7</f>
        <v>0</v>
      </c>
      <c r="N7">
        <f>N6+每年积分汇总1!N7</f>
        <v>0</v>
      </c>
      <c r="O7">
        <f>O6+每年积分汇总1!O7</f>
        <v>0</v>
      </c>
      <c r="P7">
        <f>P6+每年积分汇总1!P7</f>
        <v>0</v>
      </c>
      <c r="Q7">
        <f>Q6+每年积分汇总1!Q7</f>
        <v>0</v>
      </c>
      <c r="R7">
        <f>R6+每年积分汇总1!R7</f>
        <v>0</v>
      </c>
      <c r="S7">
        <f>S6+每年积分汇总1!S7</f>
        <v>0</v>
      </c>
      <c r="T7">
        <f>T6+每年积分汇总1!T7</f>
        <v>0</v>
      </c>
      <c r="U7">
        <f>U6+每年积分汇总1!U7</f>
        <v>0</v>
      </c>
      <c r="V7">
        <f>V6+每年积分汇总1!V7</f>
        <v>0</v>
      </c>
      <c r="W7">
        <f>W6+每年积分汇总1!W7</f>
        <v>0</v>
      </c>
      <c r="X7">
        <f>X6+每年积分汇总1!X7</f>
        <v>0</v>
      </c>
      <c r="Y7">
        <f>Y6+每年积分汇总1!Y7</f>
        <v>0</v>
      </c>
      <c r="Z7">
        <f>Z6+每年积分汇总1!Z7</f>
        <v>0</v>
      </c>
      <c r="AA7">
        <f>AA6+每年积分汇总1!AA7</f>
        <v>0</v>
      </c>
      <c r="AB7">
        <f>AB6+每年积分汇总1!AB7</f>
        <v>0</v>
      </c>
      <c r="AC7">
        <f>AC6+每年积分汇总1!AC7</f>
        <v>0</v>
      </c>
      <c r="AD7">
        <f>AD6+每年积分汇总1!AD7</f>
        <v>0</v>
      </c>
      <c r="AE7">
        <f>AE6+每年积分汇总1!AE7</f>
        <v>0</v>
      </c>
      <c r="AF7">
        <f>AF6+每年积分汇总1!AF7</f>
        <v>0</v>
      </c>
      <c r="AG7">
        <f>AG6+每年积分汇总1!AG7</f>
        <v>0</v>
      </c>
      <c r="AH7">
        <f>AH6+每年积分汇总1!AH7</f>
        <v>0</v>
      </c>
      <c r="AI7">
        <f>AI6+每年积分汇总1!AI7</f>
        <v>0</v>
      </c>
      <c r="AJ7">
        <f>AJ6+每年积分汇总1!AJ7</f>
        <v>0</v>
      </c>
      <c r="AK7">
        <f>AK6+每年积分汇总1!AK7</f>
        <v>0</v>
      </c>
      <c r="AL7">
        <f>AL6+每年积分汇总1!AL7</f>
        <v>0</v>
      </c>
      <c r="AM7">
        <f>AM6+每年积分汇总1!AM7</f>
        <v>0</v>
      </c>
      <c r="AN7">
        <f>AN6+每年积分汇总1!AN7</f>
        <v>0</v>
      </c>
      <c r="AO7">
        <f>AO6+每年积分汇总1!AO7</f>
        <v>0</v>
      </c>
    </row>
    <row r="8" spans="1:41" ht="16.5">
      <c r="A8" s="1">
        <v>1953</v>
      </c>
      <c r="B8">
        <f>B7+每年积分汇总1!B8</f>
        <v>0</v>
      </c>
      <c r="C8">
        <f>C7+每年积分汇总1!C8</f>
        <v>0</v>
      </c>
      <c r="D8">
        <f>D7+每年积分汇总1!D8</f>
        <v>0</v>
      </c>
      <c r="E8">
        <f>E7+每年积分汇总1!E8</f>
        <v>0</v>
      </c>
      <c r="F8">
        <f>F7+每年积分汇总1!F8</f>
        <v>0</v>
      </c>
      <c r="G8">
        <f>G7+每年积分汇总1!G8</f>
        <v>0</v>
      </c>
      <c r="H8">
        <f>H7+每年积分汇总1!H8</f>
        <v>0</v>
      </c>
      <c r="I8">
        <f>I7+每年积分汇总1!I8</f>
        <v>0</v>
      </c>
      <c r="J8">
        <f>J7+每年积分汇总1!J8</f>
        <v>0</v>
      </c>
      <c r="K8">
        <f>K7+每年积分汇总1!K8</f>
        <v>0</v>
      </c>
      <c r="L8">
        <f>L7+每年积分汇总1!L8</f>
        <v>0</v>
      </c>
      <c r="M8">
        <f>M7+每年积分汇总1!M8</f>
        <v>0</v>
      </c>
      <c r="N8">
        <f>N7+每年积分汇总1!N8</f>
        <v>0</v>
      </c>
      <c r="O8">
        <f>O7+每年积分汇总1!O8</f>
        <v>0</v>
      </c>
      <c r="P8">
        <f>P7+每年积分汇总1!P8</f>
        <v>0</v>
      </c>
      <c r="Q8">
        <f>Q7+每年积分汇总1!Q8</f>
        <v>0</v>
      </c>
      <c r="R8">
        <f>R7+每年积分汇总1!R8</f>
        <v>0</v>
      </c>
      <c r="S8">
        <f>S7+每年积分汇总1!S8</f>
        <v>0</v>
      </c>
      <c r="T8">
        <f>T7+每年积分汇总1!T8</f>
        <v>0</v>
      </c>
      <c r="U8">
        <f>U7+每年积分汇总1!U8</f>
        <v>0</v>
      </c>
      <c r="V8">
        <f>V7+每年积分汇总1!V8</f>
        <v>0</v>
      </c>
      <c r="W8">
        <f>W7+每年积分汇总1!W8</f>
        <v>0</v>
      </c>
      <c r="X8">
        <f>X7+每年积分汇总1!X8</f>
        <v>0</v>
      </c>
      <c r="Y8">
        <f>Y7+每年积分汇总1!Y8</f>
        <v>0</v>
      </c>
      <c r="Z8">
        <f>Z7+每年积分汇总1!Z8</f>
        <v>0</v>
      </c>
      <c r="AA8">
        <f>AA7+每年积分汇总1!AA8</f>
        <v>0</v>
      </c>
      <c r="AB8">
        <f>AB7+每年积分汇总1!AB8</f>
        <v>0</v>
      </c>
      <c r="AC8">
        <f>AC7+每年积分汇总1!AC8</f>
        <v>0</v>
      </c>
      <c r="AD8">
        <f>AD7+每年积分汇总1!AD8</f>
        <v>0</v>
      </c>
      <c r="AE8">
        <f>AE7+每年积分汇总1!AE8</f>
        <v>0</v>
      </c>
      <c r="AF8">
        <f>AF7+每年积分汇总1!AF8</f>
        <v>0</v>
      </c>
      <c r="AG8">
        <f>AG7+每年积分汇总1!AG8</f>
        <v>0</v>
      </c>
      <c r="AH8">
        <f>AH7+每年积分汇总1!AH8</f>
        <v>0</v>
      </c>
      <c r="AI8">
        <f>AI7+每年积分汇总1!AI8</f>
        <v>0</v>
      </c>
      <c r="AJ8">
        <f>AJ7+每年积分汇总1!AJ8</f>
        <v>0</v>
      </c>
      <c r="AK8">
        <f>AK7+每年积分汇总1!AK8</f>
        <v>0</v>
      </c>
      <c r="AL8">
        <f>AL7+每年积分汇总1!AL8</f>
        <v>0</v>
      </c>
      <c r="AM8">
        <f>AM7+每年积分汇总1!AM8</f>
        <v>0</v>
      </c>
      <c r="AN8">
        <f>AN7+每年积分汇总1!AN8</f>
        <v>0</v>
      </c>
      <c r="AO8">
        <f>AO7+每年积分汇总1!AO8</f>
        <v>0</v>
      </c>
    </row>
    <row r="9" spans="1:41" ht="16.5">
      <c r="A9" s="1">
        <v>1954</v>
      </c>
      <c r="B9">
        <f>B8+每年积分汇总1!B9</f>
        <v>0</v>
      </c>
      <c r="C9">
        <f>C8+每年积分汇总1!C9</f>
        <v>0</v>
      </c>
      <c r="D9">
        <f>D8+每年积分汇总1!D9</f>
        <v>0</v>
      </c>
      <c r="E9">
        <f>E8+每年积分汇总1!E9</f>
        <v>0</v>
      </c>
      <c r="F9">
        <f>F8+每年积分汇总1!F9</f>
        <v>0</v>
      </c>
      <c r="G9">
        <f>G8+每年积分汇总1!G9</f>
        <v>0</v>
      </c>
      <c r="H9">
        <f>H8+每年积分汇总1!H9</f>
        <v>0</v>
      </c>
      <c r="I9">
        <f>I8+每年积分汇总1!I9</f>
        <v>0</v>
      </c>
      <c r="J9">
        <f>J8+每年积分汇总1!J9</f>
        <v>0</v>
      </c>
      <c r="K9">
        <f>K8+每年积分汇总1!K9</f>
        <v>0</v>
      </c>
      <c r="L9">
        <f>L8+每年积分汇总1!L9</f>
        <v>0</v>
      </c>
      <c r="M9">
        <f>M8+每年积分汇总1!M9</f>
        <v>0</v>
      </c>
      <c r="N9">
        <f>N8+每年积分汇总1!N9</f>
        <v>0</v>
      </c>
      <c r="O9">
        <f>O8+每年积分汇总1!O9</f>
        <v>0</v>
      </c>
      <c r="P9">
        <f>P8+每年积分汇总1!P9</f>
        <v>0</v>
      </c>
      <c r="Q9">
        <f>Q8+每年积分汇总1!Q9</f>
        <v>0</v>
      </c>
      <c r="R9">
        <f>R8+每年积分汇总1!R9</f>
        <v>0</v>
      </c>
      <c r="S9">
        <f>S8+每年积分汇总1!S9</f>
        <v>0</v>
      </c>
      <c r="T9">
        <f>T8+每年积分汇总1!T9</f>
        <v>0</v>
      </c>
      <c r="U9">
        <f>U8+每年积分汇总1!U9</f>
        <v>0</v>
      </c>
      <c r="V9">
        <f>V8+每年积分汇总1!V9</f>
        <v>0</v>
      </c>
      <c r="W9">
        <f>W8+每年积分汇总1!W9</f>
        <v>0</v>
      </c>
      <c r="X9">
        <f>X8+每年积分汇总1!X9</f>
        <v>0</v>
      </c>
      <c r="Y9">
        <f>Y8+每年积分汇总1!Y9</f>
        <v>0</v>
      </c>
      <c r="Z9">
        <f>Z8+每年积分汇总1!Z9</f>
        <v>0</v>
      </c>
      <c r="AA9">
        <f>AA8+每年积分汇总1!AA9</f>
        <v>0</v>
      </c>
      <c r="AB9">
        <f>AB8+每年积分汇总1!AB9</f>
        <v>0</v>
      </c>
      <c r="AC9">
        <f>AC8+每年积分汇总1!AC9</f>
        <v>0</v>
      </c>
      <c r="AD9">
        <f>AD8+每年积分汇总1!AD9</f>
        <v>0</v>
      </c>
      <c r="AE9">
        <f>AE8+每年积分汇总1!AE9</f>
        <v>0</v>
      </c>
      <c r="AF9">
        <f>AF8+每年积分汇总1!AF9</f>
        <v>0</v>
      </c>
      <c r="AG9">
        <f>AG8+每年积分汇总1!AG9</f>
        <v>0</v>
      </c>
      <c r="AH9">
        <f>AH8+每年积分汇总1!AH9</f>
        <v>0</v>
      </c>
      <c r="AI9">
        <f>AI8+每年积分汇总1!AI9</f>
        <v>0</v>
      </c>
      <c r="AJ9">
        <f>AJ8+每年积分汇总1!AJ9</f>
        <v>0</v>
      </c>
      <c r="AK9">
        <f>AK8+每年积分汇总1!AK9</f>
        <v>0</v>
      </c>
      <c r="AL9">
        <f>AL8+每年积分汇总1!AL9</f>
        <v>0</v>
      </c>
      <c r="AM9">
        <f>AM8+每年积分汇总1!AM9</f>
        <v>0</v>
      </c>
      <c r="AN9">
        <f>AN8+每年积分汇总1!AN9</f>
        <v>0</v>
      </c>
      <c r="AO9">
        <f>AO8+每年积分汇总1!AO9</f>
        <v>0</v>
      </c>
    </row>
    <row r="10" spans="1:41" ht="16.5">
      <c r="A10" s="1">
        <v>1955</v>
      </c>
      <c r="B10">
        <f>B9+每年积分汇总1!B10</f>
        <v>0</v>
      </c>
      <c r="C10">
        <f>C9+每年积分汇总1!C10</f>
        <v>0</v>
      </c>
      <c r="D10">
        <f>D9+每年积分汇总1!D10</f>
        <v>0</v>
      </c>
      <c r="E10">
        <f>E9+每年积分汇总1!E10</f>
        <v>0</v>
      </c>
      <c r="F10">
        <f>F9+每年积分汇总1!F10</f>
        <v>0</v>
      </c>
      <c r="G10">
        <f>G9+每年积分汇总1!G10</f>
        <v>0</v>
      </c>
      <c r="H10">
        <f>H9+每年积分汇总1!H10</f>
        <v>0</v>
      </c>
      <c r="I10">
        <f>I9+每年积分汇总1!I10</f>
        <v>0</v>
      </c>
      <c r="J10">
        <f>J9+每年积分汇总1!J10</f>
        <v>0</v>
      </c>
      <c r="K10">
        <f>K9+每年积分汇总1!K10</f>
        <v>0</v>
      </c>
      <c r="L10">
        <f>L9+每年积分汇总1!L10</f>
        <v>0</v>
      </c>
      <c r="M10">
        <f>M9+每年积分汇总1!M10</f>
        <v>0</v>
      </c>
      <c r="N10">
        <f>N9+每年积分汇总1!N10</f>
        <v>0</v>
      </c>
      <c r="O10">
        <f>O9+每年积分汇总1!O10</f>
        <v>0</v>
      </c>
      <c r="P10">
        <f>P9+每年积分汇总1!P10</f>
        <v>0</v>
      </c>
      <c r="Q10">
        <f>Q9+每年积分汇总1!Q10</f>
        <v>0</v>
      </c>
      <c r="R10">
        <f>R9+每年积分汇总1!R10</f>
        <v>0</v>
      </c>
      <c r="S10">
        <f>S9+每年积分汇总1!S10</f>
        <v>0</v>
      </c>
      <c r="T10">
        <f>T9+每年积分汇总1!T10</f>
        <v>0</v>
      </c>
      <c r="U10">
        <f>U9+每年积分汇总1!U10</f>
        <v>0</v>
      </c>
      <c r="V10">
        <f>V9+每年积分汇总1!V10</f>
        <v>0</v>
      </c>
      <c r="W10">
        <f>W9+每年积分汇总1!W10</f>
        <v>0</v>
      </c>
      <c r="X10">
        <f>X9+每年积分汇总1!X10</f>
        <v>0</v>
      </c>
      <c r="Y10">
        <f>Y9+每年积分汇总1!Y10</f>
        <v>0</v>
      </c>
      <c r="Z10">
        <f>Z9+每年积分汇总1!Z10</f>
        <v>0</v>
      </c>
      <c r="AA10">
        <f>AA9+每年积分汇总1!AA10</f>
        <v>570.95999999999992</v>
      </c>
      <c r="AB10">
        <f>AB9+每年积分汇总1!AB10</f>
        <v>0</v>
      </c>
      <c r="AC10">
        <f>AC9+每年积分汇总1!AC10</f>
        <v>0</v>
      </c>
      <c r="AD10">
        <f>AD9+每年积分汇总1!AD10</f>
        <v>0</v>
      </c>
      <c r="AE10">
        <f>AE9+每年积分汇总1!AE10</f>
        <v>0</v>
      </c>
      <c r="AF10">
        <f>AF9+每年积分汇总1!AF10</f>
        <v>0</v>
      </c>
      <c r="AG10">
        <f>AG9+每年积分汇总1!AG10</f>
        <v>0</v>
      </c>
      <c r="AH10">
        <f>AH9+每年积分汇总1!AH10</f>
        <v>0</v>
      </c>
      <c r="AI10">
        <f>AI9+每年积分汇总1!AI10</f>
        <v>0</v>
      </c>
      <c r="AJ10">
        <f>AJ9+每年积分汇总1!AJ10</f>
        <v>0</v>
      </c>
      <c r="AK10">
        <f>AK9+每年积分汇总1!AK10</f>
        <v>0</v>
      </c>
      <c r="AL10">
        <f>AL9+每年积分汇总1!AL10</f>
        <v>0</v>
      </c>
      <c r="AM10">
        <f>AM9+每年积分汇总1!AM10</f>
        <v>0</v>
      </c>
      <c r="AN10">
        <f>AN9+每年积分汇总1!AN10</f>
        <v>0</v>
      </c>
      <c r="AO10">
        <f>AO9+每年积分汇总1!AO10</f>
        <v>0</v>
      </c>
    </row>
    <row r="11" spans="1:41" ht="16.5">
      <c r="A11" s="1">
        <v>1956</v>
      </c>
      <c r="B11">
        <f>B10+每年积分汇总1!B11</f>
        <v>0</v>
      </c>
      <c r="C11">
        <f>C10+每年积分汇总1!C11</f>
        <v>0</v>
      </c>
      <c r="D11">
        <f>D10+每年积分汇总1!D11</f>
        <v>0</v>
      </c>
      <c r="E11">
        <f>E10+每年积分汇总1!E11</f>
        <v>0</v>
      </c>
      <c r="F11">
        <f>F10+每年积分汇总1!F11</f>
        <v>0</v>
      </c>
      <c r="G11">
        <f>G10+每年积分汇总1!G11</f>
        <v>0</v>
      </c>
      <c r="H11">
        <f>H10+每年积分汇总1!H11</f>
        <v>0</v>
      </c>
      <c r="I11">
        <f>I10+每年积分汇总1!I11</f>
        <v>0</v>
      </c>
      <c r="J11">
        <f>J10+每年积分汇总1!J11</f>
        <v>0</v>
      </c>
      <c r="K11">
        <f>K10+每年积分汇总1!K11</f>
        <v>0</v>
      </c>
      <c r="L11">
        <f>L10+每年积分汇总1!L11</f>
        <v>0</v>
      </c>
      <c r="M11">
        <f>M10+每年积分汇总1!M11</f>
        <v>0</v>
      </c>
      <c r="N11">
        <f>N10+每年积分汇总1!N11</f>
        <v>0</v>
      </c>
      <c r="O11">
        <f>O10+每年积分汇总1!O11</f>
        <v>0</v>
      </c>
      <c r="P11">
        <f>P10+每年积分汇总1!P11</f>
        <v>0</v>
      </c>
      <c r="Q11">
        <f>Q10+每年积分汇总1!Q11</f>
        <v>0</v>
      </c>
      <c r="R11">
        <f>R10+每年积分汇总1!R11</f>
        <v>0</v>
      </c>
      <c r="S11">
        <f>S10+每年积分汇总1!S11</f>
        <v>0</v>
      </c>
      <c r="T11">
        <f>T10+每年积分汇总1!T11</f>
        <v>0</v>
      </c>
      <c r="U11">
        <f>U10+每年积分汇总1!U11</f>
        <v>0</v>
      </c>
      <c r="V11">
        <f>V10+每年积分汇总1!V11</f>
        <v>0</v>
      </c>
      <c r="W11">
        <f>W10+每年积分汇总1!W11</f>
        <v>0</v>
      </c>
      <c r="X11">
        <f>X10+每年积分汇总1!X11</f>
        <v>0</v>
      </c>
      <c r="Y11">
        <f>Y10+每年积分汇总1!Y11</f>
        <v>0</v>
      </c>
      <c r="Z11">
        <f>Z10+每年积分汇总1!Z11</f>
        <v>0</v>
      </c>
      <c r="AA11">
        <f>AA10+每年积分汇总1!AA11</f>
        <v>8635.5199999999986</v>
      </c>
      <c r="AB11">
        <f>AB10+每年积分汇总1!AB11</f>
        <v>0</v>
      </c>
      <c r="AC11">
        <f>AC10+每年积分汇总1!AC11</f>
        <v>0</v>
      </c>
      <c r="AD11">
        <f>AD10+每年积分汇总1!AD11</f>
        <v>0</v>
      </c>
      <c r="AE11">
        <f>AE10+每年积分汇总1!AE11</f>
        <v>0</v>
      </c>
      <c r="AF11">
        <f>AF10+每年积分汇总1!AF11</f>
        <v>0</v>
      </c>
      <c r="AG11">
        <f>AG10+每年积分汇总1!AG11</f>
        <v>0</v>
      </c>
      <c r="AH11">
        <f>AH10+每年积分汇总1!AH11</f>
        <v>0</v>
      </c>
      <c r="AI11">
        <f>AI10+每年积分汇总1!AI11</f>
        <v>0</v>
      </c>
      <c r="AJ11">
        <f>AJ10+每年积分汇总1!AJ11</f>
        <v>0</v>
      </c>
      <c r="AK11">
        <f>AK10+每年积分汇总1!AK11</f>
        <v>0</v>
      </c>
      <c r="AL11">
        <f>AL10+每年积分汇总1!AL11</f>
        <v>0</v>
      </c>
      <c r="AM11">
        <f>AM10+每年积分汇总1!AM11</f>
        <v>0</v>
      </c>
      <c r="AN11">
        <f>AN10+每年积分汇总1!AN11</f>
        <v>0</v>
      </c>
      <c r="AO11">
        <f>AO10+每年积分汇总1!AO11</f>
        <v>0</v>
      </c>
    </row>
    <row r="12" spans="1:41" ht="16.5">
      <c r="A12" s="1">
        <v>1957</v>
      </c>
      <c r="B12">
        <f>B11+每年积分汇总1!B12</f>
        <v>0</v>
      </c>
      <c r="C12">
        <f>C11+每年积分汇总1!C12</f>
        <v>0</v>
      </c>
      <c r="D12">
        <f>D11+每年积分汇总1!D12</f>
        <v>0</v>
      </c>
      <c r="E12">
        <f>E11+每年积分汇总1!E12</f>
        <v>0</v>
      </c>
      <c r="F12">
        <f>F11+每年积分汇总1!F12</f>
        <v>0</v>
      </c>
      <c r="G12">
        <f>G11+每年积分汇总1!G12</f>
        <v>0</v>
      </c>
      <c r="H12">
        <f>H11+每年积分汇总1!H12</f>
        <v>0</v>
      </c>
      <c r="I12">
        <f>I11+每年积分汇总1!I12</f>
        <v>0</v>
      </c>
      <c r="J12">
        <f>J11+每年积分汇总1!J12</f>
        <v>0</v>
      </c>
      <c r="K12">
        <f>K11+每年积分汇总1!K12</f>
        <v>0</v>
      </c>
      <c r="L12">
        <f>L11+每年积分汇总1!L12</f>
        <v>1886.3999999999999</v>
      </c>
      <c r="M12">
        <f>M11+每年积分汇总1!M12</f>
        <v>0</v>
      </c>
      <c r="N12">
        <f>N11+每年积分汇总1!N12</f>
        <v>0</v>
      </c>
      <c r="O12">
        <f>O11+每年积分汇总1!O12</f>
        <v>0</v>
      </c>
      <c r="P12">
        <f>P11+每年积分汇总1!P12</f>
        <v>0</v>
      </c>
      <c r="Q12">
        <f>Q11+每年积分汇总1!Q12</f>
        <v>0</v>
      </c>
      <c r="R12">
        <f>R11+每年积分汇总1!R12</f>
        <v>0</v>
      </c>
      <c r="S12">
        <f>S11+每年积分汇总1!S12</f>
        <v>0</v>
      </c>
      <c r="T12">
        <f>T11+每年积分汇总1!T12</f>
        <v>0</v>
      </c>
      <c r="U12">
        <f>U11+每年积分汇总1!U12</f>
        <v>0</v>
      </c>
      <c r="V12">
        <f>V11+每年积分汇总1!V12</f>
        <v>0</v>
      </c>
      <c r="W12">
        <f>W11+每年积分汇总1!W12</f>
        <v>0</v>
      </c>
      <c r="X12">
        <f>X11+每年积分汇总1!X12</f>
        <v>0</v>
      </c>
      <c r="Y12">
        <f>Y11+每年积分汇总1!Y12</f>
        <v>0</v>
      </c>
      <c r="Z12">
        <f>Z11+每年积分汇总1!Z12</f>
        <v>0</v>
      </c>
      <c r="AA12">
        <f>AA11+每年积分汇总1!AA12</f>
        <v>10021.339999999998</v>
      </c>
      <c r="AB12">
        <f>AB11+每年积分汇总1!AB12</f>
        <v>0</v>
      </c>
      <c r="AC12">
        <f>AC11+每年积分汇总1!AC12</f>
        <v>0</v>
      </c>
      <c r="AD12">
        <f>AD11+每年积分汇总1!AD12</f>
        <v>0</v>
      </c>
      <c r="AE12">
        <f>AE11+每年积分汇总1!AE12</f>
        <v>0</v>
      </c>
      <c r="AF12">
        <f>AF11+每年积分汇总1!AF12</f>
        <v>0</v>
      </c>
      <c r="AG12">
        <f>AG11+每年积分汇总1!AG12</f>
        <v>0</v>
      </c>
      <c r="AH12">
        <f>AH11+每年积分汇总1!AH12</f>
        <v>0</v>
      </c>
      <c r="AI12">
        <f>AI11+每年积分汇总1!AI12</f>
        <v>0</v>
      </c>
      <c r="AJ12">
        <f>AJ11+每年积分汇总1!AJ12</f>
        <v>0</v>
      </c>
      <c r="AK12">
        <f>AK11+每年积分汇总1!AK12</f>
        <v>0</v>
      </c>
      <c r="AL12">
        <f>AL11+每年积分汇总1!AL12</f>
        <v>0</v>
      </c>
      <c r="AM12">
        <f>AM11+每年积分汇总1!AM12</f>
        <v>0</v>
      </c>
      <c r="AN12">
        <f>AN11+每年积分汇总1!AN12</f>
        <v>0</v>
      </c>
      <c r="AO12">
        <f>AO11+每年积分汇总1!AO12</f>
        <v>0</v>
      </c>
    </row>
    <row r="13" spans="1:41" ht="16.5">
      <c r="A13" s="1">
        <v>1958</v>
      </c>
      <c r="B13">
        <f>B12+每年积分汇总1!B13</f>
        <v>0</v>
      </c>
      <c r="C13">
        <f>C12+每年积分汇总1!C13</f>
        <v>0</v>
      </c>
      <c r="D13">
        <f>D12+每年积分汇总1!D13</f>
        <v>0</v>
      </c>
      <c r="E13">
        <f>E12+每年积分汇总1!E13</f>
        <v>0</v>
      </c>
      <c r="F13">
        <f>F12+每年积分汇总1!F13</f>
        <v>0</v>
      </c>
      <c r="G13">
        <f>G12+每年积分汇总1!G13</f>
        <v>0</v>
      </c>
      <c r="H13">
        <f>H12+每年积分汇总1!H13</f>
        <v>0</v>
      </c>
      <c r="I13">
        <f>I12+每年积分汇总1!I13</f>
        <v>0</v>
      </c>
      <c r="J13">
        <f>J12+每年积分汇总1!J13</f>
        <v>0</v>
      </c>
      <c r="K13">
        <f>K12+每年积分汇总1!K13</f>
        <v>0</v>
      </c>
      <c r="L13">
        <f>L12+每年积分汇总1!L13</f>
        <v>7584.84</v>
      </c>
      <c r="M13">
        <f>M12+每年积分汇总1!M13</f>
        <v>0</v>
      </c>
      <c r="N13">
        <f>N12+每年积分汇总1!N13</f>
        <v>0</v>
      </c>
      <c r="O13">
        <f>O12+每年积分汇总1!O13</f>
        <v>0</v>
      </c>
      <c r="P13">
        <f>P12+每年积分汇总1!P13</f>
        <v>0</v>
      </c>
      <c r="Q13">
        <f>Q12+每年积分汇总1!Q13</f>
        <v>0</v>
      </c>
      <c r="R13">
        <f>R12+每年积分汇总1!R13</f>
        <v>0</v>
      </c>
      <c r="S13">
        <f>S12+每年积分汇总1!S13</f>
        <v>0</v>
      </c>
      <c r="T13">
        <f>T12+每年积分汇总1!T13</f>
        <v>0</v>
      </c>
      <c r="U13">
        <f>U12+每年积分汇总1!U13</f>
        <v>0</v>
      </c>
      <c r="V13">
        <f>V12+每年积分汇总1!V13</f>
        <v>0</v>
      </c>
      <c r="W13">
        <f>W12+每年积分汇总1!W13</f>
        <v>0</v>
      </c>
      <c r="X13">
        <f>X12+每年积分汇总1!X13</f>
        <v>0</v>
      </c>
      <c r="Y13">
        <f>Y12+每年积分汇总1!Y13</f>
        <v>0</v>
      </c>
      <c r="Z13">
        <f>Z12+每年积分汇总1!Z13</f>
        <v>0</v>
      </c>
      <c r="AA13">
        <f>AA12+每年积分汇总1!AA13</f>
        <v>13406.539999999999</v>
      </c>
      <c r="AB13">
        <f>AB12+每年积分汇总1!AB13</f>
        <v>0</v>
      </c>
      <c r="AC13">
        <f>AC12+每年积分汇总1!AC13</f>
        <v>0</v>
      </c>
      <c r="AD13">
        <f>AD12+每年积分汇总1!AD13</f>
        <v>0</v>
      </c>
      <c r="AE13">
        <f>AE12+每年积分汇总1!AE13</f>
        <v>0</v>
      </c>
      <c r="AF13">
        <f>AF12+每年积分汇总1!AF13</f>
        <v>0</v>
      </c>
      <c r="AG13">
        <f>AG12+每年积分汇总1!AG13</f>
        <v>0</v>
      </c>
      <c r="AH13">
        <f>AH12+每年积分汇总1!AH13</f>
        <v>0</v>
      </c>
      <c r="AI13">
        <f>AI12+每年积分汇总1!AI13</f>
        <v>0</v>
      </c>
      <c r="AJ13">
        <f>AJ12+每年积分汇总1!AJ13</f>
        <v>0</v>
      </c>
      <c r="AK13">
        <f>AK12+每年积分汇总1!AK13</f>
        <v>0</v>
      </c>
      <c r="AL13">
        <f>AL12+每年积分汇总1!AL13</f>
        <v>0</v>
      </c>
      <c r="AM13">
        <f>AM12+每年积分汇总1!AM13</f>
        <v>0</v>
      </c>
      <c r="AN13">
        <f>AN12+每年积分汇总1!AN13</f>
        <v>0</v>
      </c>
      <c r="AO13">
        <f>AO12+每年积分汇总1!AO13</f>
        <v>0</v>
      </c>
    </row>
    <row r="14" spans="1:41" ht="16.5">
      <c r="A14" s="1">
        <v>1959</v>
      </c>
      <c r="B14">
        <f>B13+每年积分汇总1!B14</f>
        <v>0</v>
      </c>
      <c r="C14">
        <f>C13+每年积分汇总1!C14</f>
        <v>0</v>
      </c>
      <c r="D14">
        <f>D13+每年积分汇总1!D14</f>
        <v>0</v>
      </c>
      <c r="E14">
        <f>E13+每年积分汇总1!E14</f>
        <v>0</v>
      </c>
      <c r="F14">
        <f>F13+每年积分汇总1!F14</f>
        <v>0</v>
      </c>
      <c r="G14">
        <f>G13+每年积分汇总1!G14</f>
        <v>0</v>
      </c>
      <c r="H14">
        <f>H13+每年积分汇总1!H14</f>
        <v>0</v>
      </c>
      <c r="I14">
        <f>I13+每年积分汇总1!I14</f>
        <v>0</v>
      </c>
      <c r="J14">
        <f>J13+每年积分汇总1!J14</f>
        <v>0</v>
      </c>
      <c r="K14">
        <f>K13+每年积分汇总1!K14</f>
        <v>0</v>
      </c>
      <c r="L14">
        <f>L13+每年积分汇总1!L14</f>
        <v>12067.48</v>
      </c>
      <c r="M14">
        <f>M13+每年积分汇总1!M14</f>
        <v>0</v>
      </c>
      <c r="N14">
        <f>N13+每年积分汇总1!N14</f>
        <v>0</v>
      </c>
      <c r="O14">
        <f>O13+每年积分汇总1!O14</f>
        <v>0</v>
      </c>
      <c r="P14">
        <f>P13+每年积分汇总1!P14</f>
        <v>0</v>
      </c>
      <c r="Q14">
        <f>Q13+每年积分汇总1!Q14</f>
        <v>0</v>
      </c>
      <c r="R14">
        <f>R13+每年积分汇总1!R14</f>
        <v>0</v>
      </c>
      <c r="S14">
        <f>S13+每年积分汇总1!S14</f>
        <v>0</v>
      </c>
      <c r="T14">
        <f>T13+每年积分汇总1!T14</f>
        <v>0</v>
      </c>
      <c r="U14">
        <f>U13+每年积分汇总1!U14</f>
        <v>0</v>
      </c>
      <c r="V14">
        <f>V13+每年积分汇总1!V14</f>
        <v>0</v>
      </c>
      <c r="W14">
        <f>W13+每年积分汇总1!W14</f>
        <v>0</v>
      </c>
      <c r="X14">
        <f>X13+每年积分汇总1!X14</f>
        <v>0</v>
      </c>
      <c r="Y14">
        <f>Y13+每年积分汇总1!Y14</f>
        <v>0</v>
      </c>
      <c r="Z14">
        <f>Z13+每年积分汇总1!Z14</f>
        <v>0</v>
      </c>
      <c r="AA14">
        <f>AA13+每年积分汇总1!AA14</f>
        <v>21501.26</v>
      </c>
      <c r="AB14">
        <f>AB13+每年积分汇总1!AB14</f>
        <v>0</v>
      </c>
      <c r="AC14">
        <f>AC13+每年积分汇总1!AC14</f>
        <v>0</v>
      </c>
      <c r="AD14">
        <f>AD13+每年积分汇总1!AD14</f>
        <v>0</v>
      </c>
      <c r="AE14">
        <f>AE13+每年积分汇总1!AE14</f>
        <v>0</v>
      </c>
      <c r="AF14">
        <f>AF13+每年积分汇总1!AF14</f>
        <v>0</v>
      </c>
      <c r="AG14">
        <f>AG13+每年积分汇总1!AG14</f>
        <v>0</v>
      </c>
      <c r="AH14">
        <f>AH13+每年积分汇总1!AH14</f>
        <v>0</v>
      </c>
      <c r="AI14">
        <f>AI13+每年积分汇总1!AI14</f>
        <v>0</v>
      </c>
      <c r="AJ14">
        <f>AJ13+每年积分汇总1!AJ14</f>
        <v>0</v>
      </c>
      <c r="AK14">
        <f>AK13+每年积分汇总1!AK14</f>
        <v>0</v>
      </c>
      <c r="AL14">
        <f>AL13+每年积分汇总1!AL14</f>
        <v>0</v>
      </c>
      <c r="AM14">
        <f>AM13+每年积分汇总1!AM14</f>
        <v>0</v>
      </c>
      <c r="AN14">
        <f>AN13+每年积分汇总1!AN14</f>
        <v>0</v>
      </c>
      <c r="AO14">
        <f>AO13+每年积分汇总1!AO14</f>
        <v>0</v>
      </c>
    </row>
    <row r="15" spans="1:41" ht="16.5">
      <c r="A15" s="1">
        <v>1960</v>
      </c>
      <c r="B15">
        <f>B14+每年积分汇总1!B15</f>
        <v>0</v>
      </c>
      <c r="C15">
        <f>C14+每年积分汇总1!C15</f>
        <v>0</v>
      </c>
      <c r="D15">
        <f>D14+每年积分汇总1!D15</f>
        <v>0</v>
      </c>
      <c r="E15">
        <f>E14+每年积分汇总1!E15</f>
        <v>12915</v>
      </c>
      <c r="F15">
        <f>F14+每年积分汇总1!F15</f>
        <v>0</v>
      </c>
      <c r="G15">
        <f>G14+每年积分汇总1!G15</f>
        <v>0</v>
      </c>
      <c r="H15">
        <f>H14+每年积分汇总1!H15</f>
        <v>0</v>
      </c>
      <c r="I15">
        <f>I14+每年积分汇总1!I15</f>
        <v>0</v>
      </c>
      <c r="J15">
        <f>J14+每年积分汇总1!J15</f>
        <v>0</v>
      </c>
      <c r="K15">
        <f>K14+每年积分汇总1!K15</f>
        <v>0</v>
      </c>
      <c r="L15">
        <f>L14+每年积分汇总1!L15</f>
        <v>15764.88</v>
      </c>
      <c r="M15">
        <f>M14+每年积分汇总1!M15</f>
        <v>0</v>
      </c>
      <c r="N15">
        <f>N14+每年积分汇总1!N15</f>
        <v>0</v>
      </c>
      <c r="O15">
        <f>O14+每年积分汇总1!O15</f>
        <v>0</v>
      </c>
      <c r="P15">
        <f>P14+每年积分汇总1!P15</f>
        <v>0</v>
      </c>
      <c r="Q15">
        <f>Q14+每年积分汇总1!Q15</f>
        <v>0</v>
      </c>
      <c r="R15">
        <f>R14+每年积分汇总1!R15</f>
        <v>0</v>
      </c>
      <c r="S15">
        <f>S14+每年积分汇总1!S15</f>
        <v>0</v>
      </c>
      <c r="T15">
        <f>T14+每年积分汇总1!T15</f>
        <v>0</v>
      </c>
      <c r="U15">
        <f>U14+每年积分汇总1!U15</f>
        <v>0</v>
      </c>
      <c r="V15">
        <f>V14+每年积分汇总1!V15</f>
        <v>0</v>
      </c>
      <c r="W15">
        <f>W14+每年积分汇总1!W15</f>
        <v>0</v>
      </c>
      <c r="X15">
        <f>X14+每年积分汇总1!X15</f>
        <v>0</v>
      </c>
      <c r="Y15">
        <f>Y14+每年积分汇总1!Y15</f>
        <v>0</v>
      </c>
      <c r="Z15">
        <f>Z14+每年积分汇总1!Z15</f>
        <v>0</v>
      </c>
      <c r="AA15">
        <f>AA14+每年积分汇总1!AA15</f>
        <v>22819.16</v>
      </c>
      <c r="AB15">
        <f>AB14+每年积分汇总1!AB15</f>
        <v>0</v>
      </c>
      <c r="AC15">
        <f>AC14+每年积分汇总1!AC15</f>
        <v>0</v>
      </c>
      <c r="AD15">
        <f>AD14+每年积分汇总1!AD15</f>
        <v>0</v>
      </c>
      <c r="AE15">
        <f>AE14+每年积分汇总1!AE15</f>
        <v>0</v>
      </c>
      <c r="AF15">
        <f>AF14+每年积分汇总1!AF15</f>
        <v>0</v>
      </c>
      <c r="AG15">
        <f>AG14+每年积分汇总1!AG15</f>
        <v>0</v>
      </c>
      <c r="AH15">
        <f>AH14+每年积分汇总1!AH15</f>
        <v>0</v>
      </c>
      <c r="AI15">
        <f>AI14+每年积分汇总1!AI15</f>
        <v>0</v>
      </c>
      <c r="AJ15">
        <f>AJ14+每年积分汇总1!AJ15</f>
        <v>0</v>
      </c>
      <c r="AK15">
        <f>AK14+每年积分汇总1!AK15</f>
        <v>0</v>
      </c>
      <c r="AL15">
        <f>AL14+每年积分汇总1!AL15</f>
        <v>0</v>
      </c>
      <c r="AM15">
        <f>AM14+每年积分汇总1!AM15</f>
        <v>0</v>
      </c>
      <c r="AN15">
        <f>AN14+每年积分汇总1!AN15</f>
        <v>0</v>
      </c>
      <c r="AO15">
        <f>AO14+每年积分汇总1!AO15</f>
        <v>0</v>
      </c>
    </row>
    <row r="16" spans="1:41" ht="16.5">
      <c r="A16" s="1">
        <v>1961</v>
      </c>
      <c r="B16">
        <f>B15+每年积分汇总1!B16</f>
        <v>0</v>
      </c>
      <c r="C16">
        <f>C15+每年积分汇总1!C16</f>
        <v>0</v>
      </c>
      <c r="D16">
        <f>D15+每年积分汇总1!D16</f>
        <v>0</v>
      </c>
      <c r="E16">
        <f>E15+每年积分汇总1!E16</f>
        <v>17579.34</v>
      </c>
      <c r="F16">
        <f>F15+每年积分汇总1!F16</f>
        <v>0</v>
      </c>
      <c r="G16">
        <f>G15+每年积分汇总1!G16</f>
        <v>0</v>
      </c>
      <c r="H16">
        <f>H15+每年积分汇总1!H16</f>
        <v>0</v>
      </c>
      <c r="I16">
        <f>I15+每年积分汇总1!I16</f>
        <v>0</v>
      </c>
      <c r="J16">
        <f>J15+每年积分汇总1!J16</f>
        <v>0</v>
      </c>
      <c r="K16">
        <f>K15+每年积分汇总1!K16</f>
        <v>0</v>
      </c>
      <c r="L16">
        <f>L15+每年积分汇总1!L16</f>
        <v>23206.080000000002</v>
      </c>
      <c r="M16">
        <f>M15+每年积分汇总1!M16</f>
        <v>0</v>
      </c>
      <c r="N16">
        <f>N15+每年积分汇总1!N16</f>
        <v>0</v>
      </c>
      <c r="O16">
        <f>O15+每年积分汇总1!O16</f>
        <v>0</v>
      </c>
      <c r="P16">
        <f>P15+每年积分汇总1!P16</f>
        <v>0</v>
      </c>
      <c r="Q16">
        <f>Q15+每年积分汇总1!Q16</f>
        <v>0</v>
      </c>
      <c r="R16">
        <f>R15+每年积分汇总1!R16</f>
        <v>0</v>
      </c>
      <c r="S16">
        <f>S15+每年积分汇总1!S16</f>
        <v>430.45000000000005</v>
      </c>
      <c r="T16">
        <f>T15+每年积分汇总1!T16</f>
        <v>0</v>
      </c>
      <c r="U16">
        <f>U15+每年积分汇总1!U16</f>
        <v>1471.12</v>
      </c>
      <c r="V16">
        <f>V15+每年积分汇总1!V16</f>
        <v>0</v>
      </c>
      <c r="W16">
        <f>W15+每年积分汇总1!W16</f>
        <v>0</v>
      </c>
      <c r="X16">
        <f>X15+每年积分汇总1!X16</f>
        <v>0</v>
      </c>
      <c r="Y16">
        <f>Y15+每年积分汇总1!Y16</f>
        <v>0</v>
      </c>
      <c r="Z16">
        <f>Z15+每年积分汇总1!Z16</f>
        <v>0</v>
      </c>
      <c r="AA16">
        <f>AA15+每年积分汇总1!AA16</f>
        <v>24222.62</v>
      </c>
      <c r="AB16">
        <f>AB15+每年积分汇总1!AB16</f>
        <v>0</v>
      </c>
      <c r="AC16">
        <f>AC15+每年积分汇总1!AC16</f>
        <v>0</v>
      </c>
      <c r="AD16">
        <f>AD15+每年积分汇总1!AD16</f>
        <v>0</v>
      </c>
      <c r="AE16">
        <f>AE15+每年积分汇总1!AE16</f>
        <v>0</v>
      </c>
      <c r="AF16">
        <f>AF15+每年积分汇总1!AF16</f>
        <v>0</v>
      </c>
      <c r="AG16">
        <f>AG15+每年积分汇总1!AG16</f>
        <v>0</v>
      </c>
      <c r="AH16">
        <f>AH15+每年积分汇总1!AH16</f>
        <v>0</v>
      </c>
      <c r="AI16">
        <f>AI15+每年积分汇总1!AI16</f>
        <v>0</v>
      </c>
      <c r="AJ16">
        <f>AJ15+每年积分汇总1!AJ16</f>
        <v>0</v>
      </c>
      <c r="AK16">
        <f>AK15+每年积分汇总1!AK16</f>
        <v>0</v>
      </c>
      <c r="AL16">
        <f>AL15+每年积分汇总1!AL16</f>
        <v>0</v>
      </c>
      <c r="AM16">
        <f>AM15+每年积分汇总1!AM16</f>
        <v>0</v>
      </c>
      <c r="AN16">
        <f>AN15+每年积分汇总1!AN16</f>
        <v>0</v>
      </c>
      <c r="AO16">
        <f>AO15+每年积分汇总1!AO16</f>
        <v>0</v>
      </c>
    </row>
    <row r="17" spans="1:41" ht="16.5">
      <c r="A17" s="1">
        <v>1962</v>
      </c>
      <c r="B17">
        <f>B16+每年积分汇总1!B17</f>
        <v>0</v>
      </c>
      <c r="C17">
        <f>C16+每年积分汇总1!C17</f>
        <v>0</v>
      </c>
      <c r="D17">
        <f>D16+每年积分汇总1!D17</f>
        <v>0</v>
      </c>
      <c r="E17">
        <f>E16+每年积分汇总1!E17</f>
        <v>25816.260000000002</v>
      </c>
      <c r="F17">
        <f>F16+每年积分汇总1!F17</f>
        <v>0</v>
      </c>
      <c r="G17">
        <f>G16+每年积分汇总1!G17</f>
        <v>0</v>
      </c>
      <c r="H17">
        <f>H16+每年积分汇总1!H17</f>
        <v>0</v>
      </c>
      <c r="I17">
        <f>I16+每年积分汇总1!I17</f>
        <v>0</v>
      </c>
      <c r="J17">
        <f>J16+每年积分汇总1!J17</f>
        <v>0</v>
      </c>
      <c r="K17">
        <f>K16+每年积分汇总1!K17</f>
        <v>0</v>
      </c>
      <c r="L17">
        <f>L16+每年积分汇总1!L17</f>
        <v>34184.58</v>
      </c>
      <c r="M17">
        <f>M16+每年积分汇总1!M17</f>
        <v>0</v>
      </c>
      <c r="N17">
        <f>N16+每年积分汇总1!N17</f>
        <v>0</v>
      </c>
      <c r="O17">
        <f>O16+每年积分汇总1!O17</f>
        <v>0</v>
      </c>
      <c r="P17">
        <f>P16+每年积分汇总1!P17</f>
        <v>0</v>
      </c>
      <c r="Q17">
        <f>Q16+每年积分汇总1!Q17</f>
        <v>0</v>
      </c>
      <c r="R17">
        <f>R16+每年积分汇总1!R17</f>
        <v>0</v>
      </c>
      <c r="S17">
        <f>S16+每年积分汇总1!S17</f>
        <v>1813.53</v>
      </c>
      <c r="T17">
        <f>T16+每年积分汇总1!T17</f>
        <v>0</v>
      </c>
      <c r="U17">
        <f>U16+每年积分汇总1!U17</f>
        <v>4119.12</v>
      </c>
      <c r="V17">
        <f>V16+每年积分汇总1!V17</f>
        <v>0</v>
      </c>
      <c r="W17">
        <f>W16+每年积分汇总1!W17</f>
        <v>0</v>
      </c>
      <c r="X17">
        <f>X16+每年积分汇总1!X17</f>
        <v>0</v>
      </c>
      <c r="Y17">
        <f>Y16+每年积分汇总1!Y17</f>
        <v>0</v>
      </c>
      <c r="Z17">
        <f>Z16+每年积分汇总1!Z17</f>
        <v>0</v>
      </c>
      <c r="AA17">
        <f>AA16+每年积分汇总1!AA17</f>
        <v>24827.62</v>
      </c>
      <c r="AB17">
        <f>AB16+每年积分汇总1!AB17</f>
        <v>0</v>
      </c>
      <c r="AC17">
        <f>AC16+每年积分汇总1!AC17</f>
        <v>0</v>
      </c>
      <c r="AD17">
        <f>AD16+每年积分汇总1!AD17</f>
        <v>0</v>
      </c>
      <c r="AE17">
        <f>AE16+每年积分汇总1!AE17</f>
        <v>0</v>
      </c>
      <c r="AF17">
        <f>AF16+每年积分汇总1!AF17</f>
        <v>0</v>
      </c>
      <c r="AG17">
        <f>AG16+每年积分汇总1!AG17</f>
        <v>0</v>
      </c>
      <c r="AH17">
        <f>AH16+每年积分汇总1!AH17</f>
        <v>0</v>
      </c>
      <c r="AI17">
        <f>AI16+每年积分汇总1!AI17</f>
        <v>0</v>
      </c>
      <c r="AJ17">
        <f>AJ16+每年积分汇总1!AJ17</f>
        <v>0</v>
      </c>
      <c r="AK17">
        <f>AK16+每年积分汇总1!AK17</f>
        <v>0</v>
      </c>
      <c r="AL17">
        <f>AL16+每年积分汇总1!AL17</f>
        <v>0</v>
      </c>
      <c r="AM17">
        <f>AM16+每年积分汇总1!AM17</f>
        <v>0</v>
      </c>
      <c r="AN17">
        <f>AN16+每年积分汇总1!AN17</f>
        <v>0</v>
      </c>
      <c r="AO17">
        <f>AO16+每年积分汇总1!AO17</f>
        <v>0</v>
      </c>
    </row>
    <row r="18" spans="1:41" ht="16.5">
      <c r="A18" s="1">
        <v>1963</v>
      </c>
      <c r="B18">
        <f>B17+每年积分汇总1!B18</f>
        <v>0</v>
      </c>
      <c r="C18">
        <f>C17+每年积分汇总1!C18</f>
        <v>0</v>
      </c>
      <c r="D18">
        <f>D17+每年积分汇总1!D18</f>
        <v>0</v>
      </c>
      <c r="E18">
        <f>E17+每年积分汇总1!E18</f>
        <v>29298.36</v>
      </c>
      <c r="F18">
        <f>F17+每年积分汇总1!F18</f>
        <v>0</v>
      </c>
      <c r="G18">
        <f>G17+每年积分汇总1!G18</f>
        <v>0</v>
      </c>
      <c r="H18">
        <f>H17+每年积分汇总1!H18</f>
        <v>0</v>
      </c>
      <c r="I18">
        <f>I17+每年积分汇总1!I18</f>
        <v>0</v>
      </c>
      <c r="J18">
        <f>J17+每年积分汇总1!J18</f>
        <v>0</v>
      </c>
      <c r="K18">
        <f>K17+每年积分汇总1!K18</f>
        <v>0</v>
      </c>
      <c r="L18">
        <f>L17+每年积分汇总1!L18</f>
        <v>42901.68</v>
      </c>
      <c r="M18">
        <f>M17+每年积分汇总1!M18</f>
        <v>0</v>
      </c>
      <c r="N18">
        <f>N17+每年积分汇总1!N18</f>
        <v>0</v>
      </c>
      <c r="O18">
        <f>O17+每年积分汇总1!O18</f>
        <v>0</v>
      </c>
      <c r="P18">
        <f>P17+每年积分汇总1!P18</f>
        <v>0</v>
      </c>
      <c r="Q18">
        <f>Q17+每年积分汇总1!Q18</f>
        <v>0</v>
      </c>
      <c r="R18">
        <f>R17+每年积分汇总1!R18</f>
        <v>0</v>
      </c>
      <c r="S18">
        <f>S17+每年积分汇总1!S18</f>
        <v>2928.21</v>
      </c>
      <c r="T18">
        <f>T17+每年积分汇总1!T18</f>
        <v>0</v>
      </c>
      <c r="U18">
        <f>U17+每年积分汇总1!U18</f>
        <v>5809.98</v>
      </c>
      <c r="V18">
        <f>V17+每年积分汇总1!V18</f>
        <v>0</v>
      </c>
      <c r="W18">
        <f>W17+每年积分汇总1!W18</f>
        <v>0</v>
      </c>
      <c r="X18">
        <f>X17+每年积分汇总1!X18</f>
        <v>0</v>
      </c>
      <c r="Y18">
        <f>Y17+每年积分汇总1!Y18</f>
        <v>0</v>
      </c>
      <c r="Z18">
        <f>Z17+每年积分汇总1!Z18</f>
        <v>0</v>
      </c>
      <c r="AA18">
        <f>AA17+每年积分汇总1!AA18</f>
        <v>26453.919999999998</v>
      </c>
      <c r="AB18">
        <f>AB17+每年积分汇总1!AB18</f>
        <v>0</v>
      </c>
      <c r="AC18">
        <f>AC17+每年积分汇总1!AC18</f>
        <v>1076.05</v>
      </c>
      <c r="AD18">
        <f>AD17+每年积分汇总1!AD18</f>
        <v>0</v>
      </c>
      <c r="AE18">
        <f>AE17+每年积分汇总1!AE18</f>
        <v>0</v>
      </c>
      <c r="AF18">
        <f>AF17+每年积分汇总1!AF18</f>
        <v>0</v>
      </c>
      <c r="AG18">
        <f>AG17+每年积分汇总1!AG18</f>
        <v>0</v>
      </c>
      <c r="AH18">
        <f>AH17+每年积分汇总1!AH18</f>
        <v>0</v>
      </c>
      <c r="AI18">
        <f>AI17+每年积分汇总1!AI18</f>
        <v>0</v>
      </c>
      <c r="AJ18">
        <f>AJ17+每年积分汇总1!AJ18</f>
        <v>0</v>
      </c>
      <c r="AK18">
        <f>AK17+每年积分汇总1!AK18</f>
        <v>0</v>
      </c>
      <c r="AL18">
        <f>AL17+每年积分汇总1!AL18</f>
        <v>0</v>
      </c>
      <c r="AM18">
        <f>AM17+每年积分汇总1!AM18</f>
        <v>0</v>
      </c>
      <c r="AN18">
        <f>AN17+每年积分汇总1!AN18</f>
        <v>0</v>
      </c>
      <c r="AO18">
        <f>AO17+每年积分汇总1!AO18</f>
        <v>0</v>
      </c>
    </row>
    <row r="19" spans="1:41" ht="16.5">
      <c r="A19" s="1">
        <v>1964</v>
      </c>
      <c r="B19">
        <f>B18+每年积分汇总1!B19</f>
        <v>0</v>
      </c>
      <c r="C19">
        <f>C18+每年积分汇总1!C19</f>
        <v>0</v>
      </c>
      <c r="D19">
        <f>D18+每年积分汇总1!D19</f>
        <v>0</v>
      </c>
      <c r="E19">
        <f>E18+每年积分汇总1!E19</f>
        <v>35589.56</v>
      </c>
      <c r="F19">
        <f>F18+每年积分汇总1!F19</f>
        <v>0</v>
      </c>
      <c r="G19">
        <f>G18+每年积分汇总1!G19</f>
        <v>0</v>
      </c>
      <c r="H19">
        <f>H18+每年积分汇总1!H19</f>
        <v>0</v>
      </c>
      <c r="I19">
        <f>I18+每年积分汇总1!I19</f>
        <v>0</v>
      </c>
      <c r="J19">
        <f>J18+每年积分汇总1!J19</f>
        <v>0</v>
      </c>
      <c r="K19">
        <f>K18+每年积分汇总1!K19</f>
        <v>0</v>
      </c>
      <c r="L19">
        <f>L18+每年积分汇总1!L19</f>
        <v>47292.36</v>
      </c>
      <c r="M19">
        <f>M18+每年积分汇总1!M19</f>
        <v>0</v>
      </c>
      <c r="N19">
        <f>N18+每年积分汇总1!N19</f>
        <v>0</v>
      </c>
      <c r="O19">
        <f>O18+每年积分汇总1!O19</f>
        <v>0</v>
      </c>
      <c r="P19">
        <f>P18+每年积分汇总1!P19</f>
        <v>0</v>
      </c>
      <c r="Q19">
        <f>Q18+每年积分汇总1!Q19</f>
        <v>0</v>
      </c>
      <c r="R19">
        <f>R18+每年积分汇总1!R19</f>
        <v>0</v>
      </c>
      <c r="S19">
        <f>S18+每年积分汇总1!S19</f>
        <v>4131.1100000000006</v>
      </c>
      <c r="T19">
        <f>T18+每年积分汇总1!T19</f>
        <v>0</v>
      </c>
      <c r="U19">
        <f>U18+每年积分汇总1!U19</f>
        <v>18002.7</v>
      </c>
      <c r="V19">
        <f>V18+每年积分汇总1!V19</f>
        <v>0</v>
      </c>
      <c r="W19">
        <f>W18+每年积分汇总1!W19</f>
        <v>0</v>
      </c>
      <c r="X19">
        <f>X18+每年积分汇总1!X19</f>
        <v>0</v>
      </c>
      <c r="Y19">
        <f>Y18+每年积分汇总1!Y19</f>
        <v>0</v>
      </c>
      <c r="Z19">
        <f>Z18+每年积分汇总1!Z19</f>
        <v>0</v>
      </c>
      <c r="AA19">
        <f>AA18+每年积分汇总1!AA19</f>
        <v>27552.1</v>
      </c>
      <c r="AB19">
        <f>AB18+每年积分汇总1!AB19</f>
        <v>0</v>
      </c>
      <c r="AC19">
        <f>AC18+每年积分汇总1!AC19</f>
        <v>2478.4499999999998</v>
      </c>
      <c r="AD19">
        <f>AD18+每年积分汇总1!AD19</f>
        <v>0</v>
      </c>
      <c r="AE19">
        <f>AE18+每年积分汇总1!AE19</f>
        <v>0</v>
      </c>
      <c r="AF19">
        <f>AF18+每年积分汇总1!AF19</f>
        <v>0</v>
      </c>
      <c r="AG19">
        <f>AG18+每年积分汇总1!AG19</f>
        <v>0</v>
      </c>
      <c r="AH19">
        <f>AH18+每年积分汇总1!AH19</f>
        <v>0</v>
      </c>
      <c r="AI19">
        <f>AI18+每年积分汇总1!AI19</f>
        <v>0</v>
      </c>
      <c r="AJ19">
        <f>AJ18+每年积分汇总1!AJ19</f>
        <v>0</v>
      </c>
      <c r="AK19">
        <f>AK18+每年积分汇总1!AK19</f>
        <v>0</v>
      </c>
      <c r="AL19">
        <f>AL18+每年积分汇总1!AL19</f>
        <v>0</v>
      </c>
      <c r="AM19">
        <f>AM18+每年积分汇总1!AM19</f>
        <v>0</v>
      </c>
      <c r="AN19">
        <f>AN18+每年积分汇总1!AN19</f>
        <v>0</v>
      </c>
      <c r="AO19">
        <f>AO18+每年积分汇总1!AO19</f>
        <v>0</v>
      </c>
    </row>
    <row r="20" spans="1:41" ht="16.5">
      <c r="A20" s="1">
        <v>1965</v>
      </c>
      <c r="B20">
        <f>B19+每年积分汇总1!B20</f>
        <v>0</v>
      </c>
      <c r="C20">
        <f>C19+每年积分汇总1!C20</f>
        <v>0</v>
      </c>
      <c r="D20">
        <f>D19+每年积分汇总1!D20</f>
        <v>0</v>
      </c>
      <c r="E20">
        <f>E19+每年积分汇总1!E20</f>
        <v>38393.689999999995</v>
      </c>
      <c r="F20">
        <f>F19+每年积分汇总1!F20</f>
        <v>0</v>
      </c>
      <c r="G20">
        <f>G19+每年积分汇总1!G20</f>
        <v>0</v>
      </c>
      <c r="H20">
        <f>H19+每年积分汇总1!H20</f>
        <v>0</v>
      </c>
      <c r="I20">
        <f>I19+每年积分汇总1!I20</f>
        <v>0</v>
      </c>
      <c r="J20">
        <f>J19+每年积分汇总1!J20</f>
        <v>0</v>
      </c>
      <c r="K20">
        <f>K19+每年积分汇总1!K20</f>
        <v>0</v>
      </c>
      <c r="L20">
        <f>L19+每年积分汇总1!L20</f>
        <v>60066.759999999995</v>
      </c>
      <c r="M20">
        <f>M19+每年积分汇总1!M20</f>
        <v>0</v>
      </c>
      <c r="N20">
        <f>N19+每年积分汇总1!N20</f>
        <v>0</v>
      </c>
      <c r="O20">
        <f>O19+每年积分汇总1!O20</f>
        <v>0</v>
      </c>
      <c r="P20">
        <f>P19+每年积分汇总1!P20</f>
        <v>0</v>
      </c>
      <c r="Q20">
        <f>Q19+每年积分汇总1!Q20</f>
        <v>0</v>
      </c>
      <c r="R20">
        <f>R19+每年积分汇总1!R20</f>
        <v>0</v>
      </c>
      <c r="S20">
        <f>S19+每年积分汇总1!S20</f>
        <v>5790.4100000000008</v>
      </c>
      <c r="T20">
        <f>T19+每年积分汇总1!T20</f>
        <v>0</v>
      </c>
      <c r="U20">
        <f>U19+每年积分汇总1!U20</f>
        <v>20549.099999999999</v>
      </c>
      <c r="V20">
        <f>V19+每年积分汇总1!V20</f>
        <v>0</v>
      </c>
      <c r="W20">
        <f>W19+每年积分汇总1!W20</f>
        <v>0</v>
      </c>
      <c r="X20">
        <f>X19+每年积分汇总1!X20</f>
        <v>0</v>
      </c>
      <c r="Y20">
        <f>Y19+每年积分汇总1!Y20</f>
        <v>0</v>
      </c>
      <c r="Z20">
        <f>Z19+每年积分汇总1!Z20</f>
        <v>0</v>
      </c>
      <c r="AA20">
        <f>AA19+每年积分汇总1!AA20</f>
        <v>27826.959999999999</v>
      </c>
      <c r="AB20">
        <f>AB19+每年积分汇总1!AB20</f>
        <v>0</v>
      </c>
      <c r="AC20">
        <f>AC19+每年积分汇总1!AC20</f>
        <v>3295.7</v>
      </c>
      <c r="AD20">
        <f>AD19+每年积分汇总1!AD20</f>
        <v>0</v>
      </c>
      <c r="AE20">
        <f>AE19+每年积分汇总1!AE20</f>
        <v>0</v>
      </c>
      <c r="AF20">
        <f>AF19+每年积分汇总1!AF20</f>
        <v>0</v>
      </c>
      <c r="AG20">
        <f>AG19+每年积分汇总1!AG20</f>
        <v>0</v>
      </c>
      <c r="AH20">
        <f>AH19+每年积分汇总1!AH20</f>
        <v>0</v>
      </c>
      <c r="AI20">
        <f>AI19+每年积分汇总1!AI20</f>
        <v>0</v>
      </c>
      <c r="AJ20">
        <f>AJ19+每年积分汇总1!AJ20</f>
        <v>0</v>
      </c>
      <c r="AK20">
        <f>AK19+每年积分汇总1!AK20</f>
        <v>0</v>
      </c>
      <c r="AL20">
        <f>AL19+每年积分汇总1!AL20</f>
        <v>0</v>
      </c>
      <c r="AM20">
        <f>AM19+每年积分汇总1!AM20</f>
        <v>0</v>
      </c>
      <c r="AN20">
        <f>AN19+每年积分汇总1!AN20</f>
        <v>0</v>
      </c>
      <c r="AO20">
        <f>AO19+每年积分汇总1!AO20</f>
        <v>0</v>
      </c>
    </row>
    <row r="21" spans="1:41" ht="16.5">
      <c r="A21" s="1">
        <v>1966</v>
      </c>
      <c r="B21">
        <f>B20+每年积分汇总1!B21</f>
        <v>0</v>
      </c>
      <c r="C21">
        <f>C20+每年积分汇总1!C21</f>
        <v>0</v>
      </c>
      <c r="D21">
        <f>D20+每年积分汇总1!D21</f>
        <v>0</v>
      </c>
      <c r="E21">
        <f>E20+每年积分汇总1!E21</f>
        <v>50908.569999999992</v>
      </c>
      <c r="F21">
        <f>F20+每年积分汇总1!F21</f>
        <v>0</v>
      </c>
      <c r="G21">
        <f>G20+每年积分汇总1!G21</f>
        <v>0</v>
      </c>
      <c r="H21">
        <f>H20+每年积分汇总1!H21</f>
        <v>0</v>
      </c>
      <c r="I21">
        <f>I20+每年积分汇总1!I21</f>
        <v>0</v>
      </c>
      <c r="J21">
        <f>J20+每年积分汇总1!J21</f>
        <v>0</v>
      </c>
      <c r="K21">
        <f>K20+每年积分汇总1!K21</f>
        <v>0</v>
      </c>
      <c r="L21">
        <f>L20+每年积分汇总1!L21</f>
        <v>63286.31</v>
      </c>
      <c r="M21">
        <f>M20+每年积分汇总1!M21</f>
        <v>0</v>
      </c>
      <c r="N21">
        <f>N20+每年积分汇总1!N21</f>
        <v>0</v>
      </c>
      <c r="O21">
        <f>O20+每年积分汇总1!O21</f>
        <v>0</v>
      </c>
      <c r="P21">
        <f>P20+每年积分汇总1!P21</f>
        <v>0</v>
      </c>
      <c r="Q21">
        <f>Q20+每年积分汇总1!Q21</f>
        <v>0</v>
      </c>
      <c r="R21">
        <f>R20+每年积分汇总1!R21</f>
        <v>0</v>
      </c>
      <c r="S21">
        <f>S20+每年积分汇总1!S21</f>
        <v>7693.630000000001</v>
      </c>
      <c r="T21">
        <f>T20+每年积分汇总1!T21</f>
        <v>0</v>
      </c>
      <c r="U21">
        <f>U20+每年积分汇总1!U21</f>
        <v>23179.62</v>
      </c>
      <c r="V21">
        <f>V20+每年积分汇总1!V21</f>
        <v>0</v>
      </c>
      <c r="W21">
        <f>W20+每年积分汇总1!W21</f>
        <v>0</v>
      </c>
      <c r="X21">
        <f>X20+每年积分汇总1!X21</f>
        <v>0</v>
      </c>
      <c r="Y21">
        <f>Y20+每年积分汇总1!Y21</f>
        <v>0</v>
      </c>
      <c r="Z21">
        <f>Z20+每年积分汇总1!Z21</f>
        <v>0</v>
      </c>
      <c r="AA21">
        <f>AA20+每年积分汇总1!AA21</f>
        <v>27826.959999999999</v>
      </c>
      <c r="AB21">
        <f>AB20+每年积分汇总1!AB21</f>
        <v>0</v>
      </c>
      <c r="AC21">
        <f>AC20+每年积分汇总1!AC21</f>
        <v>4757</v>
      </c>
      <c r="AD21">
        <f>AD20+每年积分汇总1!AD21</f>
        <v>0</v>
      </c>
      <c r="AE21">
        <f>AE20+每年积分汇总1!AE21</f>
        <v>0</v>
      </c>
      <c r="AF21">
        <f>AF20+每年积分汇总1!AF21</f>
        <v>0</v>
      </c>
      <c r="AG21">
        <f>AG20+每年积分汇总1!AG21</f>
        <v>0</v>
      </c>
      <c r="AH21">
        <f>AH20+每年积分汇总1!AH21</f>
        <v>0</v>
      </c>
      <c r="AI21">
        <f>AI20+每年积分汇总1!AI21</f>
        <v>0</v>
      </c>
      <c r="AJ21">
        <f>AJ20+每年积分汇总1!AJ21</f>
        <v>0</v>
      </c>
      <c r="AK21">
        <f>AK20+每年积分汇总1!AK21</f>
        <v>0</v>
      </c>
      <c r="AL21">
        <f>AL20+每年积分汇总1!AL21</f>
        <v>0</v>
      </c>
      <c r="AM21">
        <f>AM20+每年积分汇总1!AM21</f>
        <v>0</v>
      </c>
      <c r="AN21">
        <f>AN20+每年积分汇总1!AN21</f>
        <v>0</v>
      </c>
      <c r="AO21">
        <f>AO20+每年积分汇总1!AO21</f>
        <v>0</v>
      </c>
    </row>
    <row r="22" spans="1:41" ht="16.5">
      <c r="A22" s="1">
        <v>1967</v>
      </c>
      <c r="B22">
        <f>B21+每年积分汇总1!B22</f>
        <v>0</v>
      </c>
      <c r="C22">
        <f>C21+每年积分汇总1!C22</f>
        <v>0</v>
      </c>
      <c r="D22">
        <f>D21+每年积分汇总1!D22</f>
        <v>0</v>
      </c>
      <c r="E22">
        <f>E21+每年积分汇总1!E22</f>
        <v>70333.37</v>
      </c>
      <c r="F22">
        <f>F21+每年积分汇总1!F22</f>
        <v>0</v>
      </c>
      <c r="G22">
        <f>G21+每年积分汇总1!G22</f>
        <v>0</v>
      </c>
      <c r="H22">
        <f>H21+每年积分汇总1!H22</f>
        <v>0</v>
      </c>
      <c r="I22">
        <f>I21+每年积分汇总1!I22</f>
        <v>0</v>
      </c>
      <c r="J22">
        <f>J21+每年积分汇总1!J22</f>
        <v>0</v>
      </c>
      <c r="K22">
        <f>K21+每年积分汇总1!K22</f>
        <v>0</v>
      </c>
      <c r="L22">
        <f>L21+每年积分汇总1!L22</f>
        <v>63661.88</v>
      </c>
      <c r="M22">
        <f>M21+每年积分汇总1!M22</f>
        <v>0</v>
      </c>
      <c r="N22">
        <f>N21+每年积分汇总1!N22</f>
        <v>0</v>
      </c>
      <c r="O22">
        <f>O21+每年积分汇总1!O22</f>
        <v>0</v>
      </c>
      <c r="P22">
        <f>P21+每年积分汇总1!P22</f>
        <v>0</v>
      </c>
      <c r="Q22">
        <f>Q21+每年积分汇总1!Q22</f>
        <v>0</v>
      </c>
      <c r="R22">
        <f>R21+每年积分汇总1!R22</f>
        <v>0</v>
      </c>
      <c r="S22">
        <f>S21+每年积分汇总1!S22</f>
        <v>8451.2100000000009</v>
      </c>
      <c r="T22">
        <f>T21+每年积分汇总1!T22</f>
        <v>0</v>
      </c>
      <c r="U22">
        <f>U21+每年积分汇总1!U22</f>
        <v>24507.32</v>
      </c>
      <c r="V22">
        <f>V21+每年积分汇总1!V22</f>
        <v>0</v>
      </c>
      <c r="W22">
        <f>W21+每年积分汇总1!W22</f>
        <v>0</v>
      </c>
      <c r="X22">
        <f>X21+每年积分汇总1!X22</f>
        <v>0</v>
      </c>
      <c r="Y22">
        <f>Y21+每年积分汇总1!Y22</f>
        <v>0</v>
      </c>
      <c r="Z22">
        <f>Z21+每年积分汇总1!Z22</f>
        <v>0</v>
      </c>
      <c r="AA22">
        <f>AA21+每年积分汇总1!AA22</f>
        <v>27826.959999999999</v>
      </c>
      <c r="AB22">
        <f>AB21+每年积分汇总1!AB22</f>
        <v>0</v>
      </c>
      <c r="AC22">
        <f>AC21+每年积分汇总1!AC22</f>
        <v>5164.3599999999997</v>
      </c>
      <c r="AD22">
        <f>AD21+每年积分汇总1!AD22</f>
        <v>0</v>
      </c>
      <c r="AE22">
        <f>AE21+每年积分汇总1!AE22</f>
        <v>0</v>
      </c>
      <c r="AF22">
        <f>AF21+每年积分汇总1!AF22</f>
        <v>0</v>
      </c>
      <c r="AG22">
        <f>AG21+每年积分汇总1!AG22</f>
        <v>0</v>
      </c>
      <c r="AH22">
        <f>AH21+每年积分汇总1!AH22</f>
        <v>0</v>
      </c>
      <c r="AI22">
        <f>AI21+每年积分汇总1!AI22</f>
        <v>0</v>
      </c>
      <c r="AJ22">
        <f>AJ21+每年积分汇总1!AJ22</f>
        <v>0</v>
      </c>
      <c r="AK22">
        <f>AK21+每年积分汇总1!AK22</f>
        <v>0</v>
      </c>
      <c r="AL22">
        <f>AL21+每年积分汇总1!AL22</f>
        <v>0</v>
      </c>
      <c r="AM22">
        <f>AM21+每年积分汇总1!AM22</f>
        <v>0</v>
      </c>
      <c r="AN22">
        <f>AN21+每年积分汇总1!AN22</f>
        <v>0</v>
      </c>
      <c r="AO22">
        <f>AO21+每年积分汇总1!AO22</f>
        <v>0</v>
      </c>
    </row>
    <row r="23" spans="1:41" ht="16.5">
      <c r="A23" s="1">
        <v>1968</v>
      </c>
      <c r="B23">
        <f>B22+每年积分汇总1!B23</f>
        <v>0</v>
      </c>
      <c r="C23">
        <f>C22+每年积分汇总1!C23</f>
        <v>0</v>
      </c>
      <c r="D23">
        <f>D22+每年积分汇总1!D23</f>
        <v>0</v>
      </c>
      <c r="E23">
        <f>E22+每年积分汇总1!E23</f>
        <v>83294.989999999991</v>
      </c>
      <c r="F23">
        <f>F22+每年积分汇总1!F23</f>
        <v>0</v>
      </c>
      <c r="G23">
        <f>G22+每年积分汇总1!G23</f>
        <v>0</v>
      </c>
      <c r="H23">
        <f>H22+每年积分汇总1!H23</f>
        <v>0</v>
      </c>
      <c r="I23">
        <f>I22+每年积分汇总1!I23</f>
        <v>0</v>
      </c>
      <c r="J23">
        <f>J22+每年积分汇总1!J23</f>
        <v>0</v>
      </c>
      <c r="K23">
        <f>K22+每年积分汇总1!K23</f>
        <v>0</v>
      </c>
      <c r="L23">
        <f>L22+每年积分汇总1!L23</f>
        <v>65529.38</v>
      </c>
      <c r="M23">
        <f>M22+每年积分汇总1!M23</f>
        <v>0</v>
      </c>
      <c r="N23">
        <f>N22+每年积分汇总1!N23</f>
        <v>0</v>
      </c>
      <c r="O23">
        <f>O22+每年积分汇总1!O23</f>
        <v>0</v>
      </c>
      <c r="P23">
        <f>P22+每年积分汇总1!P23</f>
        <v>0</v>
      </c>
      <c r="Q23">
        <f>Q22+每年积分汇总1!Q23</f>
        <v>0</v>
      </c>
      <c r="R23">
        <f>R22+每年积分汇总1!R23</f>
        <v>0</v>
      </c>
      <c r="S23">
        <f>S22+每年积分汇总1!S23</f>
        <v>9274.43</v>
      </c>
      <c r="T23">
        <f>T22+每年积分汇总1!T23</f>
        <v>0</v>
      </c>
      <c r="U23">
        <f>U22+每年积分汇总1!U23</f>
        <v>25161.68</v>
      </c>
      <c r="V23">
        <f>V22+每年积分汇总1!V23</f>
        <v>0</v>
      </c>
      <c r="W23">
        <f>W22+每年积分汇总1!W23</f>
        <v>0</v>
      </c>
      <c r="X23">
        <f>X22+每年积分汇总1!X23</f>
        <v>0</v>
      </c>
      <c r="Y23">
        <f>Y22+每年积分汇总1!Y23</f>
        <v>0</v>
      </c>
      <c r="Z23">
        <f>Z22+每年积分汇总1!Z23</f>
        <v>0</v>
      </c>
      <c r="AA23">
        <f>AA22+每年积分汇总1!AA23</f>
        <v>27826.959999999999</v>
      </c>
      <c r="AB23">
        <f>AB22+每年积分汇总1!AB23</f>
        <v>0</v>
      </c>
      <c r="AC23">
        <f>AC22+每年积分汇总1!AC23</f>
        <v>7815.9599999999991</v>
      </c>
      <c r="AD23">
        <f>AD22+每年积分汇总1!AD23</f>
        <v>0</v>
      </c>
      <c r="AE23">
        <f>AE22+每年积分汇总1!AE23</f>
        <v>0</v>
      </c>
      <c r="AF23">
        <f>AF22+每年积分汇总1!AF23</f>
        <v>0</v>
      </c>
      <c r="AG23">
        <f>AG22+每年积分汇总1!AG23</f>
        <v>0</v>
      </c>
      <c r="AH23">
        <f>AH22+每年积分汇总1!AH23</f>
        <v>0</v>
      </c>
      <c r="AI23">
        <f>AI22+每年积分汇总1!AI23</f>
        <v>0</v>
      </c>
      <c r="AJ23">
        <f>AJ22+每年积分汇总1!AJ23</f>
        <v>0</v>
      </c>
      <c r="AK23">
        <f>AK22+每年积分汇总1!AK23</f>
        <v>0</v>
      </c>
      <c r="AL23">
        <f>AL22+每年积分汇总1!AL23</f>
        <v>0</v>
      </c>
      <c r="AM23">
        <f>AM22+每年积分汇总1!AM23</f>
        <v>0</v>
      </c>
      <c r="AN23">
        <f>AN22+每年积分汇总1!AN23</f>
        <v>0</v>
      </c>
      <c r="AO23">
        <f>AO22+每年积分汇总1!AO23</f>
        <v>0</v>
      </c>
    </row>
    <row r="24" spans="1:41" ht="16.5">
      <c r="A24" s="1">
        <v>1969</v>
      </c>
      <c r="B24">
        <f>B23+每年积分汇总1!B24</f>
        <v>0</v>
      </c>
      <c r="C24">
        <f>C23+每年积分汇总1!C24</f>
        <v>0</v>
      </c>
      <c r="D24">
        <f>D23+每年积分汇总1!D24</f>
        <v>0</v>
      </c>
      <c r="E24">
        <f>E23+每年积分汇总1!E24</f>
        <v>85451.93</v>
      </c>
      <c r="F24">
        <f>F23+每年积分汇总1!F24</f>
        <v>0</v>
      </c>
      <c r="G24">
        <f>G23+每年积分汇总1!G24</f>
        <v>0</v>
      </c>
      <c r="H24">
        <f>H23+每年积分汇总1!H24</f>
        <v>0</v>
      </c>
      <c r="I24">
        <f>I23+每年积分汇总1!I24</f>
        <v>0</v>
      </c>
      <c r="J24">
        <f>J23+每年积分汇总1!J24</f>
        <v>0</v>
      </c>
      <c r="K24">
        <f>K23+每年积分汇总1!K24</f>
        <v>0</v>
      </c>
      <c r="L24">
        <f>L23+每年积分汇总1!L24</f>
        <v>67716.259999999995</v>
      </c>
      <c r="M24">
        <f>M23+每年积分汇总1!M24</f>
        <v>0</v>
      </c>
      <c r="N24">
        <f>N23+每年积分汇总1!N24</f>
        <v>0</v>
      </c>
      <c r="O24">
        <f>O23+每年积分汇总1!O24</f>
        <v>0</v>
      </c>
      <c r="P24">
        <f>P23+每年积分汇总1!P24</f>
        <v>0</v>
      </c>
      <c r="Q24">
        <f>Q23+每年积分汇总1!Q24</f>
        <v>0</v>
      </c>
      <c r="R24">
        <f>R23+每年积分汇总1!R24</f>
        <v>0</v>
      </c>
      <c r="S24">
        <f>S23+每年积分汇总1!S24</f>
        <v>17652.89</v>
      </c>
      <c r="T24">
        <f>T23+每年积分汇总1!T24</f>
        <v>0</v>
      </c>
      <c r="U24">
        <f>U23+每年积分汇总1!U24</f>
        <v>26373.760000000002</v>
      </c>
      <c r="V24">
        <f>V23+每年积分汇总1!V24</f>
        <v>0</v>
      </c>
      <c r="W24">
        <f>W23+每年积分汇总1!W24</f>
        <v>0</v>
      </c>
      <c r="X24">
        <f>X23+每年积分汇总1!X24</f>
        <v>0</v>
      </c>
      <c r="Y24">
        <f>Y23+每年积分汇总1!Y24</f>
        <v>0</v>
      </c>
      <c r="Z24">
        <f>Z23+每年积分汇总1!Z24</f>
        <v>0</v>
      </c>
      <c r="AA24">
        <f>AA23+每年积分汇总1!AA24</f>
        <v>27826.959999999999</v>
      </c>
      <c r="AB24">
        <f>AB23+每年积分汇总1!AB24</f>
        <v>0</v>
      </c>
      <c r="AC24">
        <f>AC23+每年积分汇总1!AC24</f>
        <v>10373.959999999999</v>
      </c>
      <c r="AD24">
        <f>AD23+每年积分汇总1!AD24</f>
        <v>0</v>
      </c>
      <c r="AE24">
        <f>AE23+每年积分汇总1!AE24</f>
        <v>0</v>
      </c>
      <c r="AF24">
        <f>AF23+每年积分汇总1!AF24</f>
        <v>0</v>
      </c>
      <c r="AG24">
        <f>AG23+每年积分汇总1!AG24</f>
        <v>0</v>
      </c>
      <c r="AH24">
        <f>AH23+每年积分汇总1!AH24</f>
        <v>0</v>
      </c>
      <c r="AI24">
        <f>AI23+每年积分汇总1!AI24</f>
        <v>0</v>
      </c>
      <c r="AJ24">
        <f>AJ23+每年积分汇总1!AJ24</f>
        <v>0</v>
      </c>
      <c r="AK24">
        <f>AK23+每年积分汇总1!AK24</f>
        <v>0</v>
      </c>
      <c r="AL24">
        <f>AL23+每年积分汇总1!AL24</f>
        <v>0</v>
      </c>
      <c r="AM24">
        <f>AM23+每年积分汇总1!AM24</f>
        <v>0</v>
      </c>
      <c r="AN24">
        <f>AN23+每年积分汇总1!AN24</f>
        <v>0</v>
      </c>
      <c r="AO24">
        <f>AO23+每年积分汇总1!AO24</f>
        <v>0</v>
      </c>
    </row>
    <row r="25" spans="1:41" ht="16.5">
      <c r="A25" s="1">
        <v>1970</v>
      </c>
      <c r="B25">
        <f>B24+每年积分汇总1!B25</f>
        <v>0</v>
      </c>
      <c r="C25">
        <f>C24+每年积分汇总1!C25</f>
        <v>0</v>
      </c>
      <c r="D25">
        <f>D24+每年积分汇总1!D25</f>
        <v>862.2</v>
      </c>
      <c r="E25">
        <f>E24+每年积分汇总1!E25</f>
        <v>85889.01999999999</v>
      </c>
      <c r="F25">
        <f>F24+每年积分汇总1!F25</f>
        <v>0</v>
      </c>
      <c r="G25">
        <f>G24+每年积分汇总1!G25</f>
        <v>0</v>
      </c>
      <c r="H25">
        <f>H24+每年积分汇总1!H25</f>
        <v>0</v>
      </c>
      <c r="I25">
        <f>I24+每年积分汇总1!I25</f>
        <v>0</v>
      </c>
      <c r="J25">
        <f>J24+每年积分汇总1!J25</f>
        <v>0</v>
      </c>
      <c r="K25">
        <f>K24+每年积分汇总1!K25</f>
        <v>0</v>
      </c>
      <c r="L25">
        <f>L24+每年积分汇总1!L25</f>
        <v>67716.259999999995</v>
      </c>
      <c r="M25">
        <f>M24+每年积分汇总1!M25</f>
        <v>0</v>
      </c>
      <c r="N25">
        <f>N24+每年积分汇总1!N25</f>
        <v>0</v>
      </c>
      <c r="O25">
        <f>O24+每年积分汇总1!O25</f>
        <v>0</v>
      </c>
      <c r="P25">
        <f>P24+每年积分汇总1!P25</f>
        <v>0</v>
      </c>
      <c r="Q25">
        <f>Q24+每年积分汇总1!Q25</f>
        <v>0</v>
      </c>
      <c r="R25">
        <f>R24+每年积分汇总1!R25</f>
        <v>0</v>
      </c>
      <c r="S25">
        <f>S24+每年积分汇总1!S25</f>
        <v>21860.989999999998</v>
      </c>
      <c r="T25">
        <f>T24+每年积分汇总1!T25</f>
        <v>0</v>
      </c>
      <c r="U25">
        <f>U24+每年积分汇总1!U25</f>
        <v>26640.36</v>
      </c>
      <c r="V25">
        <f>V24+每年积分汇总1!V25</f>
        <v>0</v>
      </c>
      <c r="W25">
        <f>W24+每年积分汇总1!W25</f>
        <v>0</v>
      </c>
      <c r="X25">
        <f>X24+每年积分汇总1!X25</f>
        <v>0</v>
      </c>
      <c r="Y25">
        <f>Y24+每年积分汇总1!Y25</f>
        <v>0</v>
      </c>
      <c r="Z25">
        <f>Z24+每年积分汇总1!Z25</f>
        <v>0</v>
      </c>
      <c r="AA25">
        <f>AA24+每年积分汇总1!AA25</f>
        <v>27826.959999999999</v>
      </c>
      <c r="AB25">
        <f>AB24+每年积分汇总1!AB25</f>
        <v>0</v>
      </c>
      <c r="AC25">
        <f>AC24+每年积分汇总1!AC25</f>
        <v>10605.96</v>
      </c>
      <c r="AD25">
        <f>AD24+每年积分汇总1!AD25</f>
        <v>0</v>
      </c>
      <c r="AE25">
        <f>AE24+每年积分汇总1!AE25</f>
        <v>0</v>
      </c>
      <c r="AF25">
        <f>AF24+每年积分汇总1!AF25</f>
        <v>0</v>
      </c>
      <c r="AG25">
        <f>AG24+每年积分汇总1!AG25</f>
        <v>0</v>
      </c>
      <c r="AH25">
        <f>AH24+每年积分汇总1!AH25</f>
        <v>0</v>
      </c>
      <c r="AI25">
        <f>AI24+每年积分汇总1!AI25</f>
        <v>0</v>
      </c>
      <c r="AJ25">
        <f>AJ24+每年积分汇总1!AJ25</f>
        <v>0</v>
      </c>
      <c r="AK25">
        <f>AK24+每年积分汇总1!AK25</f>
        <v>0</v>
      </c>
      <c r="AL25">
        <f>AL24+每年积分汇总1!AL25</f>
        <v>0</v>
      </c>
      <c r="AM25">
        <f>AM24+每年积分汇总1!AM25</f>
        <v>0</v>
      </c>
      <c r="AN25">
        <f>AN24+每年积分汇总1!AN25</f>
        <v>0</v>
      </c>
      <c r="AO25">
        <f>AO24+每年积分汇总1!AO25</f>
        <v>0</v>
      </c>
    </row>
    <row r="26" spans="1:41" ht="16.5">
      <c r="A26" s="1">
        <v>1971</v>
      </c>
      <c r="B26">
        <f>B25+每年积分汇总1!B26</f>
        <v>0</v>
      </c>
      <c r="C26">
        <f>C25+每年积分汇总1!C26</f>
        <v>0</v>
      </c>
      <c r="D26">
        <f>D25+每年积分汇总1!D26</f>
        <v>30133.800000000003</v>
      </c>
      <c r="E26">
        <f>E25+每年积分汇总1!E26</f>
        <v>87232.959999999992</v>
      </c>
      <c r="F26">
        <f>F25+每年积分汇总1!F26</f>
        <v>0</v>
      </c>
      <c r="G26">
        <f>G25+每年积分汇总1!G26</f>
        <v>0</v>
      </c>
      <c r="H26">
        <f>H25+每年积分汇总1!H26</f>
        <v>0</v>
      </c>
      <c r="I26">
        <f>I25+每年积分汇总1!I26</f>
        <v>0</v>
      </c>
      <c r="J26">
        <f>J25+每年积分汇总1!J26</f>
        <v>0</v>
      </c>
      <c r="K26">
        <f>K25+每年积分汇总1!K26</f>
        <v>0</v>
      </c>
      <c r="L26">
        <f>L25+每年积分汇总1!L26</f>
        <v>67716.259999999995</v>
      </c>
      <c r="M26">
        <f>M25+每年积分汇总1!M26</f>
        <v>0</v>
      </c>
      <c r="N26">
        <f>N25+每年积分汇总1!N26</f>
        <v>0</v>
      </c>
      <c r="O26">
        <f>O25+每年积分汇总1!O26</f>
        <v>0</v>
      </c>
      <c r="P26">
        <f>P25+每年积分汇总1!P26</f>
        <v>0</v>
      </c>
      <c r="Q26">
        <f>Q25+每年积分汇总1!Q26</f>
        <v>0</v>
      </c>
      <c r="R26">
        <f>R25+每年积分汇总1!R26</f>
        <v>0</v>
      </c>
      <c r="S26">
        <f>S25+每年积分汇总1!S26</f>
        <v>22833.89</v>
      </c>
      <c r="T26">
        <f>T25+每年积分汇总1!T26</f>
        <v>0</v>
      </c>
      <c r="U26">
        <f>U25+每年积分汇总1!U26</f>
        <v>29694.31</v>
      </c>
      <c r="V26">
        <f>V25+每年积分汇总1!V26</f>
        <v>0</v>
      </c>
      <c r="W26">
        <f>W25+每年积分汇总1!W26</f>
        <v>0</v>
      </c>
      <c r="X26">
        <f>X25+每年积分汇总1!X26</f>
        <v>0</v>
      </c>
      <c r="Y26">
        <f>Y25+每年积分汇总1!Y26</f>
        <v>0</v>
      </c>
      <c r="Z26">
        <f>Z25+每年积分汇总1!Z26</f>
        <v>0</v>
      </c>
      <c r="AA26">
        <f>AA25+每年积分汇总1!AA26</f>
        <v>27826.959999999999</v>
      </c>
      <c r="AB26">
        <f>AB25+每年积分汇总1!AB26</f>
        <v>0</v>
      </c>
      <c r="AC26">
        <f>AC25+每年积分汇总1!AC26</f>
        <v>11167.56</v>
      </c>
      <c r="AD26">
        <f>AD25+每年积分汇总1!AD26</f>
        <v>0</v>
      </c>
      <c r="AE26">
        <f>AE25+每年积分汇总1!AE26</f>
        <v>0</v>
      </c>
      <c r="AF26">
        <f>AF25+每年积分汇总1!AF26</f>
        <v>0</v>
      </c>
      <c r="AG26">
        <f>AG25+每年积分汇总1!AG26</f>
        <v>0</v>
      </c>
      <c r="AH26">
        <f>AH25+每年积分汇总1!AH26</f>
        <v>0</v>
      </c>
      <c r="AI26">
        <f>AI25+每年积分汇总1!AI26</f>
        <v>0</v>
      </c>
      <c r="AJ26">
        <f>AJ25+每年积分汇总1!AJ26</f>
        <v>0</v>
      </c>
      <c r="AK26">
        <f>AK25+每年积分汇总1!AK26</f>
        <v>0</v>
      </c>
      <c r="AL26">
        <f>AL25+每年积分汇总1!AL26</f>
        <v>0</v>
      </c>
      <c r="AM26">
        <f>AM25+每年积分汇总1!AM26</f>
        <v>0</v>
      </c>
      <c r="AN26">
        <f>AN25+每年积分汇总1!AN26</f>
        <v>0</v>
      </c>
      <c r="AO26">
        <f>AO25+每年积分汇总1!AO26</f>
        <v>0</v>
      </c>
    </row>
    <row r="27" spans="1:41" ht="16.5">
      <c r="A27" s="1">
        <v>1972</v>
      </c>
      <c r="B27">
        <f>B26+每年积分汇总1!B27</f>
        <v>0</v>
      </c>
      <c r="C27">
        <f>C26+每年积分汇总1!C27</f>
        <v>0</v>
      </c>
      <c r="D27">
        <f>D26+每年积分汇总1!D27</f>
        <v>43100.520000000004</v>
      </c>
      <c r="E27">
        <f>E26+每年积分汇总1!E27</f>
        <v>97901.759999999995</v>
      </c>
      <c r="F27">
        <f>F26+每年积分汇总1!F27</f>
        <v>0</v>
      </c>
      <c r="G27">
        <f>G26+每年积分汇总1!G27</f>
        <v>0</v>
      </c>
      <c r="H27">
        <f>H26+每年积分汇总1!H27</f>
        <v>0</v>
      </c>
      <c r="I27">
        <f>I26+每年积分汇总1!I27</f>
        <v>0</v>
      </c>
      <c r="J27">
        <f>J26+每年积分汇总1!J27</f>
        <v>919.37</v>
      </c>
      <c r="K27">
        <f>K26+每年积分汇总1!K27</f>
        <v>0</v>
      </c>
      <c r="L27">
        <f>L26+每年积分汇总1!L27</f>
        <v>67716.259999999995</v>
      </c>
      <c r="M27">
        <f>M26+每年积分汇总1!M27</f>
        <v>0</v>
      </c>
      <c r="N27">
        <f>N26+每年积分汇总1!N27</f>
        <v>0</v>
      </c>
      <c r="O27">
        <f>O26+每年积分汇总1!O27</f>
        <v>0</v>
      </c>
      <c r="P27">
        <f>P26+每年积分汇总1!P27</f>
        <v>0</v>
      </c>
      <c r="Q27">
        <f>Q26+每年积分汇总1!Q27</f>
        <v>0</v>
      </c>
      <c r="R27">
        <f>R26+每年积分汇总1!R27</f>
        <v>0</v>
      </c>
      <c r="S27">
        <f>S26+每年积分汇总1!S27</f>
        <v>27498.86</v>
      </c>
      <c r="T27">
        <f>T26+每年积分汇总1!T27</f>
        <v>0</v>
      </c>
      <c r="U27">
        <f>U26+每年积分汇总1!U27</f>
        <v>30042.280000000002</v>
      </c>
      <c r="V27">
        <f>V26+每年积分汇总1!V27</f>
        <v>0</v>
      </c>
      <c r="W27">
        <f>W26+每年积分汇总1!W27</f>
        <v>0</v>
      </c>
      <c r="X27">
        <f>X26+每年积分汇总1!X27</f>
        <v>0</v>
      </c>
      <c r="Y27">
        <f>Y26+每年积分汇总1!Y27</f>
        <v>0</v>
      </c>
      <c r="Z27">
        <f>Z26+每年积分汇总1!Z27</f>
        <v>0</v>
      </c>
      <c r="AA27">
        <f>AA26+每年积分汇总1!AA27</f>
        <v>27826.959999999999</v>
      </c>
      <c r="AB27">
        <f>AB26+每年积分汇总1!AB27</f>
        <v>0</v>
      </c>
      <c r="AC27">
        <f>AC26+每年积分汇总1!AC27</f>
        <v>12721.83</v>
      </c>
      <c r="AD27">
        <f>AD26+每年积分汇总1!AD27</f>
        <v>0</v>
      </c>
      <c r="AE27">
        <f>AE26+每年积分汇总1!AE27</f>
        <v>0</v>
      </c>
      <c r="AF27">
        <f>AF26+每年积分汇总1!AF27</f>
        <v>0</v>
      </c>
      <c r="AG27">
        <f>AG26+每年积分汇总1!AG27</f>
        <v>0</v>
      </c>
      <c r="AH27">
        <f>AH26+每年积分汇总1!AH27</f>
        <v>0</v>
      </c>
      <c r="AI27">
        <f>AI26+每年积分汇总1!AI27</f>
        <v>0</v>
      </c>
      <c r="AJ27">
        <f>AJ26+每年积分汇总1!AJ27</f>
        <v>0</v>
      </c>
      <c r="AK27">
        <f>AK26+每年积分汇总1!AK27</f>
        <v>0</v>
      </c>
      <c r="AL27">
        <f>AL26+每年积分汇总1!AL27</f>
        <v>0</v>
      </c>
      <c r="AM27">
        <f>AM26+每年积分汇总1!AM27</f>
        <v>0</v>
      </c>
      <c r="AN27">
        <f>AN26+每年积分汇总1!AN27</f>
        <v>0</v>
      </c>
      <c r="AO27">
        <f>AO26+每年积分汇总1!AO27</f>
        <v>0</v>
      </c>
    </row>
    <row r="28" spans="1:41" ht="16.5">
      <c r="A28" s="1">
        <v>1973</v>
      </c>
      <c r="B28">
        <f>B27+每年积分汇总1!B28</f>
        <v>0</v>
      </c>
      <c r="C28">
        <f>C27+每年积分汇总1!C28</f>
        <v>0</v>
      </c>
      <c r="D28">
        <f>D27+每年积分汇总1!D28</f>
        <v>44671.320000000007</v>
      </c>
      <c r="E28">
        <f>E27+每年积分汇总1!E28</f>
        <v>100604.44</v>
      </c>
      <c r="F28">
        <f>F27+每年积分汇总1!F28</f>
        <v>0</v>
      </c>
      <c r="G28">
        <f>G27+每年积分汇总1!G28</f>
        <v>0</v>
      </c>
      <c r="H28">
        <f>H27+每年积分汇总1!H28</f>
        <v>0</v>
      </c>
      <c r="I28">
        <f>I27+每年积分汇总1!I28</f>
        <v>0</v>
      </c>
      <c r="J28">
        <f>J27+每年积分汇总1!J28</f>
        <v>2912.81</v>
      </c>
      <c r="K28">
        <f>K27+每年积分汇总1!K28</f>
        <v>0</v>
      </c>
      <c r="L28">
        <f>L27+每年积分汇总1!L28</f>
        <v>67716.259999999995</v>
      </c>
      <c r="M28">
        <f>M27+每年积分汇总1!M28</f>
        <v>0</v>
      </c>
      <c r="N28">
        <f>N27+每年积分汇总1!N28</f>
        <v>0</v>
      </c>
      <c r="O28">
        <f>O27+每年积分汇总1!O28</f>
        <v>0</v>
      </c>
      <c r="P28">
        <f>P27+每年积分汇总1!P28</f>
        <v>0</v>
      </c>
      <c r="Q28">
        <f>Q27+每年积分汇总1!Q28</f>
        <v>0</v>
      </c>
      <c r="R28">
        <f>R27+每年积分汇总1!R28</f>
        <v>0</v>
      </c>
      <c r="S28">
        <f>S27+每年积分汇总1!S28</f>
        <v>29463.920000000002</v>
      </c>
      <c r="T28">
        <f>T27+每年积分汇总1!T28</f>
        <v>0</v>
      </c>
      <c r="U28">
        <f>U27+每年积分汇总1!U28</f>
        <v>30445.460000000003</v>
      </c>
      <c r="V28">
        <f>V27+每年积分汇总1!V28</f>
        <v>0</v>
      </c>
      <c r="W28">
        <f>W27+每年积分汇总1!W28</f>
        <v>0</v>
      </c>
      <c r="X28">
        <f>X27+每年积分汇总1!X28</f>
        <v>0</v>
      </c>
      <c r="Y28">
        <f>Y27+每年积分汇总1!Y28</f>
        <v>0</v>
      </c>
      <c r="Z28">
        <f>Z27+每年积分汇总1!Z28</f>
        <v>0</v>
      </c>
      <c r="AA28">
        <f>AA27+每年积分汇总1!AA28</f>
        <v>27826.959999999999</v>
      </c>
      <c r="AB28">
        <f>AB27+每年积分汇总1!AB28</f>
        <v>0</v>
      </c>
      <c r="AC28">
        <f>AC27+每年积分汇总1!AC28</f>
        <v>14250.66</v>
      </c>
      <c r="AD28">
        <f>AD27+每年积分汇总1!AD28</f>
        <v>0</v>
      </c>
      <c r="AE28">
        <f>AE27+每年积分汇总1!AE28</f>
        <v>0</v>
      </c>
      <c r="AF28">
        <f>AF27+每年积分汇总1!AF28</f>
        <v>0</v>
      </c>
      <c r="AG28">
        <f>AG27+每年积分汇总1!AG28</f>
        <v>0</v>
      </c>
      <c r="AH28">
        <f>AH27+每年积分汇总1!AH28</f>
        <v>0</v>
      </c>
      <c r="AI28">
        <f>AI27+每年积分汇总1!AI28</f>
        <v>0</v>
      </c>
      <c r="AJ28">
        <f>AJ27+每年积分汇总1!AJ28</f>
        <v>0</v>
      </c>
      <c r="AK28">
        <f>AK27+每年积分汇总1!AK28</f>
        <v>0</v>
      </c>
      <c r="AL28">
        <f>AL27+每年积分汇总1!AL28</f>
        <v>0</v>
      </c>
      <c r="AM28">
        <f>AM27+每年积分汇总1!AM28</f>
        <v>0</v>
      </c>
      <c r="AN28">
        <f>AN27+每年积分汇总1!AN28</f>
        <v>0</v>
      </c>
      <c r="AO28">
        <f>AO27+每年积分汇总1!AO28</f>
        <v>0</v>
      </c>
    </row>
    <row r="29" spans="1:41" ht="16.5">
      <c r="A29" s="1">
        <v>1974</v>
      </c>
      <c r="B29">
        <f>B28+每年积分汇总1!B29</f>
        <v>0</v>
      </c>
      <c r="C29">
        <f>C28+每年积分汇总1!C29</f>
        <v>0</v>
      </c>
      <c r="D29">
        <f>D28+每年积分汇总1!D29</f>
        <v>58750.33</v>
      </c>
      <c r="E29">
        <f>E28+每年积分汇总1!E29</f>
        <v>100604.44</v>
      </c>
      <c r="F29">
        <f>F28+每年积分汇总1!F29</f>
        <v>0</v>
      </c>
      <c r="G29">
        <f>G28+每年积分汇总1!G29</f>
        <v>0</v>
      </c>
      <c r="H29">
        <f>H28+每年积分汇总1!H29</f>
        <v>0</v>
      </c>
      <c r="I29">
        <f>I28+每年积分汇总1!I29</f>
        <v>0</v>
      </c>
      <c r="J29">
        <f>J28+每年积分汇总1!J29</f>
        <v>17788.810000000001</v>
      </c>
      <c r="K29">
        <f>K28+每年积分汇总1!K29</f>
        <v>0</v>
      </c>
      <c r="L29">
        <f>L28+每年积分汇总1!L29</f>
        <v>67716.259999999995</v>
      </c>
      <c r="M29">
        <f>M28+每年积分汇总1!M29</f>
        <v>0</v>
      </c>
      <c r="N29">
        <f>N28+每年积分汇总1!N29</f>
        <v>0</v>
      </c>
      <c r="O29">
        <f>O28+每年积分汇总1!O29</f>
        <v>0</v>
      </c>
      <c r="P29">
        <f>P28+每年积分汇总1!P29</f>
        <v>0</v>
      </c>
      <c r="Q29">
        <f>Q28+每年积分汇总1!Q29</f>
        <v>0</v>
      </c>
      <c r="R29">
        <f>R28+每年积分汇总1!R29</f>
        <v>0</v>
      </c>
      <c r="S29">
        <f>S28+每年积分汇总1!S29</f>
        <v>29550.800000000003</v>
      </c>
      <c r="T29">
        <f>T28+每年积分汇总1!T29</f>
        <v>0</v>
      </c>
      <c r="U29">
        <f>U28+每年积分汇总1!U29</f>
        <v>30732.190000000002</v>
      </c>
      <c r="V29">
        <f>V28+每年积分汇总1!V29</f>
        <v>0</v>
      </c>
      <c r="W29">
        <f>W28+每年积分汇总1!W29</f>
        <v>0</v>
      </c>
      <c r="X29">
        <f>X28+每年积分汇总1!X29</f>
        <v>0</v>
      </c>
      <c r="Y29">
        <f>Y28+每年积分汇总1!Y29</f>
        <v>0</v>
      </c>
      <c r="Z29">
        <f>Z28+每年积分汇总1!Z29</f>
        <v>0</v>
      </c>
      <c r="AA29">
        <f>AA28+每年积分汇总1!AA29</f>
        <v>27826.959999999999</v>
      </c>
      <c r="AB29">
        <f>AB28+每年积分汇总1!AB29</f>
        <v>0</v>
      </c>
      <c r="AC29">
        <f>AC28+每年积分汇总1!AC29</f>
        <v>23962.11</v>
      </c>
      <c r="AD29">
        <f>AD28+每年积分汇总1!AD29</f>
        <v>0</v>
      </c>
      <c r="AE29">
        <f>AE28+每年积分汇总1!AE29</f>
        <v>0</v>
      </c>
      <c r="AF29">
        <f>AF28+每年积分汇总1!AF29</f>
        <v>0</v>
      </c>
      <c r="AG29">
        <f>AG28+每年积分汇总1!AG29</f>
        <v>0</v>
      </c>
      <c r="AH29">
        <f>AH28+每年积分汇总1!AH29</f>
        <v>0</v>
      </c>
      <c r="AI29">
        <f>AI28+每年积分汇总1!AI29</f>
        <v>0</v>
      </c>
      <c r="AJ29">
        <f>AJ28+每年积分汇总1!AJ29</f>
        <v>0</v>
      </c>
      <c r="AK29">
        <f>AK28+每年积分汇总1!AK29</f>
        <v>0</v>
      </c>
      <c r="AL29">
        <f>AL28+每年积分汇总1!AL29</f>
        <v>0</v>
      </c>
      <c r="AM29">
        <f>AM28+每年积分汇总1!AM29</f>
        <v>0</v>
      </c>
      <c r="AN29">
        <f>AN28+每年积分汇总1!AN29</f>
        <v>0</v>
      </c>
      <c r="AO29">
        <f>AO28+每年积分汇总1!AO29</f>
        <v>0</v>
      </c>
    </row>
    <row r="30" spans="1:41" ht="16.5">
      <c r="A30" s="1">
        <v>1975</v>
      </c>
      <c r="B30">
        <f>B29+每年积分汇总1!B30</f>
        <v>0</v>
      </c>
      <c r="C30">
        <f>C29+每年积分汇总1!C30</f>
        <v>0</v>
      </c>
      <c r="D30">
        <f>D29+每年积分汇总1!D30</f>
        <v>60218.17</v>
      </c>
      <c r="E30">
        <f>E29+每年积分汇总1!E30</f>
        <v>100604.44</v>
      </c>
      <c r="F30">
        <f>F29+每年积分汇总1!F30</f>
        <v>0</v>
      </c>
      <c r="G30">
        <f>G29+每年积分汇总1!G30</f>
        <v>0</v>
      </c>
      <c r="H30">
        <f>H29+每年积分汇总1!H30</f>
        <v>0</v>
      </c>
      <c r="I30">
        <f>I29+每年积分汇总1!I30</f>
        <v>0</v>
      </c>
      <c r="J30">
        <f>J29+每年积分汇总1!J30</f>
        <v>24069.010000000002</v>
      </c>
      <c r="K30">
        <f>K29+每年积分汇总1!K30</f>
        <v>0</v>
      </c>
      <c r="L30">
        <f>L29+每年积分汇总1!L30</f>
        <v>67716.259999999995</v>
      </c>
      <c r="M30">
        <f>M29+每年积分汇总1!M30</f>
        <v>0</v>
      </c>
      <c r="N30">
        <f>N29+每年积分汇总1!N30</f>
        <v>0</v>
      </c>
      <c r="O30">
        <f>O29+每年积分汇总1!O30</f>
        <v>0</v>
      </c>
      <c r="P30">
        <f>P29+每年积分汇总1!P30</f>
        <v>0</v>
      </c>
      <c r="Q30">
        <f>Q29+每年积分汇总1!Q30</f>
        <v>0</v>
      </c>
      <c r="R30">
        <f>R29+每年积分汇总1!R30</f>
        <v>473.62</v>
      </c>
      <c r="S30">
        <f>S29+每年积分汇总1!S30</f>
        <v>29550.800000000003</v>
      </c>
      <c r="T30">
        <f>T29+每年积分汇总1!T30</f>
        <v>0</v>
      </c>
      <c r="U30">
        <f>U29+每年积分汇总1!U30</f>
        <v>30732.190000000002</v>
      </c>
      <c r="V30">
        <f>V29+每年积分汇总1!V30</f>
        <v>0</v>
      </c>
      <c r="W30">
        <f>W29+每年积分汇总1!W30</f>
        <v>0</v>
      </c>
      <c r="X30">
        <f>X29+每年积分汇总1!X30</f>
        <v>0</v>
      </c>
      <c r="Y30">
        <f>Y29+每年积分汇总1!Y30</f>
        <v>0</v>
      </c>
      <c r="Z30">
        <f>Z29+每年积分汇总1!Z30</f>
        <v>0</v>
      </c>
      <c r="AA30">
        <f>AA29+每年积分汇总1!AA30</f>
        <v>27826.959999999999</v>
      </c>
      <c r="AB30">
        <f>AB29+每年积分汇总1!AB30</f>
        <v>0</v>
      </c>
      <c r="AC30">
        <f>AC29+每年积分汇总1!AC30</f>
        <v>24664.89</v>
      </c>
      <c r="AD30">
        <f>AD29+每年积分汇总1!AD30</f>
        <v>0</v>
      </c>
      <c r="AE30">
        <f>AE29+每年积分汇总1!AE30</f>
        <v>0</v>
      </c>
      <c r="AF30">
        <f>AF29+每年积分汇总1!AF30</f>
        <v>0</v>
      </c>
      <c r="AG30">
        <f>AG29+每年积分汇总1!AG30</f>
        <v>0</v>
      </c>
      <c r="AH30">
        <f>AH29+每年积分汇总1!AH30</f>
        <v>0</v>
      </c>
      <c r="AI30">
        <f>AI29+每年积分汇总1!AI30</f>
        <v>0</v>
      </c>
      <c r="AJ30">
        <f>AJ29+每年积分汇总1!AJ30</f>
        <v>0</v>
      </c>
      <c r="AK30">
        <f>AK29+每年积分汇总1!AK30</f>
        <v>0</v>
      </c>
      <c r="AL30">
        <f>AL29+每年积分汇总1!AL30</f>
        <v>0</v>
      </c>
      <c r="AM30">
        <f>AM29+每年积分汇总1!AM30</f>
        <v>0</v>
      </c>
      <c r="AN30">
        <f>AN29+每年积分汇总1!AN30</f>
        <v>0</v>
      </c>
      <c r="AO30">
        <f>AO29+每年积分汇总1!AO30</f>
        <v>0</v>
      </c>
    </row>
    <row r="31" spans="1:41" ht="16.5">
      <c r="A31" s="1">
        <v>1976</v>
      </c>
      <c r="B31">
        <f>B30+每年积分汇总1!B31</f>
        <v>0</v>
      </c>
      <c r="C31">
        <f>C30+每年积分汇总1!C31</f>
        <v>0</v>
      </c>
      <c r="D31">
        <f>D30+每年积分汇总1!D31</f>
        <v>67072.569999999992</v>
      </c>
      <c r="E31">
        <f>E30+每年积分汇总1!E31</f>
        <v>100604.44</v>
      </c>
      <c r="F31">
        <f>F30+每年积分汇总1!F31</f>
        <v>0</v>
      </c>
      <c r="G31">
        <f>G30+每年积分汇总1!G31</f>
        <v>0</v>
      </c>
      <c r="H31">
        <f>H30+每年积分汇总1!H31</f>
        <v>0</v>
      </c>
      <c r="I31">
        <f>I30+每年积分汇总1!I31</f>
        <v>0</v>
      </c>
      <c r="J31">
        <f>J30+每年积分汇总1!J31</f>
        <v>45976.740000000005</v>
      </c>
      <c r="K31">
        <f>K30+每年积分汇总1!K31</f>
        <v>0</v>
      </c>
      <c r="L31">
        <f>L30+每年积分汇总1!L31</f>
        <v>67716.259999999995</v>
      </c>
      <c r="M31">
        <f>M30+每年积分汇总1!M31</f>
        <v>0</v>
      </c>
      <c r="N31">
        <f>N30+每年积分汇总1!N31</f>
        <v>0</v>
      </c>
      <c r="O31">
        <f>O30+每年积分汇总1!O31</f>
        <v>0</v>
      </c>
      <c r="P31">
        <f>P30+每年积分汇总1!P31</f>
        <v>0</v>
      </c>
      <c r="Q31">
        <f>Q30+每年积分汇总1!Q31</f>
        <v>0</v>
      </c>
      <c r="R31">
        <f>R30+每年积分汇总1!R31</f>
        <v>522.34</v>
      </c>
      <c r="S31">
        <f>S30+每年积分汇总1!S31</f>
        <v>29550.800000000003</v>
      </c>
      <c r="T31">
        <f>T30+每年积分汇总1!T31</f>
        <v>0</v>
      </c>
      <c r="U31">
        <f>U30+每年积分汇总1!U31</f>
        <v>30732.190000000002</v>
      </c>
      <c r="V31">
        <f>V30+每年积分汇总1!V31</f>
        <v>0</v>
      </c>
      <c r="W31">
        <f>W30+每年积分汇总1!W31</f>
        <v>0</v>
      </c>
      <c r="X31">
        <f>X30+每年积分汇总1!X31</f>
        <v>0</v>
      </c>
      <c r="Y31">
        <f>Y30+每年积分汇总1!Y31</f>
        <v>0</v>
      </c>
      <c r="Z31">
        <f>Z30+每年积分汇总1!Z31</f>
        <v>0</v>
      </c>
      <c r="AA31">
        <f>AA30+每年积分汇总1!AA31</f>
        <v>27826.959999999999</v>
      </c>
      <c r="AB31">
        <f>AB30+每年积分汇总1!AB31</f>
        <v>0</v>
      </c>
      <c r="AC31">
        <f>AC30+每年积分汇总1!AC31</f>
        <v>26343.09</v>
      </c>
      <c r="AD31">
        <f>AD30+每年积分汇总1!AD31</f>
        <v>0</v>
      </c>
      <c r="AE31">
        <f>AE30+每年积分汇总1!AE31</f>
        <v>0</v>
      </c>
      <c r="AF31">
        <f>AF30+每年积分汇总1!AF31</f>
        <v>0</v>
      </c>
      <c r="AG31">
        <f>AG30+每年积分汇总1!AG31</f>
        <v>0</v>
      </c>
      <c r="AH31">
        <f>AH30+每年积分汇总1!AH31</f>
        <v>0</v>
      </c>
      <c r="AI31">
        <f>AI30+每年积分汇总1!AI31</f>
        <v>0</v>
      </c>
      <c r="AJ31">
        <f>AJ30+每年积分汇总1!AJ31</f>
        <v>0</v>
      </c>
      <c r="AK31">
        <f>AK30+每年积分汇总1!AK31</f>
        <v>0</v>
      </c>
      <c r="AL31">
        <f>AL30+每年积分汇总1!AL31</f>
        <v>0</v>
      </c>
      <c r="AM31">
        <f>AM30+每年积分汇总1!AM31</f>
        <v>0</v>
      </c>
      <c r="AN31">
        <f>AN30+每年积分汇总1!AN31</f>
        <v>0</v>
      </c>
      <c r="AO31">
        <f>AO30+每年积分汇总1!AO31</f>
        <v>0</v>
      </c>
    </row>
    <row r="32" spans="1:41" ht="16.5">
      <c r="A32" s="1">
        <v>1977</v>
      </c>
      <c r="B32">
        <f>B31+每年积分汇总1!B32</f>
        <v>0</v>
      </c>
      <c r="C32">
        <f>C31+每年积分汇总1!C32</f>
        <v>0</v>
      </c>
      <c r="D32">
        <f>D31+每年积分汇总1!D32</f>
        <v>79102.969999999987</v>
      </c>
      <c r="E32">
        <f>E31+每年积分汇总1!E32</f>
        <v>100604.44</v>
      </c>
      <c r="F32">
        <f>F31+每年积分汇总1!F32</f>
        <v>0</v>
      </c>
      <c r="G32">
        <f>G31+每年积分汇总1!G32</f>
        <v>0</v>
      </c>
      <c r="H32">
        <f>H31+每年积分汇总1!H32</f>
        <v>0</v>
      </c>
      <c r="I32">
        <f>I31+每年积分汇总1!I32</f>
        <v>0</v>
      </c>
      <c r="J32">
        <f>J31+每年积分汇总1!J32</f>
        <v>46741.790000000008</v>
      </c>
      <c r="K32">
        <f>K31+每年积分汇总1!K32</f>
        <v>0</v>
      </c>
      <c r="L32">
        <f>L31+每年积分汇总1!L32</f>
        <v>67716.259999999995</v>
      </c>
      <c r="M32">
        <f>M31+每年积分汇总1!M32</f>
        <v>0</v>
      </c>
      <c r="N32">
        <f>N31+每年积分汇总1!N32</f>
        <v>0</v>
      </c>
      <c r="O32">
        <f>O31+每年积分汇总1!O32</f>
        <v>0</v>
      </c>
      <c r="P32">
        <f>P31+每年积分汇总1!P32</f>
        <v>0</v>
      </c>
      <c r="Q32">
        <f>Q31+每年积分汇总1!Q32</f>
        <v>0</v>
      </c>
      <c r="R32">
        <f>R31+每年积分汇总1!R32</f>
        <v>964.15000000000009</v>
      </c>
      <c r="S32">
        <f>S31+每年积分汇总1!S32</f>
        <v>29550.800000000003</v>
      </c>
      <c r="T32">
        <f>T31+每年积分汇总1!T32</f>
        <v>0</v>
      </c>
      <c r="U32">
        <f>U31+每年积分汇总1!U32</f>
        <v>30732.190000000002</v>
      </c>
      <c r="V32">
        <f>V31+每年积分汇总1!V32</f>
        <v>0</v>
      </c>
      <c r="W32">
        <f>W31+每年积分汇总1!W32</f>
        <v>0</v>
      </c>
      <c r="X32">
        <f>X31+每年积分汇总1!X32</f>
        <v>0</v>
      </c>
      <c r="Y32">
        <f>Y31+每年积分汇总1!Y32</f>
        <v>0</v>
      </c>
      <c r="Z32">
        <f>Z31+每年积分汇总1!Z32</f>
        <v>0</v>
      </c>
      <c r="AA32">
        <f>AA31+每年积分汇总1!AA32</f>
        <v>27826.959999999999</v>
      </c>
      <c r="AB32">
        <f>AB31+每年积分汇总1!AB32</f>
        <v>0</v>
      </c>
      <c r="AC32">
        <f>AC31+每年积分汇总1!AC32</f>
        <v>26529.360000000001</v>
      </c>
      <c r="AD32">
        <f>AD31+每年积分汇总1!AD32</f>
        <v>0</v>
      </c>
      <c r="AE32">
        <f>AE31+每年积分汇总1!AE32</f>
        <v>0</v>
      </c>
      <c r="AF32">
        <f>AF31+每年积分汇总1!AF32</f>
        <v>0</v>
      </c>
      <c r="AG32">
        <f>AG31+每年积分汇总1!AG32</f>
        <v>0</v>
      </c>
      <c r="AH32">
        <f>AH31+每年积分汇总1!AH32</f>
        <v>0</v>
      </c>
      <c r="AI32">
        <f>AI31+每年积分汇总1!AI32</f>
        <v>0</v>
      </c>
      <c r="AJ32">
        <f>AJ31+每年积分汇总1!AJ32</f>
        <v>0</v>
      </c>
      <c r="AK32">
        <f>AK31+每年积分汇总1!AK32</f>
        <v>0</v>
      </c>
      <c r="AL32">
        <f>AL31+每年积分汇总1!AL32</f>
        <v>0</v>
      </c>
      <c r="AM32">
        <f>AM31+每年积分汇总1!AM32</f>
        <v>0</v>
      </c>
      <c r="AN32">
        <f>AN31+每年积分汇总1!AN32</f>
        <v>0</v>
      </c>
      <c r="AO32">
        <f>AO31+每年积分汇总1!AO32</f>
        <v>0</v>
      </c>
    </row>
    <row r="33" spans="1:41" ht="16.5">
      <c r="A33" s="1">
        <v>1978</v>
      </c>
      <c r="B33">
        <f>B32+每年积分汇总1!B33</f>
        <v>0</v>
      </c>
      <c r="C33">
        <f>C32+每年积分汇总1!C33</f>
        <v>0</v>
      </c>
      <c r="D33">
        <f>D32+每年积分汇总1!D33</f>
        <v>79638.789999999994</v>
      </c>
      <c r="E33">
        <f>E32+每年积分汇总1!E33</f>
        <v>100604.44</v>
      </c>
      <c r="F33">
        <f>F32+每年积分汇总1!F33</f>
        <v>0</v>
      </c>
      <c r="G33">
        <f>G32+每年积分汇总1!G33</f>
        <v>0</v>
      </c>
      <c r="H33">
        <f>H32+每年积分汇总1!H33</f>
        <v>0</v>
      </c>
      <c r="I33">
        <f>I32+每年积分汇总1!I33</f>
        <v>0</v>
      </c>
      <c r="J33">
        <f>J32+每年积分汇总1!J33</f>
        <v>47667.73000000001</v>
      </c>
      <c r="K33">
        <f>K32+每年积分汇总1!K33</f>
        <v>0</v>
      </c>
      <c r="L33">
        <f>L32+每年积分汇总1!L33</f>
        <v>67716.259999999995</v>
      </c>
      <c r="M33">
        <f>M32+每年积分汇总1!M33</f>
        <v>0</v>
      </c>
      <c r="N33">
        <f>N32+每年积分汇总1!N33</f>
        <v>0</v>
      </c>
      <c r="O33">
        <f>O32+每年积分汇总1!O33</f>
        <v>0</v>
      </c>
      <c r="P33">
        <f>P32+每年积分汇总1!P33</f>
        <v>0</v>
      </c>
      <c r="Q33">
        <f>Q32+每年积分汇总1!Q33</f>
        <v>0</v>
      </c>
      <c r="R33">
        <f>R32+每年积分汇总1!R33</f>
        <v>1114.67</v>
      </c>
      <c r="S33">
        <f>S32+每年积分汇总1!S33</f>
        <v>29550.800000000003</v>
      </c>
      <c r="T33">
        <f>T32+每年积分汇总1!T33</f>
        <v>0</v>
      </c>
      <c r="U33">
        <f>U32+每年积分汇总1!U33</f>
        <v>30732.190000000002</v>
      </c>
      <c r="V33">
        <f>V32+每年积分汇总1!V33</f>
        <v>0</v>
      </c>
      <c r="W33">
        <f>W32+每年积分汇总1!W33</f>
        <v>0</v>
      </c>
      <c r="X33">
        <f>X32+每年积分汇总1!X33</f>
        <v>0</v>
      </c>
      <c r="Y33">
        <f>Y32+每年积分汇总1!Y33</f>
        <v>0</v>
      </c>
      <c r="Z33">
        <f>Z32+每年积分汇总1!Z33</f>
        <v>0</v>
      </c>
      <c r="AA33">
        <f>AA32+每年积分汇总1!AA33</f>
        <v>27826.959999999999</v>
      </c>
      <c r="AB33">
        <f>AB32+每年积分汇总1!AB33</f>
        <v>0</v>
      </c>
      <c r="AC33">
        <f>AC32+每年积分汇总1!AC33</f>
        <v>26616.59</v>
      </c>
      <c r="AD33">
        <f>AD32+每年积分汇总1!AD33</f>
        <v>0</v>
      </c>
      <c r="AE33">
        <f>AE32+每年积分汇总1!AE33</f>
        <v>0</v>
      </c>
      <c r="AF33">
        <f>AF32+每年积分汇总1!AF33</f>
        <v>0</v>
      </c>
      <c r="AG33">
        <f>AG32+每年积分汇总1!AG33</f>
        <v>0</v>
      </c>
      <c r="AH33">
        <f>AH32+每年积分汇总1!AH33</f>
        <v>0</v>
      </c>
      <c r="AI33">
        <f>AI32+每年积分汇总1!AI33</f>
        <v>0</v>
      </c>
      <c r="AJ33">
        <f>AJ32+每年积分汇总1!AJ33</f>
        <v>0</v>
      </c>
      <c r="AK33">
        <f>AK32+每年积分汇总1!AK33</f>
        <v>0</v>
      </c>
      <c r="AL33">
        <f>AL32+每年积分汇总1!AL33</f>
        <v>0</v>
      </c>
      <c r="AM33">
        <f>AM32+每年积分汇总1!AM33</f>
        <v>0</v>
      </c>
      <c r="AN33">
        <f>AN32+每年积分汇总1!AN33</f>
        <v>0</v>
      </c>
      <c r="AO33">
        <f>AO32+每年积分汇总1!AO33</f>
        <v>0</v>
      </c>
    </row>
    <row r="34" spans="1:41" ht="16.5">
      <c r="A34" s="1">
        <v>1979</v>
      </c>
      <c r="B34">
        <f>B33+每年积分汇总1!B34</f>
        <v>0</v>
      </c>
      <c r="C34">
        <f>C33+每年积分汇总1!C34</f>
        <v>0</v>
      </c>
      <c r="D34">
        <f>D33+每年积分汇总1!D34</f>
        <v>82640.59</v>
      </c>
      <c r="E34">
        <f>E33+每年积分汇总1!E34</f>
        <v>100604.44</v>
      </c>
      <c r="F34">
        <f>F33+每年积分汇总1!F34</f>
        <v>0</v>
      </c>
      <c r="G34">
        <f>G33+每年积分汇总1!G34</f>
        <v>0</v>
      </c>
      <c r="H34">
        <f>H33+每年积分汇总1!H34</f>
        <v>0</v>
      </c>
      <c r="I34">
        <f>I33+每年积分汇总1!I34</f>
        <v>0</v>
      </c>
      <c r="J34">
        <f>J33+每年积分汇总1!J34</f>
        <v>48533.810000000012</v>
      </c>
      <c r="K34">
        <f>K33+每年积分汇总1!K34</f>
        <v>0</v>
      </c>
      <c r="L34">
        <f>L33+每年积分汇总1!L34</f>
        <v>67716.259999999995</v>
      </c>
      <c r="M34">
        <f>M33+每年积分汇总1!M34</f>
        <v>0</v>
      </c>
      <c r="N34">
        <f>N33+每年积分汇总1!N34</f>
        <v>0</v>
      </c>
      <c r="O34">
        <f>O33+每年积分汇总1!O34</f>
        <v>0</v>
      </c>
      <c r="P34">
        <f>P33+每年积分汇总1!P34</f>
        <v>0</v>
      </c>
      <c r="Q34">
        <f>Q33+每年积分汇总1!Q34</f>
        <v>0</v>
      </c>
      <c r="R34">
        <f>R33+每年积分汇总1!R34</f>
        <v>7103.2900000000009</v>
      </c>
      <c r="S34">
        <f>S33+每年积分汇总1!S34</f>
        <v>29550.800000000003</v>
      </c>
      <c r="T34">
        <f>T33+每年积分汇总1!T34</f>
        <v>0</v>
      </c>
      <c r="U34">
        <f>U33+每年积分汇总1!U34</f>
        <v>30732.190000000002</v>
      </c>
      <c r="V34">
        <f>V33+每年积分汇总1!V34</f>
        <v>0</v>
      </c>
      <c r="W34">
        <f>W33+每年积分汇总1!W34</f>
        <v>0</v>
      </c>
      <c r="X34">
        <f>X33+每年积分汇总1!X34</f>
        <v>0</v>
      </c>
      <c r="Y34">
        <f>Y33+每年积分汇总1!Y34</f>
        <v>0</v>
      </c>
      <c r="Z34">
        <f>Z33+每年积分汇总1!Z34</f>
        <v>0</v>
      </c>
      <c r="AA34">
        <f>AA33+每年积分汇总1!AA34</f>
        <v>27826.959999999999</v>
      </c>
      <c r="AB34">
        <f>AB33+每年积分汇总1!AB34</f>
        <v>0</v>
      </c>
      <c r="AC34">
        <f>AC33+每年积分汇总1!AC34</f>
        <v>26616.59</v>
      </c>
      <c r="AD34">
        <f>AD33+每年积分汇总1!AD34</f>
        <v>0</v>
      </c>
      <c r="AE34">
        <f>AE33+每年积分汇总1!AE34</f>
        <v>0</v>
      </c>
      <c r="AF34">
        <f>AF33+每年积分汇总1!AF34</f>
        <v>0</v>
      </c>
      <c r="AG34">
        <f>AG33+每年积分汇总1!AG34</f>
        <v>0</v>
      </c>
      <c r="AH34">
        <f>AH33+每年积分汇总1!AH34</f>
        <v>0</v>
      </c>
      <c r="AI34">
        <f>AI33+每年积分汇总1!AI34</f>
        <v>0</v>
      </c>
      <c r="AJ34">
        <f>AJ33+每年积分汇总1!AJ34</f>
        <v>0</v>
      </c>
      <c r="AK34">
        <f>AK33+每年积分汇总1!AK34</f>
        <v>0</v>
      </c>
      <c r="AL34">
        <f>AL33+每年积分汇总1!AL34</f>
        <v>0</v>
      </c>
      <c r="AM34">
        <f>AM33+每年积分汇总1!AM34</f>
        <v>0</v>
      </c>
      <c r="AN34">
        <f>AN33+每年积分汇总1!AN34</f>
        <v>0</v>
      </c>
      <c r="AO34">
        <f>AO33+每年积分汇总1!AO34</f>
        <v>0</v>
      </c>
    </row>
    <row r="35" spans="1:41" ht="16.5">
      <c r="A35" s="1">
        <v>1980</v>
      </c>
      <c r="B35">
        <f>B34+每年积分汇总1!B35</f>
        <v>0</v>
      </c>
      <c r="C35">
        <f>C34+每年积分汇总1!C35</f>
        <v>0</v>
      </c>
      <c r="D35">
        <f>D34+每年积分汇总1!D35</f>
        <v>99633.62</v>
      </c>
      <c r="E35">
        <f>E34+每年积分汇总1!E35</f>
        <v>100604.44</v>
      </c>
      <c r="F35">
        <f>F34+每年积分汇总1!F35</f>
        <v>0</v>
      </c>
      <c r="G35">
        <f>G34+每年积分汇总1!G35</f>
        <v>0</v>
      </c>
      <c r="H35">
        <f>H34+每年积分汇总1!H35</f>
        <v>8538.4000000000015</v>
      </c>
      <c r="I35">
        <f>I34+每年积分汇总1!I35</f>
        <v>0</v>
      </c>
      <c r="J35">
        <f>J34+每年积分汇总1!J35</f>
        <v>50029.610000000015</v>
      </c>
      <c r="K35">
        <f>K34+每年积分汇总1!K35</f>
        <v>0</v>
      </c>
      <c r="L35">
        <f>L34+每年积分汇总1!L35</f>
        <v>67716.259999999995</v>
      </c>
      <c r="M35">
        <f>M34+每年积分汇总1!M35</f>
        <v>884.5</v>
      </c>
      <c r="N35">
        <f>N34+每年积分汇总1!N35</f>
        <v>0</v>
      </c>
      <c r="O35">
        <f>O34+每年积分汇总1!O35</f>
        <v>0</v>
      </c>
      <c r="P35">
        <f>P34+每年积分汇总1!P35</f>
        <v>0</v>
      </c>
      <c r="Q35">
        <f>Q34+每年积分汇总1!Q35</f>
        <v>0</v>
      </c>
      <c r="R35">
        <f>R34+每年积分汇总1!R35</f>
        <v>8198.1700000000019</v>
      </c>
      <c r="S35">
        <f>S34+每年积分汇总1!S35</f>
        <v>29550.800000000003</v>
      </c>
      <c r="T35">
        <f>T34+每年积分汇总1!T35</f>
        <v>0</v>
      </c>
      <c r="U35">
        <f>U34+每年积分汇总1!U35</f>
        <v>30732.190000000002</v>
      </c>
      <c r="V35">
        <f>V34+每年积分汇总1!V35</f>
        <v>0</v>
      </c>
      <c r="W35">
        <f>W34+每年积分汇总1!W35</f>
        <v>0</v>
      </c>
      <c r="X35">
        <f>X34+每年积分汇总1!X35</f>
        <v>0</v>
      </c>
      <c r="Y35">
        <f>Y34+每年积分汇总1!Y35</f>
        <v>0</v>
      </c>
      <c r="Z35">
        <f>Z34+每年积分汇总1!Z35</f>
        <v>0</v>
      </c>
      <c r="AA35">
        <f>AA34+每年积分汇总1!AA35</f>
        <v>27826.959999999999</v>
      </c>
      <c r="AB35">
        <f>AB34+每年积分汇总1!AB35</f>
        <v>0</v>
      </c>
      <c r="AC35">
        <f>AC34+每年积分汇总1!AC35</f>
        <v>26616.59</v>
      </c>
      <c r="AD35">
        <f>AD34+每年积分汇总1!AD35</f>
        <v>0</v>
      </c>
      <c r="AE35">
        <f>AE34+每年积分汇总1!AE35</f>
        <v>0</v>
      </c>
      <c r="AF35">
        <f>AF34+每年积分汇总1!AF35</f>
        <v>0</v>
      </c>
      <c r="AG35">
        <f>AG34+每年积分汇总1!AG35</f>
        <v>0</v>
      </c>
      <c r="AH35">
        <f>AH34+每年积分汇总1!AH35</f>
        <v>0</v>
      </c>
      <c r="AI35">
        <f>AI34+每年积分汇总1!AI35</f>
        <v>0</v>
      </c>
      <c r="AJ35">
        <f>AJ34+每年积分汇总1!AJ35</f>
        <v>0</v>
      </c>
      <c r="AK35">
        <f>AK34+每年积分汇总1!AK35</f>
        <v>0</v>
      </c>
      <c r="AL35">
        <f>AL34+每年积分汇总1!AL35</f>
        <v>0</v>
      </c>
      <c r="AM35">
        <f>AM34+每年积分汇总1!AM35</f>
        <v>0</v>
      </c>
      <c r="AN35">
        <f>AN34+每年积分汇总1!AN35</f>
        <v>0</v>
      </c>
      <c r="AO35">
        <f>AO34+每年积分汇总1!AO35</f>
        <v>0</v>
      </c>
    </row>
    <row r="36" spans="1:41" ht="16.5">
      <c r="A36" s="1">
        <v>1981</v>
      </c>
      <c r="B36">
        <f>B35+每年积分汇总1!B36</f>
        <v>0</v>
      </c>
      <c r="C36">
        <f>C35+每年积分汇总1!C36</f>
        <v>0</v>
      </c>
      <c r="D36">
        <f>D35+每年积分汇总1!D36</f>
        <v>101274.47</v>
      </c>
      <c r="E36">
        <f>E35+每年积分汇总1!E36</f>
        <v>100604.44</v>
      </c>
      <c r="F36">
        <f>F35+每年积分汇总1!F36</f>
        <v>0</v>
      </c>
      <c r="G36">
        <f>G35+每年积分汇总1!G36</f>
        <v>0</v>
      </c>
      <c r="H36">
        <f>H35+每年积分汇总1!H36</f>
        <v>9414.9400000000023</v>
      </c>
      <c r="I36">
        <f>I35+每年积分汇总1!I36</f>
        <v>0</v>
      </c>
      <c r="J36">
        <f>J35+每年积分汇总1!J36</f>
        <v>56216.410000000018</v>
      </c>
      <c r="K36">
        <f>K35+每年积分汇总1!K36</f>
        <v>0</v>
      </c>
      <c r="L36">
        <f>L35+每年积分汇总1!L36</f>
        <v>67716.259999999995</v>
      </c>
      <c r="M36">
        <f>M35+每年积分汇总1!M36</f>
        <v>4974.82</v>
      </c>
      <c r="N36">
        <f>N35+每年积分汇总1!N36</f>
        <v>0</v>
      </c>
      <c r="O36">
        <f>O35+每年积分汇总1!O36</f>
        <v>0</v>
      </c>
      <c r="P36">
        <f>P35+每年积分汇总1!P36</f>
        <v>0</v>
      </c>
      <c r="Q36">
        <f>Q35+每年积分汇总1!Q36</f>
        <v>0</v>
      </c>
      <c r="R36">
        <f>R35+每年积分汇总1!R36</f>
        <v>10817.080000000002</v>
      </c>
      <c r="S36">
        <f>S35+每年积分汇总1!S36</f>
        <v>29550.800000000003</v>
      </c>
      <c r="T36">
        <f>T35+每年积分汇总1!T36</f>
        <v>0</v>
      </c>
      <c r="U36">
        <f>U35+每年积分汇总1!U36</f>
        <v>30732.190000000002</v>
      </c>
      <c r="V36">
        <f>V35+每年积分汇总1!V36</f>
        <v>0</v>
      </c>
      <c r="W36">
        <f>W35+每年积分汇总1!W36</f>
        <v>0</v>
      </c>
      <c r="X36">
        <f>X35+每年积分汇总1!X36</f>
        <v>0</v>
      </c>
      <c r="Y36">
        <f>Y35+每年积分汇总1!Y36</f>
        <v>0</v>
      </c>
      <c r="Z36">
        <f>Z35+每年积分汇总1!Z36</f>
        <v>0</v>
      </c>
      <c r="AA36">
        <f>AA35+每年积分汇总1!AA36</f>
        <v>27826.959999999999</v>
      </c>
      <c r="AB36">
        <f>AB35+每年积分汇总1!AB36</f>
        <v>0</v>
      </c>
      <c r="AC36">
        <f>AC35+每年积分汇总1!AC36</f>
        <v>26616.59</v>
      </c>
      <c r="AD36">
        <f>AD35+每年积分汇总1!AD36</f>
        <v>0</v>
      </c>
      <c r="AE36">
        <f>AE35+每年积分汇总1!AE36</f>
        <v>0</v>
      </c>
      <c r="AF36">
        <f>AF35+每年积分汇总1!AF36</f>
        <v>0</v>
      </c>
      <c r="AG36">
        <f>AG35+每年积分汇总1!AG36</f>
        <v>0</v>
      </c>
      <c r="AH36">
        <f>AH35+每年积分汇总1!AH36</f>
        <v>0</v>
      </c>
      <c r="AI36">
        <f>AI35+每年积分汇总1!AI36</f>
        <v>0</v>
      </c>
      <c r="AJ36">
        <f>AJ35+每年积分汇总1!AJ36</f>
        <v>0</v>
      </c>
      <c r="AK36">
        <f>AK35+每年积分汇总1!AK36</f>
        <v>0</v>
      </c>
      <c r="AL36">
        <f>AL35+每年积分汇总1!AL36</f>
        <v>0</v>
      </c>
      <c r="AM36">
        <f>AM35+每年积分汇总1!AM36</f>
        <v>0</v>
      </c>
      <c r="AN36">
        <f>AN35+每年积分汇总1!AN36</f>
        <v>0</v>
      </c>
      <c r="AO36">
        <f>AO35+每年积分汇总1!AO36</f>
        <v>0</v>
      </c>
    </row>
    <row r="37" spans="1:41" ht="16.5">
      <c r="A37" s="1">
        <v>1982</v>
      </c>
      <c r="B37">
        <f>B36+每年积分汇总1!B37</f>
        <v>0</v>
      </c>
      <c r="C37">
        <f>C36+每年积分汇总1!C37</f>
        <v>0</v>
      </c>
      <c r="D37">
        <f>D36+每年积分汇总1!D37</f>
        <v>103899.62</v>
      </c>
      <c r="E37">
        <f>E36+每年积分汇总1!E37</f>
        <v>100604.44</v>
      </c>
      <c r="F37">
        <f>F36+每年积分汇总1!F37</f>
        <v>0</v>
      </c>
      <c r="G37">
        <f>G36+每年积分汇总1!G37</f>
        <v>0</v>
      </c>
      <c r="H37">
        <f>H36+每年积分汇总1!H37</f>
        <v>20433.340000000004</v>
      </c>
      <c r="I37">
        <f>I36+每年积分汇总1!I37</f>
        <v>0</v>
      </c>
      <c r="J37">
        <f>J36+每年积分汇总1!J37</f>
        <v>61138.630000000019</v>
      </c>
      <c r="K37">
        <f>K36+每年积分汇总1!K37</f>
        <v>0</v>
      </c>
      <c r="L37">
        <f>L36+每年积分汇总1!L37</f>
        <v>67716.259999999995</v>
      </c>
      <c r="M37">
        <f>M36+每年积分汇总1!M37</f>
        <v>6050.42</v>
      </c>
      <c r="N37">
        <f>N36+每年积分汇总1!N37</f>
        <v>0</v>
      </c>
      <c r="O37">
        <f>O36+每年积分汇总1!O37</f>
        <v>0</v>
      </c>
      <c r="P37">
        <f>P36+每年积分汇总1!P37</f>
        <v>0</v>
      </c>
      <c r="Q37">
        <f>Q36+每年积分汇总1!Q37</f>
        <v>0</v>
      </c>
      <c r="R37">
        <f>R36+每年积分汇总1!R37</f>
        <v>18278.32</v>
      </c>
      <c r="S37">
        <f>S36+每年积分汇总1!S37</f>
        <v>29550.800000000003</v>
      </c>
      <c r="T37">
        <f>T36+每年积分汇总1!T37</f>
        <v>0</v>
      </c>
      <c r="U37">
        <f>U36+每年积分汇总1!U37</f>
        <v>30732.190000000002</v>
      </c>
      <c r="V37">
        <f>V36+每年积分汇总1!V37</f>
        <v>0</v>
      </c>
      <c r="W37">
        <f>W36+每年积分汇总1!W37</f>
        <v>0</v>
      </c>
      <c r="X37">
        <f>X36+每年积分汇总1!X37</f>
        <v>0</v>
      </c>
      <c r="Y37">
        <f>Y36+每年积分汇总1!Y37</f>
        <v>0</v>
      </c>
      <c r="Z37">
        <f>Z36+每年积分汇总1!Z37</f>
        <v>0</v>
      </c>
      <c r="AA37">
        <f>AA36+每年积分汇总1!AA37</f>
        <v>27826.959999999999</v>
      </c>
      <c r="AB37">
        <f>AB36+每年积分汇总1!AB37</f>
        <v>0</v>
      </c>
      <c r="AC37">
        <f>AC36+每年积分汇总1!AC37</f>
        <v>26616.59</v>
      </c>
      <c r="AD37">
        <f>AD36+每年积分汇总1!AD37</f>
        <v>0</v>
      </c>
      <c r="AE37">
        <f>AE36+每年积分汇总1!AE37</f>
        <v>0</v>
      </c>
      <c r="AF37">
        <f>AF36+每年积分汇总1!AF37</f>
        <v>0</v>
      </c>
      <c r="AG37">
        <f>AG36+每年积分汇总1!AG37</f>
        <v>0</v>
      </c>
      <c r="AH37">
        <f>AH36+每年积分汇总1!AH37</f>
        <v>0</v>
      </c>
      <c r="AI37">
        <f>AI36+每年积分汇总1!AI37</f>
        <v>0</v>
      </c>
      <c r="AJ37">
        <f>AJ36+每年积分汇总1!AJ37</f>
        <v>0</v>
      </c>
      <c r="AK37">
        <f>AK36+每年积分汇总1!AK37</f>
        <v>0</v>
      </c>
      <c r="AL37">
        <f>AL36+每年积分汇总1!AL37</f>
        <v>0</v>
      </c>
      <c r="AM37">
        <f>AM36+每年积分汇总1!AM37</f>
        <v>0</v>
      </c>
      <c r="AN37">
        <f>AN36+每年积分汇总1!AN37</f>
        <v>0</v>
      </c>
      <c r="AO37">
        <f>AO36+每年积分汇总1!AO37</f>
        <v>0</v>
      </c>
    </row>
    <row r="38" spans="1:41" ht="16.5">
      <c r="A38" s="1">
        <v>1983</v>
      </c>
      <c r="B38">
        <f>B37+每年积分汇总1!B38</f>
        <v>0</v>
      </c>
      <c r="C38">
        <f>C37+每年积分汇总1!C38</f>
        <v>0</v>
      </c>
      <c r="D38">
        <f>D37+每年积分汇总1!D38</f>
        <v>104533.86</v>
      </c>
      <c r="E38">
        <f>E37+每年积分汇总1!E38</f>
        <v>100604.44</v>
      </c>
      <c r="F38">
        <f>F37+每年积分汇总1!F38</f>
        <v>0</v>
      </c>
      <c r="G38">
        <f>G37+每年积分汇总1!G38</f>
        <v>0</v>
      </c>
      <c r="H38">
        <f>H37+每年积分汇总1!H38</f>
        <v>22952.540000000005</v>
      </c>
      <c r="I38">
        <f>I37+每年积分汇总1!I38</f>
        <v>0</v>
      </c>
      <c r="J38">
        <f>J37+每年积分汇总1!J38</f>
        <v>62040.410000000018</v>
      </c>
      <c r="K38">
        <f>K37+每年积分汇总1!K38</f>
        <v>0</v>
      </c>
      <c r="L38">
        <f>L37+每年积分汇总1!L38</f>
        <v>67716.259999999995</v>
      </c>
      <c r="M38">
        <f>M37+每年积分汇总1!M38</f>
        <v>7118.52</v>
      </c>
      <c r="N38">
        <f>N37+每年积分汇总1!N38</f>
        <v>0</v>
      </c>
      <c r="O38">
        <f>O37+每年积分汇总1!O38</f>
        <v>0</v>
      </c>
      <c r="P38">
        <f>P37+每年积分汇总1!P38</f>
        <v>0</v>
      </c>
      <c r="Q38">
        <f>Q37+每年积分汇总1!Q38</f>
        <v>0</v>
      </c>
      <c r="R38">
        <f>R37+每年积分汇总1!R38</f>
        <v>40588.570000000007</v>
      </c>
      <c r="S38">
        <f>S37+每年积分汇总1!S38</f>
        <v>29550.800000000003</v>
      </c>
      <c r="T38">
        <f>T37+每年积分汇总1!T38</f>
        <v>0</v>
      </c>
      <c r="U38">
        <f>U37+每年积分汇总1!U38</f>
        <v>30732.190000000002</v>
      </c>
      <c r="V38">
        <f>V37+每年积分汇总1!V38</f>
        <v>0</v>
      </c>
      <c r="W38">
        <f>W37+每年积分汇总1!W38</f>
        <v>0</v>
      </c>
      <c r="X38">
        <f>X37+每年积分汇总1!X38</f>
        <v>0</v>
      </c>
      <c r="Y38">
        <f>Y37+每年积分汇总1!Y38</f>
        <v>0</v>
      </c>
      <c r="Z38">
        <f>Z37+每年积分汇总1!Z38</f>
        <v>0</v>
      </c>
      <c r="AA38">
        <f>AA37+每年积分汇总1!AA38</f>
        <v>27826.959999999999</v>
      </c>
      <c r="AB38">
        <f>AB37+每年积分汇总1!AB38</f>
        <v>0</v>
      </c>
      <c r="AC38">
        <f>AC37+每年积分汇总1!AC38</f>
        <v>26616.59</v>
      </c>
      <c r="AD38">
        <f>AD37+每年积分汇总1!AD38</f>
        <v>0</v>
      </c>
      <c r="AE38">
        <f>AE37+每年积分汇总1!AE38</f>
        <v>0</v>
      </c>
      <c r="AF38">
        <f>AF37+每年积分汇总1!AF38</f>
        <v>0</v>
      </c>
      <c r="AG38">
        <f>AG37+每年积分汇总1!AG38</f>
        <v>0</v>
      </c>
      <c r="AH38">
        <f>AH37+每年积分汇总1!AH38</f>
        <v>0</v>
      </c>
      <c r="AI38">
        <f>AI37+每年积分汇总1!AI38</f>
        <v>0</v>
      </c>
      <c r="AJ38">
        <f>AJ37+每年积分汇总1!AJ38</f>
        <v>0</v>
      </c>
      <c r="AK38">
        <f>AK37+每年积分汇总1!AK38</f>
        <v>0</v>
      </c>
      <c r="AL38">
        <f>AL37+每年积分汇总1!AL38</f>
        <v>0</v>
      </c>
      <c r="AM38">
        <f>AM37+每年积分汇总1!AM38</f>
        <v>0</v>
      </c>
      <c r="AN38">
        <f>AN37+每年积分汇总1!AN38</f>
        <v>0</v>
      </c>
      <c r="AO38">
        <f>AO37+每年积分汇总1!AO38</f>
        <v>0</v>
      </c>
    </row>
    <row r="39" spans="1:41" ht="16.5">
      <c r="A39" s="1">
        <v>1984</v>
      </c>
      <c r="B39">
        <f>B38+每年积分汇总1!B39</f>
        <v>0</v>
      </c>
      <c r="C39">
        <f>C38+每年积分汇总1!C39</f>
        <v>0</v>
      </c>
      <c r="D39">
        <f>D38+每年积分汇总1!D39</f>
        <v>105987.6</v>
      </c>
      <c r="E39">
        <f>E38+每年积分汇总1!E39</f>
        <v>100604.44</v>
      </c>
      <c r="F39">
        <f>F38+每年积分汇总1!F39</f>
        <v>0</v>
      </c>
      <c r="G39">
        <f>G38+每年积分汇总1!G39</f>
        <v>0</v>
      </c>
      <c r="H39">
        <f>H38+每年积分汇总1!H39</f>
        <v>26017.020000000004</v>
      </c>
      <c r="I39">
        <f>I38+每年积分汇总1!I39</f>
        <v>0</v>
      </c>
      <c r="J39">
        <f>J38+每年积分汇总1!J39</f>
        <v>62393.400000000016</v>
      </c>
      <c r="K39">
        <f>K38+每年积分汇总1!K39</f>
        <v>0</v>
      </c>
      <c r="L39">
        <f>L38+每年积分汇总1!L39</f>
        <v>67716.259999999995</v>
      </c>
      <c r="M39">
        <f>M38+每年积分汇总1!M39</f>
        <v>31381.66</v>
      </c>
      <c r="N39">
        <f>N38+每年积分汇总1!N39</f>
        <v>0</v>
      </c>
      <c r="O39">
        <f>O38+每年积分汇总1!O39</f>
        <v>0</v>
      </c>
      <c r="P39">
        <f>P38+每年积分汇总1!P39</f>
        <v>0</v>
      </c>
      <c r="Q39">
        <f>Q38+每年积分汇总1!Q39</f>
        <v>0</v>
      </c>
      <c r="R39">
        <f>R38+每年积分汇总1!R39</f>
        <v>41657.770000000004</v>
      </c>
      <c r="S39">
        <f>S38+每年积分汇总1!S39</f>
        <v>29550.800000000003</v>
      </c>
      <c r="T39">
        <f>T38+每年积分汇总1!T39</f>
        <v>0</v>
      </c>
      <c r="U39">
        <f>U38+每年积分汇总1!U39</f>
        <v>30732.190000000002</v>
      </c>
      <c r="V39">
        <f>V38+每年积分汇总1!V39</f>
        <v>0</v>
      </c>
      <c r="W39">
        <f>W38+每年积分汇总1!W39</f>
        <v>0</v>
      </c>
      <c r="X39">
        <f>X38+每年积分汇总1!X39</f>
        <v>0</v>
      </c>
      <c r="Y39">
        <f>Y38+每年积分汇总1!Y39</f>
        <v>0</v>
      </c>
      <c r="Z39">
        <f>Z38+每年积分汇总1!Z39</f>
        <v>0</v>
      </c>
      <c r="AA39">
        <f>AA38+每年积分汇总1!AA39</f>
        <v>27826.959999999999</v>
      </c>
      <c r="AB39">
        <f>AB38+每年积分汇总1!AB39</f>
        <v>0</v>
      </c>
      <c r="AC39">
        <f>AC38+每年积分汇总1!AC39</f>
        <v>26616.59</v>
      </c>
      <c r="AD39">
        <f>AD38+每年积分汇总1!AD39</f>
        <v>0</v>
      </c>
      <c r="AE39">
        <f>AE38+每年积分汇总1!AE39</f>
        <v>0</v>
      </c>
      <c r="AF39">
        <f>AF38+每年积分汇总1!AF39</f>
        <v>0</v>
      </c>
      <c r="AG39">
        <f>AG38+每年积分汇总1!AG39</f>
        <v>0</v>
      </c>
      <c r="AH39">
        <f>AH38+每年积分汇总1!AH39</f>
        <v>0</v>
      </c>
      <c r="AI39">
        <f>AI38+每年积分汇总1!AI39</f>
        <v>0</v>
      </c>
      <c r="AJ39">
        <f>AJ38+每年积分汇总1!AJ39</f>
        <v>0</v>
      </c>
      <c r="AK39">
        <f>AK38+每年积分汇总1!AK39</f>
        <v>0</v>
      </c>
      <c r="AL39">
        <f>AL38+每年积分汇总1!AL39</f>
        <v>0</v>
      </c>
      <c r="AM39">
        <f>AM38+每年积分汇总1!AM39</f>
        <v>0</v>
      </c>
      <c r="AN39">
        <f>AN38+每年积分汇总1!AN39</f>
        <v>0</v>
      </c>
      <c r="AO39">
        <f>AO38+每年积分汇总1!AO39</f>
        <v>0</v>
      </c>
    </row>
    <row r="40" spans="1:41" ht="16.5">
      <c r="A40" s="1">
        <v>1985</v>
      </c>
      <c r="B40">
        <f>B39+每年积分汇总1!B40</f>
        <v>596.95000000000005</v>
      </c>
      <c r="C40">
        <f>C39+每年积分汇总1!C40</f>
        <v>0</v>
      </c>
      <c r="D40">
        <f>D39+每年积分汇总1!D40</f>
        <v>114647.29000000001</v>
      </c>
      <c r="E40">
        <f>E39+每年积分汇总1!E40</f>
        <v>100604.44</v>
      </c>
      <c r="F40">
        <f>F39+每年积分汇总1!F40</f>
        <v>0</v>
      </c>
      <c r="G40">
        <f>G39+每年积分汇总1!G40</f>
        <v>0</v>
      </c>
      <c r="H40">
        <f>H39+每年积分汇总1!H40</f>
        <v>30600.060000000005</v>
      </c>
      <c r="I40">
        <f>I39+每年积分汇总1!I40</f>
        <v>0</v>
      </c>
      <c r="J40">
        <f>J39+每年积分汇总1!J40</f>
        <v>62742.850000000013</v>
      </c>
      <c r="K40">
        <f>K39+每年积分汇总1!K40</f>
        <v>393.91999999999996</v>
      </c>
      <c r="L40">
        <f>L39+每年积分汇总1!L40</f>
        <v>67716.259999999995</v>
      </c>
      <c r="M40">
        <f>M39+每年积分汇总1!M40</f>
        <v>39569.160000000003</v>
      </c>
      <c r="N40">
        <f>N39+每年积分汇总1!N40</f>
        <v>0</v>
      </c>
      <c r="O40">
        <f>O39+每年积分汇总1!O40</f>
        <v>0</v>
      </c>
      <c r="P40">
        <f>P39+每年积分汇总1!P40</f>
        <v>0</v>
      </c>
      <c r="Q40">
        <f>Q39+每年积分汇总1!Q40</f>
        <v>0</v>
      </c>
      <c r="R40">
        <f>R39+每年积分汇总1!R40</f>
        <v>43790.770000000004</v>
      </c>
      <c r="S40">
        <f>S39+每年积分汇总1!S40</f>
        <v>29550.800000000003</v>
      </c>
      <c r="T40">
        <f>T39+每年积分汇总1!T40</f>
        <v>0</v>
      </c>
      <c r="U40">
        <f>U39+每年积分汇总1!U40</f>
        <v>30732.190000000002</v>
      </c>
      <c r="V40">
        <f>V39+每年积分汇总1!V40</f>
        <v>0</v>
      </c>
      <c r="W40">
        <f>W39+每年积分汇总1!W40</f>
        <v>0</v>
      </c>
      <c r="X40">
        <f>X39+每年积分汇总1!X40</f>
        <v>161.02999999999997</v>
      </c>
      <c r="Y40">
        <f>Y39+每年积分汇总1!Y40</f>
        <v>0</v>
      </c>
      <c r="Z40">
        <f>Z39+每年积分汇总1!Z40</f>
        <v>390.75</v>
      </c>
      <c r="AA40">
        <f>AA39+每年积分汇总1!AA40</f>
        <v>27826.959999999999</v>
      </c>
      <c r="AB40">
        <f>AB39+每年积分汇总1!AB40</f>
        <v>0</v>
      </c>
      <c r="AC40">
        <f>AC39+每年积分汇总1!AC40</f>
        <v>26616.59</v>
      </c>
      <c r="AD40">
        <f>AD39+每年积分汇总1!AD40</f>
        <v>0</v>
      </c>
      <c r="AE40">
        <f>AE39+每年积分汇总1!AE40</f>
        <v>0</v>
      </c>
      <c r="AF40">
        <f>AF39+每年积分汇总1!AF40</f>
        <v>0</v>
      </c>
      <c r="AG40">
        <f>AG39+每年积分汇总1!AG40</f>
        <v>0</v>
      </c>
      <c r="AH40">
        <f>AH39+每年积分汇总1!AH40</f>
        <v>0</v>
      </c>
      <c r="AI40">
        <f>AI39+每年积分汇总1!AI40</f>
        <v>0</v>
      </c>
      <c r="AJ40">
        <f>AJ39+每年积分汇总1!AJ40</f>
        <v>0</v>
      </c>
      <c r="AK40">
        <f>AK39+每年积分汇总1!AK40</f>
        <v>0</v>
      </c>
      <c r="AL40">
        <f>AL39+每年积分汇总1!AL40</f>
        <v>0</v>
      </c>
      <c r="AM40">
        <f>AM39+每年积分汇总1!AM40</f>
        <v>0</v>
      </c>
      <c r="AN40">
        <f>AN39+每年积分汇总1!AN40</f>
        <v>0</v>
      </c>
      <c r="AO40">
        <f>AO39+每年积分汇总1!AO40</f>
        <v>0</v>
      </c>
    </row>
    <row r="41" spans="1:41" ht="16.5">
      <c r="A41" s="1">
        <v>1986</v>
      </c>
      <c r="B41">
        <f>B40+每年积分汇总1!B41</f>
        <v>891.45</v>
      </c>
      <c r="C41">
        <f>C40+每年积分汇总1!C41</f>
        <v>0</v>
      </c>
      <c r="D41">
        <f>D40+每年积分汇总1!D41</f>
        <v>115734.21</v>
      </c>
      <c r="E41">
        <f>E40+每年积分汇总1!E41</f>
        <v>100604.44</v>
      </c>
      <c r="F41">
        <f>F40+每年积分汇总1!F41</f>
        <v>0</v>
      </c>
      <c r="G41">
        <f>G40+每年积分汇总1!G41</f>
        <v>0</v>
      </c>
      <c r="H41">
        <f>H40+每年积分汇总1!H41</f>
        <v>33905.660000000003</v>
      </c>
      <c r="I41">
        <f>I40+每年积分汇总1!I41</f>
        <v>0</v>
      </c>
      <c r="J41">
        <f>J40+每年积分汇总1!J41</f>
        <v>62975.710000000014</v>
      </c>
      <c r="K41">
        <f>K40+每年积分汇总1!K41</f>
        <v>1249.6199999999999</v>
      </c>
      <c r="L41">
        <f>L40+每年积分汇总1!L41</f>
        <v>67716.259999999995</v>
      </c>
      <c r="M41">
        <f>M40+每年积分汇总1!M41</f>
        <v>62701.72</v>
      </c>
      <c r="N41">
        <f>N40+每年积分汇总1!N41</f>
        <v>143.53</v>
      </c>
      <c r="O41">
        <f>O40+每年积分汇总1!O41</f>
        <v>0</v>
      </c>
      <c r="P41">
        <f>P40+每年积分汇总1!P41</f>
        <v>0</v>
      </c>
      <c r="Q41">
        <f>Q40+每年积分汇总1!Q41</f>
        <v>0</v>
      </c>
      <c r="R41">
        <f>R40+每年积分汇总1!R41</f>
        <v>43994.710000000006</v>
      </c>
      <c r="S41">
        <f>S40+每年积分汇总1!S41</f>
        <v>29550.800000000003</v>
      </c>
      <c r="T41">
        <f>T40+每年积分汇总1!T41</f>
        <v>0</v>
      </c>
      <c r="U41">
        <f>U40+每年积分汇总1!U41</f>
        <v>30732.190000000002</v>
      </c>
      <c r="V41">
        <f>V40+每年积分汇总1!V41</f>
        <v>0</v>
      </c>
      <c r="W41">
        <f>W40+每年积分汇总1!W41</f>
        <v>0</v>
      </c>
      <c r="X41">
        <f>X40+每年积分汇总1!X41</f>
        <v>381.53</v>
      </c>
      <c r="Y41">
        <f>Y40+每年积分汇总1!Y41</f>
        <v>0</v>
      </c>
      <c r="Z41">
        <f>Z40+每年积分汇总1!Z41</f>
        <v>1012.0699999999999</v>
      </c>
      <c r="AA41">
        <f>AA40+每年积分汇总1!AA41</f>
        <v>27826.959999999999</v>
      </c>
      <c r="AB41">
        <f>AB40+每年积分汇总1!AB41</f>
        <v>0</v>
      </c>
      <c r="AC41">
        <f>AC40+每年积分汇总1!AC41</f>
        <v>26616.59</v>
      </c>
      <c r="AD41">
        <f>AD40+每年积分汇总1!AD41</f>
        <v>0</v>
      </c>
      <c r="AE41">
        <f>AE40+每年积分汇总1!AE41</f>
        <v>0</v>
      </c>
      <c r="AF41">
        <f>AF40+每年积分汇总1!AF41</f>
        <v>0</v>
      </c>
      <c r="AG41">
        <f>AG40+每年积分汇总1!AG41</f>
        <v>0</v>
      </c>
      <c r="AH41">
        <f>AH40+每年积分汇总1!AH41</f>
        <v>0</v>
      </c>
      <c r="AI41">
        <f>AI40+每年积分汇总1!AI41</f>
        <v>0</v>
      </c>
      <c r="AJ41">
        <f>AJ40+每年积分汇总1!AJ41</f>
        <v>0</v>
      </c>
      <c r="AK41">
        <f>AK40+每年积分汇总1!AK41</f>
        <v>0</v>
      </c>
      <c r="AL41">
        <f>AL40+每年积分汇总1!AL41</f>
        <v>0</v>
      </c>
      <c r="AM41">
        <f>AM40+每年积分汇总1!AM41</f>
        <v>0</v>
      </c>
      <c r="AN41">
        <f>AN40+每年积分汇总1!AN41</f>
        <v>0</v>
      </c>
      <c r="AO41">
        <f>AO40+每年积分汇总1!AO41</f>
        <v>0</v>
      </c>
    </row>
    <row r="42" spans="1:41" ht="16.5">
      <c r="A42" s="1">
        <v>1987</v>
      </c>
      <c r="B42">
        <f>B41+每年积分汇总1!B42</f>
        <v>3811.9299999999994</v>
      </c>
      <c r="C42">
        <f>C41+每年积分汇总1!C42</f>
        <v>0</v>
      </c>
      <c r="D42">
        <f>D41+每年积分汇总1!D42</f>
        <v>117949.96</v>
      </c>
      <c r="E42">
        <f>E41+每年积分汇总1!E42</f>
        <v>100604.44</v>
      </c>
      <c r="F42">
        <f>F41+每年积分汇总1!F42</f>
        <v>0</v>
      </c>
      <c r="G42">
        <f>G41+每年积分汇总1!G42</f>
        <v>0</v>
      </c>
      <c r="H42">
        <f>H41+每年积分汇总1!H42</f>
        <v>59633.66</v>
      </c>
      <c r="I42">
        <f>I41+每年积分汇总1!I42</f>
        <v>0</v>
      </c>
      <c r="J42">
        <f>J41+每年积分汇总1!J42</f>
        <v>63149.060000000012</v>
      </c>
      <c r="K42">
        <f>K41+每年积分汇总1!K42</f>
        <v>3381.7799999999997</v>
      </c>
      <c r="L42">
        <f>L41+每年积分汇总1!L42</f>
        <v>67716.259999999995</v>
      </c>
      <c r="M42">
        <f>M41+每年积分汇总1!M42</f>
        <v>64472.68</v>
      </c>
      <c r="N42">
        <f>N41+每年积分汇总1!N42</f>
        <v>366.13</v>
      </c>
      <c r="O42">
        <f>O41+每年积分汇总1!O42</f>
        <v>0</v>
      </c>
      <c r="P42">
        <f>P41+每年积分汇总1!P42</f>
        <v>0</v>
      </c>
      <c r="Q42">
        <f>Q41+每年积分汇总1!Q42</f>
        <v>0</v>
      </c>
      <c r="R42">
        <f>R41+每年积分汇总1!R42</f>
        <v>44367.680000000008</v>
      </c>
      <c r="S42">
        <f>S41+每年积分汇总1!S42</f>
        <v>29550.800000000003</v>
      </c>
      <c r="T42">
        <f>T41+每年积分汇总1!T42</f>
        <v>0</v>
      </c>
      <c r="U42">
        <f>U41+每年积分汇总1!U42</f>
        <v>30732.190000000002</v>
      </c>
      <c r="V42">
        <f>V41+每年积分汇总1!V42</f>
        <v>0</v>
      </c>
      <c r="W42">
        <f>W41+每年积分汇总1!W42</f>
        <v>0</v>
      </c>
      <c r="X42">
        <f>X41+每年积分汇总1!X42</f>
        <v>682.53</v>
      </c>
      <c r="Y42">
        <f>Y41+每年积分汇总1!Y42</f>
        <v>0</v>
      </c>
      <c r="Z42">
        <f>Z41+每年积分汇总1!Z42</f>
        <v>2506.0699999999997</v>
      </c>
      <c r="AA42">
        <f>AA41+每年积分汇总1!AA42</f>
        <v>27826.959999999999</v>
      </c>
      <c r="AB42">
        <f>AB41+每年积分汇总1!AB42</f>
        <v>0</v>
      </c>
      <c r="AC42">
        <f>AC41+每年积分汇总1!AC42</f>
        <v>26616.59</v>
      </c>
      <c r="AD42">
        <f>AD41+每年积分汇总1!AD42</f>
        <v>0</v>
      </c>
      <c r="AE42">
        <f>AE41+每年积分汇总1!AE42</f>
        <v>0</v>
      </c>
      <c r="AF42">
        <f>AF41+每年积分汇总1!AF42</f>
        <v>0</v>
      </c>
      <c r="AG42">
        <f>AG41+每年积分汇总1!AG42</f>
        <v>0</v>
      </c>
      <c r="AH42">
        <f>AH41+每年积分汇总1!AH42</f>
        <v>0</v>
      </c>
      <c r="AI42">
        <f>AI41+每年积分汇总1!AI42</f>
        <v>0</v>
      </c>
      <c r="AJ42">
        <f>AJ41+每年积分汇总1!AJ42</f>
        <v>0</v>
      </c>
      <c r="AK42">
        <f>AK41+每年积分汇总1!AK42</f>
        <v>0</v>
      </c>
      <c r="AL42">
        <f>AL41+每年积分汇总1!AL42</f>
        <v>0</v>
      </c>
      <c r="AM42">
        <f>AM41+每年积分汇总1!AM42</f>
        <v>0</v>
      </c>
      <c r="AN42">
        <f>AN41+每年积分汇总1!AN42</f>
        <v>0</v>
      </c>
      <c r="AO42">
        <f>AO41+每年积分汇总1!AO42</f>
        <v>0</v>
      </c>
    </row>
    <row r="43" spans="1:41" ht="16.5">
      <c r="A43" s="1">
        <v>1988</v>
      </c>
      <c r="B43">
        <f>B42+每年积分汇总1!B43</f>
        <v>23258.91</v>
      </c>
      <c r="C43">
        <f>C42+每年积分汇总1!C43</f>
        <v>0</v>
      </c>
      <c r="D43">
        <f>D42+每年积分汇总1!D43</f>
        <v>119068.66</v>
      </c>
      <c r="E43">
        <f>E42+每年积分汇总1!E43</f>
        <v>100604.44</v>
      </c>
      <c r="F43">
        <f>F42+每年积分汇总1!F43</f>
        <v>0</v>
      </c>
      <c r="G43">
        <f>G42+每年积分汇总1!G43</f>
        <v>0</v>
      </c>
      <c r="H43">
        <f>H42+每年积分汇总1!H43</f>
        <v>64718</v>
      </c>
      <c r="I43">
        <f>I42+每年积分汇总1!I43</f>
        <v>0</v>
      </c>
      <c r="J43">
        <f>J42+每年积分汇总1!J43</f>
        <v>63149.060000000012</v>
      </c>
      <c r="K43">
        <f>K42+每年积分汇总1!K43</f>
        <v>5548.62</v>
      </c>
      <c r="L43">
        <f>L42+每年积分汇总1!L43</f>
        <v>67716.259999999995</v>
      </c>
      <c r="M43">
        <f>M42+每年积分汇总1!M43</f>
        <v>66049.08</v>
      </c>
      <c r="N43">
        <f>N42+每年积分汇总1!N43</f>
        <v>779.9</v>
      </c>
      <c r="O43">
        <f>O42+每年积分汇总1!O43</f>
        <v>0</v>
      </c>
      <c r="P43">
        <f>P42+每年积分汇总1!P43</f>
        <v>0</v>
      </c>
      <c r="Q43">
        <f>Q42+每年积分汇总1!Q43</f>
        <v>0</v>
      </c>
      <c r="R43">
        <f>R42+每年积分汇总1!R43</f>
        <v>44719.400000000009</v>
      </c>
      <c r="S43">
        <f>S42+每年积分汇总1!S43</f>
        <v>29550.800000000003</v>
      </c>
      <c r="T43">
        <f>T42+每年积分汇总1!T43</f>
        <v>0</v>
      </c>
      <c r="U43">
        <f>U42+每年积分汇总1!U43</f>
        <v>30732.190000000002</v>
      </c>
      <c r="V43">
        <f>V42+每年积分汇总1!V43</f>
        <v>0</v>
      </c>
      <c r="W43">
        <f>W42+每年积分汇总1!W43</f>
        <v>97.57</v>
      </c>
      <c r="X43">
        <f>X42+每年积分汇总1!X43</f>
        <v>2745.99</v>
      </c>
      <c r="Y43">
        <f>Y42+每年积分汇总1!Y43</f>
        <v>0</v>
      </c>
      <c r="Z43">
        <f>Z42+每年积分汇总1!Z43</f>
        <v>3483.1099999999997</v>
      </c>
      <c r="AA43">
        <f>AA42+每年积分汇总1!AA43</f>
        <v>27826.959999999999</v>
      </c>
      <c r="AB43">
        <f>AB42+每年积分汇总1!AB43</f>
        <v>0</v>
      </c>
      <c r="AC43">
        <f>AC42+每年积分汇总1!AC43</f>
        <v>26616.59</v>
      </c>
      <c r="AD43">
        <f>AD42+每年积分汇总1!AD43</f>
        <v>0</v>
      </c>
      <c r="AE43">
        <f>AE42+每年积分汇总1!AE43</f>
        <v>0</v>
      </c>
      <c r="AF43">
        <f>AF42+每年积分汇总1!AF43</f>
        <v>0</v>
      </c>
      <c r="AG43">
        <f>AG42+每年积分汇总1!AG43</f>
        <v>0</v>
      </c>
      <c r="AH43">
        <f>AH42+每年积分汇总1!AH43</f>
        <v>0</v>
      </c>
      <c r="AI43">
        <f>AI42+每年积分汇总1!AI43</f>
        <v>0</v>
      </c>
      <c r="AJ43">
        <f>AJ42+每年积分汇总1!AJ43</f>
        <v>0</v>
      </c>
      <c r="AK43">
        <f>AK42+每年积分汇总1!AK43</f>
        <v>0</v>
      </c>
      <c r="AL43">
        <f>AL42+每年积分汇总1!AL43</f>
        <v>0</v>
      </c>
      <c r="AM43">
        <f>AM42+每年积分汇总1!AM43</f>
        <v>0</v>
      </c>
      <c r="AN43">
        <f>AN42+每年积分汇总1!AN43</f>
        <v>0</v>
      </c>
      <c r="AO43">
        <f>AO42+每年积分汇总1!AO43</f>
        <v>0</v>
      </c>
    </row>
    <row r="44" spans="1:41" ht="16.5">
      <c r="A44" s="1">
        <v>1989</v>
      </c>
      <c r="B44">
        <f>B43+每年积分汇总1!B44</f>
        <v>30230.81</v>
      </c>
      <c r="C44">
        <f>C43+每年积分汇总1!C44</f>
        <v>0</v>
      </c>
      <c r="D44">
        <f>D43+每年积分汇总1!D44</f>
        <v>119196.32</v>
      </c>
      <c r="E44">
        <f>E43+每年积分汇总1!E44</f>
        <v>100604.44</v>
      </c>
      <c r="F44">
        <f>F43+每年积分汇总1!F44</f>
        <v>0</v>
      </c>
      <c r="G44">
        <f>G43+每年积分汇总1!G44</f>
        <v>0</v>
      </c>
      <c r="H44">
        <f>H43+每年积分汇总1!H44</f>
        <v>73061.899999999994</v>
      </c>
      <c r="I44">
        <f>I43+每年积分汇总1!I44</f>
        <v>0</v>
      </c>
      <c r="J44">
        <f>J43+每年积分汇总1!J44</f>
        <v>63149.060000000012</v>
      </c>
      <c r="K44">
        <f>K43+每年积分汇总1!K44</f>
        <v>7670.54</v>
      </c>
      <c r="L44">
        <f>L43+每年积分汇总1!L44</f>
        <v>67716.259999999995</v>
      </c>
      <c r="M44">
        <f>M43+每年积分汇总1!M44</f>
        <v>66078.78</v>
      </c>
      <c r="N44">
        <f>N43+每年积分汇总1!N44</f>
        <v>1879.8600000000001</v>
      </c>
      <c r="O44">
        <f>O43+每年积分汇总1!O44</f>
        <v>0</v>
      </c>
      <c r="P44">
        <f>P43+每年积分汇总1!P44</f>
        <v>0</v>
      </c>
      <c r="Q44">
        <f>Q43+每年积分汇总1!Q44</f>
        <v>0</v>
      </c>
      <c r="R44">
        <f>R43+每年积分汇总1!R44</f>
        <v>45196.390000000007</v>
      </c>
      <c r="S44">
        <f>S43+每年积分汇总1!S44</f>
        <v>29550.800000000003</v>
      </c>
      <c r="T44">
        <f>T43+每年积分汇总1!T44</f>
        <v>0</v>
      </c>
      <c r="U44">
        <f>U43+每年积分汇总1!U44</f>
        <v>30732.190000000002</v>
      </c>
      <c r="V44">
        <f>V43+每年积分汇总1!V44</f>
        <v>0</v>
      </c>
      <c r="W44">
        <f>W43+每年积分汇总1!W44</f>
        <v>337.66999999999996</v>
      </c>
      <c r="X44">
        <f>X43+每年积分汇总1!X44</f>
        <v>5747.44</v>
      </c>
      <c r="Y44">
        <f>Y43+每年积分汇总1!Y44</f>
        <v>0</v>
      </c>
      <c r="Z44">
        <f>Z43+每年积分汇总1!Z44</f>
        <v>4795.3099999999995</v>
      </c>
      <c r="AA44">
        <f>AA43+每年积分汇总1!AA44</f>
        <v>27826.959999999999</v>
      </c>
      <c r="AB44">
        <f>AB43+每年积分汇总1!AB44</f>
        <v>0</v>
      </c>
      <c r="AC44">
        <f>AC43+每年积分汇总1!AC44</f>
        <v>26616.59</v>
      </c>
      <c r="AD44">
        <f>AD43+每年积分汇总1!AD44</f>
        <v>0</v>
      </c>
      <c r="AE44">
        <f>AE43+每年积分汇总1!AE44</f>
        <v>0</v>
      </c>
      <c r="AF44">
        <f>AF43+每年积分汇总1!AF44</f>
        <v>0</v>
      </c>
      <c r="AG44">
        <f>AG43+每年积分汇总1!AG44</f>
        <v>0</v>
      </c>
      <c r="AH44">
        <f>AH43+每年积分汇总1!AH44</f>
        <v>0</v>
      </c>
      <c r="AI44">
        <f>AI43+每年积分汇总1!AI44</f>
        <v>0</v>
      </c>
      <c r="AJ44">
        <f>AJ43+每年积分汇总1!AJ44</f>
        <v>0</v>
      </c>
      <c r="AK44">
        <f>AK43+每年积分汇总1!AK44</f>
        <v>0</v>
      </c>
      <c r="AL44">
        <f>AL43+每年积分汇总1!AL44</f>
        <v>0</v>
      </c>
      <c r="AM44">
        <f>AM43+每年积分汇总1!AM44</f>
        <v>0</v>
      </c>
      <c r="AN44">
        <f>AN43+每年积分汇总1!AN44</f>
        <v>0</v>
      </c>
      <c r="AO44">
        <f>AO43+每年积分汇总1!AO44</f>
        <v>0</v>
      </c>
    </row>
    <row r="45" spans="1:41" ht="16.5">
      <c r="A45" s="1">
        <v>1990</v>
      </c>
      <c r="B45">
        <f>B44+每年积分汇总1!B45</f>
        <v>40146.31</v>
      </c>
      <c r="C45">
        <f>C44+每年积分汇总1!C45</f>
        <v>0</v>
      </c>
      <c r="D45">
        <f>D44+每年积分汇总1!D45</f>
        <v>119196.32</v>
      </c>
      <c r="E45">
        <f>E44+每年积分汇总1!E45</f>
        <v>100604.44</v>
      </c>
      <c r="F45">
        <f>F44+每年积分汇总1!F45</f>
        <v>0</v>
      </c>
      <c r="G45">
        <f>G44+每年积分汇总1!G45</f>
        <v>0</v>
      </c>
      <c r="H45">
        <f>H44+每年积分汇总1!H45</f>
        <v>81091.899999999994</v>
      </c>
      <c r="I45">
        <f>I44+每年积分汇总1!I45</f>
        <v>0</v>
      </c>
      <c r="J45">
        <f>J44+每年积分汇总1!J45</f>
        <v>63149.060000000012</v>
      </c>
      <c r="K45">
        <f>K44+每年积分汇总1!K45</f>
        <v>10234.16</v>
      </c>
      <c r="L45">
        <f>L44+每年积分汇总1!L45</f>
        <v>67716.259999999995</v>
      </c>
      <c r="M45">
        <f>M44+每年积分汇总1!M45</f>
        <v>66453.63</v>
      </c>
      <c r="N45">
        <f>N44+每年积分汇总1!N45</f>
        <v>3094.7200000000003</v>
      </c>
      <c r="O45">
        <f>O44+每年积分汇总1!O45</f>
        <v>0</v>
      </c>
      <c r="P45">
        <f>P44+每年积分汇总1!P45</f>
        <v>0</v>
      </c>
      <c r="Q45">
        <f>Q44+每年积分汇总1!Q45</f>
        <v>0</v>
      </c>
      <c r="R45">
        <f>R44+每年积分汇总1!R45</f>
        <v>45372.130000000005</v>
      </c>
      <c r="S45">
        <f>S44+每年积分汇总1!S45</f>
        <v>29550.800000000003</v>
      </c>
      <c r="T45">
        <f>T44+每年积分汇总1!T45</f>
        <v>752.83</v>
      </c>
      <c r="U45">
        <f>U44+每年积分汇总1!U45</f>
        <v>30732.190000000002</v>
      </c>
      <c r="V45">
        <f>V44+每年积分汇总1!V45</f>
        <v>0</v>
      </c>
      <c r="W45">
        <f>W44+每年积分汇总1!W45</f>
        <v>718.03</v>
      </c>
      <c r="X45">
        <f>X44+每年积分汇总1!X45</f>
        <v>7229.62</v>
      </c>
      <c r="Y45">
        <f>Y44+每年积分汇总1!Y45</f>
        <v>0</v>
      </c>
      <c r="Z45">
        <f>Z44+每年积分汇总1!Z45</f>
        <v>6412.17</v>
      </c>
      <c r="AA45">
        <f>AA44+每年积分汇总1!AA45</f>
        <v>27826.959999999999</v>
      </c>
      <c r="AB45">
        <f>AB44+每年积分汇总1!AB45</f>
        <v>0</v>
      </c>
      <c r="AC45">
        <f>AC44+每年积分汇总1!AC45</f>
        <v>26616.59</v>
      </c>
      <c r="AD45">
        <f>AD44+每年积分汇总1!AD45</f>
        <v>0</v>
      </c>
      <c r="AE45">
        <f>AE44+每年积分汇总1!AE45</f>
        <v>0</v>
      </c>
      <c r="AF45">
        <f>AF44+每年积分汇总1!AF45</f>
        <v>0</v>
      </c>
      <c r="AG45">
        <f>AG44+每年积分汇总1!AG45</f>
        <v>0</v>
      </c>
      <c r="AH45">
        <f>AH44+每年积分汇总1!AH45</f>
        <v>0</v>
      </c>
      <c r="AI45">
        <f>AI44+每年积分汇总1!AI45</f>
        <v>0</v>
      </c>
      <c r="AJ45">
        <f>AJ44+每年积分汇总1!AJ45</f>
        <v>0</v>
      </c>
      <c r="AK45">
        <f>AK44+每年积分汇总1!AK45</f>
        <v>0</v>
      </c>
      <c r="AL45">
        <f>AL44+每年积分汇总1!AL45</f>
        <v>0</v>
      </c>
      <c r="AM45">
        <f>AM44+每年积分汇总1!AM45</f>
        <v>0</v>
      </c>
      <c r="AN45">
        <f>AN44+每年积分汇总1!AN45</f>
        <v>0</v>
      </c>
      <c r="AO45">
        <f>AO44+每年积分汇总1!AO45</f>
        <v>0</v>
      </c>
    </row>
    <row r="46" spans="1:41" ht="16.5">
      <c r="A46" s="1">
        <v>1991</v>
      </c>
      <c r="B46">
        <f>B45+每年积分汇总1!B46</f>
        <v>80173.31</v>
      </c>
      <c r="C46">
        <f>C45+每年积分汇总1!C46</f>
        <v>0</v>
      </c>
      <c r="D46">
        <f>D45+每年积分汇总1!D46</f>
        <v>119196.32</v>
      </c>
      <c r="E46">
        <f>E45+每年积分汇总1!E46</f>
        <v>100604.44</v>
      </c>
      <c r="F46">
        <f>F45+每年积分汇总1!F46</f>
        <v>0</v>
      </c>
      <c r="G46">
        <f>G45+每年积分汇总1!G46</f>
        <v>0</v>
      </c>
      <c r="H46">
        <f>H45+每年积分汇总1!H46</f>
        <v>82891.28</v>
      </c>
      <c r="I46">
        <f>I45+每年积分汇总1!I46</f>
        <v>0</v>
      </c>
      <c r="J46">
        <f>J45+每年积分汇总1!J46</f>
        <v>63149.060000000012</v>
      </c>
      <c r="K46">
        <f>K45+每年积分汇总1!K46</f>
        <v>11456</v>
      </c>
      <c r="L46">
        <f>L45+每年积分汇总1!L46</f>
        <v>67716.259999999995</v>
      </c>
      <c r="M46">
        <f>M45+每年积分汇总1!M46</f>
        <v>66729.75</v>
      </c>
      <c r="N46">
        <f>N45+每年积分汇总1!N46</f>
        <v>4383.92</v>
      </c>
      <c r="O46">
        <f>O45+每年积分汇总1!O46</f>
        <v>0</v>
      </c>
      <c r="P46">
        <f>P45+每年积分汇总1!P46</f>
        <v>0</v>
      </c>
      <c r="Q46">
        <f>Q45+每年积分汇总1!Q46</f>
        <v>0</v>
      </c>
      <c r="R46">
        <f>R45+每年积分汇总1!R46</f>
        <v>45576.850000000006</v>
      </c>
      <c r="S46">
        <f>S45+每年积分汇总1!S46</f>
        <v>29550.800000000003</v>
      </c>
      <c r="T46">
        <f>T45+每年积分汇总1!T46</f>
        <v>4393.33</v>
      </c>
      <c r="U46">
        <f>U45+每年积分汇总1!U46</f>
        <v>30732.190000000002</v>
      </c>
      <c r="V46">
        <f>V45+每年积分汇总1!V46</f>
        <v>0</v>
      </c>
      <c r="W46">
        <f>W45+每年积分汇总1!W46</f>
        <v>4799.95</v>
      </c>
      <c r="X46">
        <f>X45+每年积分汇总1!X46</f>
        <v>9132.82</v>
      </c>
      <c r="Y46">
        <f>Y45+每年积分汇总1!Y46</f>
        <v>0</v>
      </c>
      <c r="Z46">
        <f>Z45+每年积分汇总1!Z46</f>
        <v>7914.49</v>
      </c>
      <c r="AA46">
        <f>AA45+每年积分汇总1!AA46</f>
        <v>27826.959999999999</v>
      </c>
      <c r="AB46">
        <f>AB45+每年积分汇总1!AB46</f>
        <v>0</v>
      </c>
      <c r="AC46">
        <f>AC45+每年积分汇总1!AC46</f>
        <v>26616.59</v>
      </c>
      <c r="AD46">
        <f>AD45+每年积分汇总1!AD46</f>
        <v>0</v>
      </c>
      <c r="AE46">
        <f>AE45+每年积分汇总1!AE46</f>
        <v>0</v>
      </c>
      <c r="AF46">
        <f>AF45+每年积分汇总1!AF46</f>
        <v>0</v>
      </c>
      <c r="AG46">
        <f>AG45+每年积分汇总1!AG46</f>
        <v>0</v>
      </c>
      <c r="AH46">
        <f>AH45+每年积分汇总1!AH46</f>
        <v>0</v>
      </c>
      <c r="AI46">
        <f>AI45+每年积分汇总1!AI46</f>
        <v>0</v>
      </c>
      <c r="AJ46">
        <f>AJ45+每年积分汇总1!AJ46</f>
        <v>0</v>
      </c>
      <c r="AK46">
        <f>AK45+每年积分汇总1!AK46</f>
        <v>0</v>
      </c>
      <c r="AL46">
        <f>AL45+每年积分汇总1!AL46</f>
        <v>0</v>
      </c>
      <c r="AM46">
        <f>AM45+每年积分汇总1!AM46</f>
        <v>0</v>
      </c>
      <c r="AN46">
        <f>AN45+每年积分汇总1!AN46</f>
        <v>0</v>
      </c>
      <c r="AO46">
        <f>AO45+每年积分汇总1!AO46</f>
        <v>0</v>
      </c>
    </row>
    <row r="47" spans="1:41" ht="16.5">
      <c r="A47" s="1">
        <v>1992</v>
      </c>
      <c r="B47">
        <f>B46+每年积分汇总1!B47</f>
        <v>110463.06</v>
      </c>
      <c r="C47">
        <f>C46+每年积分汇总1!C47</f>
        <v>0</v>
      </c>
      <c r="D47">
        <f>D46+每年积分汇总1!D47</f>
        <v>119196.32</v>
      </c>
      <c r="E47">
        <f>E46+每年积分汇总1!E47</f>
        <v>100604.44</v>
      </c>
      <c r="F47">
        <f>F46+每年积分汇总1!F47</f>
        <v>0</v>
      </c>
      <c r="G47">
        <f>G46+每年积分汇总1!G47</f>
        <v>0</v>
      </c>
      <c r="H47">
        <f>H46+每年积分汇总1!H47</f>
        <v>82891.28</v>
      </c>
      <c r="I47">
        <f>I46+每年积分汇总1!I47</f>
        <v>0</v>
      </c>
      <c r="J47">
        <f>J46+每年积分汇总1!J47</f>
        <v>63149.060000000012</v>
      </c>
      <c r="K47">
        <f>K46+每年积分汇总1!K47</f>
        <v>11711.96</v>
      </c>
      <c r="L47">
        <f>L46+每年积分汇总1!L47</f>
        <v>67716.259999999995</v>
      </c>
      <c r="M47">
        <f>M46+每年积分汇总1!M47</f>
        <v>66964.649999999994</v>
      </c>
      <c r="N47">
        <f>N46+每年积分汇总1!N47</f>
        <v>6251.8</v>
      </c>
      <c r="O47">
        <f>O46+每年积分汇总1!O47</f>
        <v>0</v>
      </c>
      <c r="P47">
        <f>P46+每年积分汇总1!P47</f>
        <v>0</v>
      </c>
      <c r="Q47">
        <f>Q46+每年积分汇总1!Q47</f>
        <v>0</v>
      </c>
      <c r="R47">
        <f>R46+每年积分汇总1!R47</f>
        <v>45745.810000000005</v>
      </c>
      <c r="S47">
        <f>S46+每年积分汇总1!S47</f>
        <v>29550.800000000003</v>
      </c>
      <c r="T47">
        <f>T46+每年积分汇总1!T47</f>
        <v>6442.08</v>
      </c>
      <c r="U47">
        <f>U46+每年积分汇总1!U47</f>
        <v>30732.190000000002</v>
      </c>
      <c r="V47">
        <f>V46+每年积分汇总1!V47</f>
        <v>0</v>
      </c>
      <c r="W47">
        <f>W46+每年积分汇总1!W47</f>
        <v>9039.5499999999993</v>
      </c>
      <c r="X47">
        <f>X46+每年积分汇总1!X47</f>
        <v>12035.42</v>
      </c>
      <c r="Y47">
        <f>Y46+每年积分汇总1!Y47</f>
        <v>0</v>
      </c>
      <c r="Z47">
        <f>Z46+每年积分汇总1!Z47</f>
        <v>8240.34</v>
      </c>
      <c r="AA47">
        <f>AA46+每年积分汇总1!AA47</f>
        <v>27826.959999999999</v>
      </c>
      <c r="AB47">
        <f>AB46+每年积分汇总1!AB47</f>
        <v>0</v>
      </c>
      <c r="AC47">
        <f>AC46+每年积分汇总1!AC47</f>
        <v>26616.59</v>
      </c>
      <c r="AD47">
        <f>AD46+每年积分汇总1!AD47</f>
        <v>0</v>
      </c>
      <c r="AE47">
        <f>AE46+每年积分汇总1!AE47</f>
        <v>0</v>
      </c>
      <c r="AF47">
        <f>AF46+每年积分汇总1!AF47</f>
        <v>0</v>
      </c>
      <c r="AG47">
        <f>AG46+每年积分汇总1!AG47</f>
        <v>0</v>
      </c>
      <c r="AH47">
        <f>AH46+每年积分汇总1!AH47</f>
        <v>0</v>
      </c>
      <c r="AI47">
        <f>AI46+每年积分汇总1!AI47</f>
        <v>0</v>
      </c>
      <c r="AJ47">
        <f>AJ46+每年积分汇总1!AJ47</f>
        <v>0</v>
      </c>
      <c r="AK47">
        <f>AK46+每年积分汇总1!AK47</f>
        <v>0</v>
      </c>
      <c r="AL47">
        <f>AL46+每年积分汇总1!AL47</f>
        <v>0</v>
      </c>
      <c r="AM47">
        <f>AM46+每年积分汇总1!AM47</f>
        <v>0</v>
      </c>
      <c r="AN47">
        <f>AN46+每年积分汇总1!AN47</f>
        <v>0</v>
      </c>
      <c r="AO47">
        <f>AO46+每年积分汇总1!AO47</f>
        <v>0</v>
      </c>
    </row>
    <row r="48" spans="1:41" ht="16.5">
      <c r="A48" s="1">
        <v>1993</v>
      </c>
      <c r="B48">
        <f>B47+每年积分汇总1!B48</f>
        <v>136174.62</v>
      </c>
      <c r="C48">
        <f>C47+每年积分汇总1!C48</f>
        <v>0</v>
      </c>
      <c r="D48">
        <f>D47+每年积分汇总1!D48</f>
        <v>119196.32</v>
      </c>
      <c r="E48">
        <f>E47+每年积分汇总1!E48</f>
        <v>100604.44</v>
      </c>
      <c r="F48">
        <f>F47+每年积分汇总1!F48</f>
        <v>0</v>
      </c>
      <c r="G48">
        <f>G47+每年积分汇总1!G48</f>
        <v>261.06</v>
      </c>
      <c r="H48">
        <f>H47+每年积分汇总1!H48</f>
        <v>82891.28</v>
      </c>
      <c r="I48">
        <f>I47+每年积分汇总1!I48</f>
        <v>0</v>
      </c>
      <c r="J48">
        <f>J47+每年积分汇总1!J48</f>
        <v>63149.060000000012</v>
      </c>
      <c r="K48">
        <f>K47+每年积分汇总1!K48</f>
        <v>18099.739999999998</v>
      </c>
      <c r="L48">
        <f>L47+每年积分汇总1!L48</f>
        <v>67716.259999999995</v>
      </c>
      <c r="M48">
        <f>M47+每年积分汇总1!M48</f>
        <v>66964.649999999994</v>
      </c>
      <c r="N48">
        <f>N47+每年积分汇总1!N48</f>
        <v>7343.56</v>
      </c>
      <c r="O48">
        <f>O47+每年积分汇总1!O48</f>
        <v>0</v>
      </c>
      <c r="P48">
        <f>P47+每年积分汇总1!P48</f>
        <v>0</v>
      </c>
      <c r="Q48">
        <f>Q47+每年积分汇总1!Q48</f>
        <v>0</v>
      </c>
      <c r="R48">
        <f>R47+每年积分汇总1!R48</f>
        <v>45766.380000000005</v>
      </c>
      <c r="S48">
        <f>S47+每年积分汇总1!S48</f>
        <v>29550.800000000003</v>
      </c>
      <c r="T48">
        <f>T47+每年积分汇总1!T48</f>
        <v>7055.72</v>
      </c>
      <c r="U48">
        <f>U47+每年积分汇总1!U48</f>
        <v>30732.190000000002</v>
      </c>
      <c r="V48">
        <f>V47+每年积分汇总1!V48</f>
        <v>0</v>
      </c>
      <c r="W48">
        <f>W47+每年积分汇总1!W48</f>
        <v>11362.27</v>
      </c>
      <c r="X48">
        <f>X47+每年积分汇总1!X48</f>
        <v>13223.06</v>
      </c>
      <c r="Y48">
        <f>Y47+每年积分汇总1!Y48</f>
        <v>0</v>
      </c>
      <c r="Z48">
        <f>Z47+每年积分汇总1!Z48</f>
        <v>19200.939999999999</v>
      </c>
      <c r="AA48">
        <f>AA47+每年积分汇总1!AA48</f>
        <v>27826.959999999999</v>
      </c>
      <c r="AB48">
        <f>AB47+每年积分汇总1!AB48</f>
        <v>0</v>
      </c>
      <c r="AC48">
        <f>AC47+每年积分汇总1!AC48</f>
        <v>26616.59</v>
      </c>
      <c r="AD48">
        <f>AD47+每年积分汇总1!AD48</f>
        <v>0</v>
      </c>
      <c r="AE48">
        <f>AE47+每年积分汇总1!AE48</f>
        <v>0</v>
      </c>
      <c r="AF48">
        <f>AF47+每年积分汇总1!AF48</f>
        <v>0</v>
      </c>
      <c r="AG48">
        <f>AG47+每年积分汇总1!AG48</f>
        <v>0</v>
      </c>
      <c r="AH48">
        <f>AH47+每年积分汇总1!AH48</f>
        <v>0</v>
      </c>
      <c r="AI48">
        <f>AI47+每年积分汇总1!AI48</f>
        <v>0</v>
      </c>
      <c r="AJ48">
        <f>AJ47+每年积分汇总1!AJ48</f>
        <v>0</v>
      </c>
      <c r="AK48">
        <f>AK47+每年积分汇总1!AK48</f>
        <v>0</v>
      </c>
      <c r="AL48">
        <f>AL47+每年积分汇总1!AL48</f>
        <v>0</v>
      </c>
      <c r="AM48">
        <f>AM47+每年积分汇总1!AM48</f>
        <v>0</v>
      </c>
      <c r="AN48">
        <f>AN47+每年积分汇总1!AN48</f>
        <v>0</v>
      </c>
      <c r="AO48">
        <f>AO47+每年积分汇总1!AO48</f>
        <v>0</v>
      </c>
    </row>
    <row r="49" spans="1:41" ht="16.5">
      <c r="A49" s="1">
        <v>1994</v>
      </c>
      <c r="B49">
        <f>B48+每年积分汇总1!B49</f>
        <v>136174.62</v>
      </c>
      <c r="C49">
        <f>C48+每年积分汇总1!C49</f>
        <v>0</v>
      </c>
      <c r="D49">
        <f>D48+每年积分汇总1!D49</f>
        <v>119196.32</v>
      </c>
      <c r="E49">
        <f>E48+每年积分汇总1!E49</f>
        <v>100604.44</v>
      </c>
      <c r="F49">
        <f>F48+每年积分汇总1!F49</f>
        <v>0</v>
      </c>
      <c r="G49">
        <f>G48+每年积分汇总1!G49</f>
        <v>901.8599999999999</v>
      </c>
      <c r="H49">
        <f>H48+每年积分汇总1!H49</f>
        <v>82891.28</v>
      </c>
      <c r="I49">
        <f>I48+每年积分汇总1!I49</f>
        <v>0</v>
      </c>
      <c r="J49">
        <f>J48+每年积分汇总1!J49</f>
        <v>63149.060000000012</v>
      </c>
      <c r="K49">
        <f>K48+每年积分汇总1!K49</f>
        <v>46128.239999999991</v>
      </c>
      <c r="L49">
        <f>L48+每年积分汇总1!L49</f>
        <v>67716.259999999995</v>
      </c>
      <c r="M49">
        <f>M48+每年积分汇总1!M49</f>
        <v>66964.649999999994</v>
      </c>
      <c r="N49">
        <f>N48+每年积分汇总1!N49</f>
        <v>9011.68</v>
      </c>
      <c r="O49">
        <f>O48+每年积分汇总1!O49</f>
        <v>0</v>
      </c>
      <c r="P49">
        <f>P48+每年积分汇总1!P49</f>
        <v>0</v>
      </c>
      <c r="Q49">
        <f>Q48+每年积分汇总1!Q49</f>
        <v>0</v>
      </c>
      <c r="R49">
        <f>R48+每年积分汇总1!R49</f>
        <v>45801.780000000006</v>
      </c>
      <c r="S49">
        <f>S48+每年积分汇总1!S49</f>
        <v>29550.800000000003</v>
      </c>
      <c r="T49">
        <f>T48+每年积分汇总1!T49</f>
        <v>9418.82</v>
      </c>
      <c r="U49">
        <f>U48+每年积分汇总1!U49</f>
        <v>30732.190000000002</v>
      </c>
      <c r="V49">
        <f>V48+每年积分汇总1!V49</f>
        <v>0</v>
      </c>
      <c r="W49">
        <f>W48+每年积分汇总1!W49</f>
        <v>12963.79</v>
      </c>
      <c r="X49">
        <f>X48+每年积分汇总1!X49</f>
        <v>15615.46</v>
      </c>
      <c r="Y49">
        <f>Y48+每年积分汇总1!Y49</f>
        <v>0</v>
      </c>
      <c r="Z49">
        <f>Z48+每年积分汇总1!Z49</f>
        <v>19813.579999999998</v>
      </c>
      <c r="AA49">
        <f>AA48+每年积分汇总1!AA49</f>
        <v>27826.959999999999</v>
      </c>
      <c r="AB49">
        <f>AB48+每年积分汇总1!AB49</f>
        <v>0</v>
      </c>
      <c r="AC49">
        <f>AC48+每年积分汇总1!AC49</f>
        <v>26616.59</v>
      </c>
      <c r="AD49">
        <f>AD48+每年积分汇总1!AD49</f>
        <v>0</v>
      </c>
      <c r="AE49">
        <f>AE48+每年积分汇总1!AE49</f>
        <v>0</v>
      </c>
      <c r="AF49">
        <f>AF48+每年积分汇总1!AF49</f>
        <v>0</v>
      </c>
      <c r="AG49">
        <f>AG48+每年积分汇总1!AG49</f>
        <v>0</v>
      </c>
      <c r="AH49">
        <f>AH48+每年积分汇总1!AH49</f>
        <v>0</v>
      </c>
      <c r="AI49">
        <f>AI48+每年积分汇总1!AI49</f>
        <v>0</v>
      </c>
      <c r="AJ49">
        <f>AJ48+每年积分汇总1!AJ49</f>
        <v>0</v>
      </c>
      <c r="AK49">
        <f>AK48+每年积分汇总1!AK49</f>
        <v>0</v>
      </c>
      <c r="AL49">
        <f>AL48+每年积分汇总1!AL49</f>
        <v>0</v>
      </c>
      <c r="AM49">
        <f>AM48+每年积分汇总1!AM49</f>
        <v>0</v>
      </c>
      <c r="AN49">
        <f>AN48+每年积分汇总1!AN49</f>
        <v>0</v>
      </c>
      <c r="AO49">
        <f>AO48+每年积分汇总1!AO49</f>
        <v>0</v>
      </c>
    </row>
    <row r="50" spans="1:41" ht="16.5">
      <c r="A50" s="1">
        <v>1995</v>
      </c>
      <c r="B50">
        <f>B49+每年积分汇总1!B50</f>
        <v>136532.75</v>
      </c>
      <c r="C50">
        <f>C49+每年积分汇总1!C50</f>
        <v>0</v>
      </c>
      <c r="D50">
        <f>D49+每年积分汇总1!D50</f>
        <v>119196.32</v>
      </c>
      <c r="E50">
        <f>E49+每年积分汇总1!E50</f>
        <v>100604.44</v>
      </c>
      <c r="F50">
        <f>F49+每年积分汇总1!F50</f>
        <v>0</v>
      </c>
      <c r="G50">
        <f>G49+每年积分汇总1!G50</f>
        <v>3754.8599999999997</v>
      </c>
      <c r="H50">
        <f>H49+每年积分汇总1!H50</f>
        <v>82891.28</v>
      </c>
      <c r="I50">
        <f>I49+每年积分汇总1!I50</f>
        <v>0</v>
      </c>
      <c r="J50">
        <f>J49+每年积分汇总1!J50</f>
        <v>63149.060000000012</v>
      </c>
      <c r="K50">
        <f>K49+每年积分汇总1!K50</f>
        <v>56677.739999999991</v>
      </c>
      <c r="L50">
        <f>L49+每年积分汇总1!L50</f>
        <v>67716.259999999995</v>
      </c>
      <c r="M50">
        <f>M49+每年积分汇总1!M50</f>
        <v>66964.649999999994</v>
      </c>
      <c r="N50">
        <f>N49+每年积分汇总1!N50</f>
        <v>10123.64</v>
      </c>
      <c r="O50">
        <f>O49+每年积分汇总1!O50</f>
        <v>0</v>
      </c>
      <c r="P50">
        <f>P49+每年积分汇总1!P50</f>
        <v>0</v>
      </c>
      <c r="Q50">
        <f>Q49+每年积分汇总1!Q50</f>
        <v>0</v>
      </c>
      <c r="R50">
        <f>R49+每年积分汇总1!R50</f>
        <v>45817.510000000009</v>
      </c>
      <c r="S50">
        <f>S49+每年积分汇总1!S50</f>
        <v>29550.800000000003</v>
      </c>
      <c r="T50">
        <f>T49+每年积分汇总1!T50</f>
        <v>19442.57</v>
      </c>
      <c r="U50">
        <f>U49+每年积分汇总1!U50</f>
        <v>30732.190000000002</v>
      </c>
      <c r="V50">
        <f>V49+每年积分汇总1!V50</f>
        <v>0</v>
      </c>
      <c r="W50">
        <f>W49+每年积分汇总1!W50</f>
        <v>15449.69</v>
      </c>
      <c r="X50">
        <f>X49+每年积分汇总1!X50</f>
        <v>17550.14</v>
      </c>
      <c r="Y50">
        <f>Y49+每年积分汇总1!Y50</f>
        <v>0</v>
      </c>
      <c r="Z50">
        <f>Z49+每年积分汇总1!Z50</f>
        <v>20465</v>
      </c>
      <c r="AA50">
        <f>AA49+每年积分汇总1!AA50</f>
        <v>27826.959999999999</v>
      </c>
      <c r="AB50">
        <f>AB49+每年积分汇总1!AB50</f>
        <v>0</v>
      </c>
      <c r="AC50">
        <f>AC49+每年积分汇总1!AC50</f>
        <v>26616.59</v>
      </c>
      <c r="AD50">
        <f>AD49+每年积分汇总1!AD50</f>
        <v>0</v>
      </c>
      <c r="AE50">
        <f>AE49+每年积分汇总1!AE50</f>
        <v>0</v>
      </c>
      <c r="AF50">
        <f>AF49+每年积分汇总1!AF50</f>
        <v>0</v>
      </c>
      <c r="AG50">
        <f>AG49+每年积分汇总1!AG50</f>
        <v>0</v>
      </c>
      <c r="AH50">
        <f>AH49+每年积分汇总1!AH50</f>
        <v>0</v>
      </c>
      <c r="AI50">
        <f>AI49+每年积分汇总1!AI50</f>
        <v>0</v>
      </c>
      <c r="AJ50">
        <f>AJ49+每年积分汇总1!AJ50</f>
        <v>0</v>
      </c>
      <c r="AK50">
        <f>AK49+每年积分汇总1!AK50</f>
        <v>0</v>
      </c>
      <c r="AL50">
        <f>AL49+每年积分汇总1!AL50</f>
        <v>0</v>
      </c>
      <c r="AM50">
        <f>AM49+每年积分汇总1!AM50</f>
        <v>0</v>
      </c>
      <c r="AN50">
        <f>AN49+每年积分汇总1!AN50</f>
        <v>0</v>
      </c>
      <c r="AO50">
        <f>AO49+每年积分汇总1!AO50</f>
        <v>0</v>
      </c>
    </row>
    <row r="51" spans="1:41" ht="16.5">
      <c r="A51" s="1">
        <v>1996</v>
      </c>
      <c r="B51">
        <f>B50+每年积分汇总1!B51</f>
        <v>171285.5</v>
      </c>
      <c r="C51">
        <f>C50+每年积分汇总1!C51</f>
        <v>0</v>
      </c>
      <c r="D51">
        <f>D50+每年积分汇总1!D51</f>
        <v>119196.32</v>
      </c>
      <c r="E51">
        <f>E50+每年积分汇总1!E51</f>
        <v>100604.44</v>
      </c>
      <c r="F51">
        <f>F50+每年积分汇总1!F51</f>
        <v>0</v>
      </c>
      <c r="G51">
        <f>G50+每年积分汇总1!G51</f>
        <v>4305.92</v>
      </c>
      <c r="H51">
        <f>H50+每年积分汇总1!H51</f>
        <v>83130.84</v>
      </c>
      <c r="I51">
        <f>I50+每年积分汇总1!I51</f>
        <v>0</v>
      </c>
      <c r="J51">
        <f>J50+每年积分汇总1!J51</f>
        <v>63149.060000000012</v>
      </c>
      <c r="K51">
        <f>K50+每年积分汇总1!K51</f>
        <v>57100.589999999989</v>
      </c>
      <c r="L51">
        <f>L50+每年积分汇总1!L51</f>
        <v>67716.259999999995</v>
      </c>
      <c r="M51">
        <f>M50+每年积分汇总1!M51</f>
        <v>66964.649999999994</v>
      </c>
      <c r="N51">
        <f>N50+每年积分汇总1!N51</f>
        <v>11810.439999999999</v>
      </c>
      <c r="O51">
        <f>O50+每年积分汇总1!O51</f>
        <v>0</v>
      </c>
      <c r="P51">
        <f>P50+每年积分汇总1!P51</f>
        <v>85.320000000000007</v>
      </c>
      <c r="Q51">
        <f>Q50+每年积分汇总1!Q51</f>
        <v>0</v>
      </c>
      <c r="R51">
        <f>R50+每年积分汇总1!R51</f>
        <v>45817.510000000009</v>
      </c>
      <c r="S51">
        <f>S50+每年积分汇总1!S51</f>
        <v>29550.800000000003</v>
      </c>
      <c r="T51">
        <f>T50+每年积分汇总1!T51</f>
        <v>22279.73</v>
      </c>
      <c r="U51">
        <f>U50+每年积分汇总1!U51</f>
        <v>30732.190000000002</v>
      </c>
      <c r="V51">
        <f>V50+每年积分汇总1!V51</f>
        <v>0</v>
      </c>
      <c r="W51">
        <f>W50+每年积分汇总1!W51</f>
        <v>20120.79</v>
      </c>
      <c r="X51">
        <f>X50+每年积分汇总1!X51</f>
        <v>19285.939999999999</v>
      </c>
      <c r="Y51">
        <f>Y50+每年积分汇总1!Y51</f>
        <v>0</v>
      </c>
      <c r="Z51">
        <f>Z50+每年积分汇总1!Z51</f>
        <v>20983.95</v>
      </c>
      <c r="AA51">
        <f>AA50+每年积分汇总1!AA51</f>
        <v>27826.959999999999</v>
      </c>
      <c r="AB51">
        <f>AB50+每年积分汇总1!AB51</f>
        <v>0</v>
      </c>
      <c r="AC51">
        <f>AC50+每年积分汇总1!AC51</f>
        <v>26616.59</v>
      </c>
      <c r="AD51">
        <f>AD50+每年积分汇总1!AD51</f>
        <v>0</v>
      </c>
      <c r="AE51">
        <f>AE50+每年积分汇总1!AE51</f>
        <v>0</v>
      </c>
      <c r="AF51">
        <f>AF50+每年积分汇总1!AF51</f>
        <v>0</v>
      </c>
      <c r="AG51">
        <f>AG50+每年积分汇总1!AG51</f>
        <v>0</v>
      </c>
      <c r="AH51">
        <f>AH50+每年积分汇总1!AH51</f>
        <v>0</v>
      </c>
      <c r="AI51">
        <f>AI50+每年积分汇总1!AI51</f>
        <v>0</v>
      </c>
      <c r="AJ51">
        <f>AJ50+每年积分汇总1!AJ51</f>
        <v>0</v>
      </c>
      <c r="AK51">
        <f>AK50+每年积分汇总1!AK51</f>
        <v>0</v>
      </c>
      <c r="AL51">
        <f>AL50+每年积分汇总1!AL51</f>
        <v>0</v>
      </c>
      <c r="AM51">
        <f>AM50+每年积分汇总1!AM51</f>
        <v>0</v>
      </c>
      <c r="AN51">
        <f>AN50+每年积分汇总1!AN51</f>
        <v>0</v>
      </c>
      <c r="AO51">
        <f>AO50+每年积分汇总1!AO51</f>
        <v>0</v>
      </c>
    </row>
    <row r="52" spans="1:41" ht="16.5">
      <c r="A52" s="1">
        <v>1997</v>
      </c>
      <c r="B52">
        <f>B51+每年积分汇总1!B52</f>
        <v>191693.83000000002</v>
      </c>
      <c r="C52">
        <f>C51+每年积分汇总1!C52</f>
        <v>0</v>
      </c>
      <c r="D52">
        <f>D51+每年积分汇总1!D52</f>
        <v>119196.32</v>
      </c>
      <c r="E52">
        <f>E51+每年积分汇总1!E52</f>
        <v>100604.44</v>
      </c>
      <c r="F52">
        <f>F51+每年积分汇总1!F52</f>
        <v>0</v>
      </c>
      <c r="G52">
        <f>G51+每年积分汇总1!G52</f>
        <v>4912.32</v>
      </c>
      <c r="H52">
        <f>H51+每年积分汇总1!H52</f>
        <v>83130.84</v>
      </c>
      <c r="I52">
        <f>I51+每年积分汇总1!I52</f>
        <v>109.07000000000002</v>
      </c>
      <c r="J52">
        <f>J51+每年积分汇总1!J52</f>
        <v>63149.060000000012</v>
      </c>
      <c r="K52">
        <f>K51+每年积分汇总1!K52</f>
        <v>58663.12999999999</v>
      </c>
      <c r="L52">
        <f>L51+每年积分汇总1!L52</f>
        <v>67716.259999999995</v>
      </c>
      <c r="M52">
        <f>M51+每年积分汇总1!M52</f>
        <v>66964.649999999994</v>
      </c>
      <c r="N52">
        <f>N51+每年积分汇总1!N52</f>
        <v>21344.47</v>
      </c>
      <c r="O52">
        <f>O51+每年积分汇总1!O52</f>
        <v>0</v>
      </c>
      <c r="P52">
        <f>P51+每年积分汇总1!P52</f>
        <v>342.53000000000003</v>
      </c>
      <c r="Q52">
        <f>Q51+每年积分汇总1!Q52</f>
        <v>0</v>
      </c>
      <c r="R52">
        <f>R51+每年积分汇总1!R52</f>
        <v>45817.510000000009</v>
      </c>
      <c r="S52">
        <f>S51+每年积分汇总1!S52</f>
        <v>29550.800000000003</v>
      </c>
      <c r="T52">
        <f>T51+每年积分汇总1!T52</f>
        <v>22332.43</v>
      </c>
      <c r="U52">
        <f>U51+每年积分汇总1!U52</f>
        <v>30732.190000000002</v>
      </c>
      <c r="V52">
        <f>V51+每年积分汇总1!V52</f>
        <v>0</v>
      </c>
      <c r="W52">
        <f>W51+每年积分汇总1!W52</f>
        <v>23714.670000000002</v>
      </c>
      <c r="X52">
        <f>X51+每年积分汇总1!X52</f>
        <v>20073.949999999997</v>
      </c>
      <c r="Y52">
        <f>Y51+每年积分汇总1!Y52</f>
        <v>0</v>
      </c>
      <c r="Z52">
        <f>Z51+每年积分汇总1!Z52</f>
        <v>21540.9</v>
      </c>
      <c r="AA52">
        <f>AA51+每年积分汇总1!AA52</f>
        <v>27826.959999999999</v>
      </c>
      <c r="AB52">
        <f>AB51+每年积分汇总1!AB52</f>
        <v>0</v>
      </c>
      <c r="AC52">
        <f>AC51+每年积分汇总1!AC52</f>
        <v>26616.59</v>
      </c>
      <c r="AD52">
        <f>AD51+每年积分汇总1!AD52</f>
        <v>0</v>
      </c>
      <c r="AE52">
        <f>AE51+每年积分汇总1!AE52</f>
        <v>0</v>
      </c>
      <c r="AF52">
        <f>AF51+每年积分汇总1!AF52</f>
        <v>-4.59</v>
      </c>
      <c r="AG52">
        <f>AG51+每年积分汇总1!AG52</f>
        <v>0</v>
      </c>
      <c r="AH52">
        <f>AH51+每年积分汇总1!AH52</f>
        <v>91.8</v>
      </c>
      <c r="AI52">
        <f>AI51+每年积分汇总1!AI52</f>
        <v>0</v>
      </c>
      <c r="AJ52">
        <f>AJ51+每年积分汇总1!AJ52</f>
        <v>0</v>
      </c>
      <c r="AK52">
        <f>AK51+每年积分汇总1!AK52</f>
        <v>0</v>
      </c>
      <c r="AL52">
        <f>AL51+每年积分汇总1!AL52</f>
        <v>0</v>
      </c>
      <c r="AM52">
        <f>AM51+每年积分汇总1!AM52</f>
        <v>0</v>
      </c>
      <c r="AN52">
        <f>AN51+每年积分汇总1!AN52</f>
        <v>0</v>
      </c>
      <c r="AO52">
        <f>AO51+每年积分汇总1!AO52</f>
        <v>0</v>
      </c>
    </row>
    <row r="53" spans="1:41" ht="16.5">
      <c r="A53" s="1">
        <v>1998</v>
      </c>
      <c r="B53">
        <f>B52+每年积分汇总1!B53</f>
        <v>222650.33000000002</v>
      </c>
      <c r="C53">
        <f>C52+每年积分汇总1!C53</f>
        <v>0</v>
      </c>
      <c r="D53">
        <f>D52+每年积分汇总1!D53</f>
        <v>119196.32</v>
      </c>
      <c r="E53">
        <f>E52+每年积分汇总1!E53</f>
        <v>100604.44</v>
      </c>
      <c r="F53">
        <f>F52+每年积分汇总1!F53</f>
        <v>1072.5600000000002</v>
      </c>
      <c r="G53">
        <f>G52+每年积分汇总1!G53</f>
        <v>6518.44</v>
      </c>
      <c r="H53">
        <f>H52+每年积分汇总1!H53</f>
        <v>83130.84</v>
      </c>
      <c r="I53">
        <f>I52+每年积分汇总1!I53</f>
        <v>320.91999999999996</v>
      </c>
      <c r="J53">
        <f>J52+每年积分汇总1!J53</f>
        <v>63149.060000000012</v>
      </c>
      <c r="K53">
        <f>K52+每年积分汇总1!K53</f>
        <v>58890.329999999987</v>
      </c>
      <c r="L53">
        <f>L52+每年积分汇总1!L53</f>
        <v>67716.259999999995</v>
      </c>
      <c r="M53">
        <f>M52+每年积分汇总1!M53</f>
        <v>66964.649999999994</v>
      </c>
      <c r="N53">
        <f>N52+每年积分汇总1!N53</f>
        <v>24252.850000000002</v>
      </c>
      <c r="O53">
        <f>O52+每年积分汇总1!O53</f>
        <v>0</v>
      </c>
      <c r="P53">
        <f>P52+每年积分汇总1!P53</f>
        <v>636.27</v>
      </c>
      <c r="Q53">
        <f>Q52+每年积分汇总1!Q53</f>
        <v>0</v>
      </c>
      <c r="R53">
        <f>R52+每年积分汇总1!R53</f>
        <v>45817.510000000009</v>
      </c>
      <c r="S53">
        <f>S52+每年积分汇总1!S53</f>
        <v>29550.800000000003</v>
      </c>
      <c r="T53">
        <f>T52+每年积分汇总1!T53</f>
        <v>23021.02</v>
      </c>
      <c r="U53">
        <f>U52+每年积分汇总1!U53</f>
        <v>30732.190000000002</v>
      </c>
      <c r="V53">
        <f>V52+每年积分汇总1!V53</f>
        <v>0</v>
      </c>
      <c r="W53">
        <f>W52+每年积分汇总1!W53</f>
        <v>26926.410000000003</v>
      </c>
      <c r="X53">
        <f>X52+每年积分汇总1!X53</f>
        <v>20590.149999999998</v>
      </c>
      <c r="Y53">
        <f>Y52+每年积分汇总1!Y53</f>
        <v>0</v>
      </c>
      <c r="Z53">
        <f>Z52+每年积分汇总1!Z53</f>
        <v>21845.460000000003</v>
      </c>
      <c r="AA53">
        <f>AA52+每年积分汇总1!AA53</f>
        <v>27826.959999999999</v>
      </c>
      <c r="AB53">
        <f>AB52+每年积分汇总1!AB53</f>
        <v>0</v>
      </c>
      <c r="AC53">
        <f>AC52+每年积分汇总1!AC53</f>
        <v>26616.59</v>
      </c>
      <c r="AD53">
        <f>AD52+每年积分汇总1!AD53</f>
        <v>0</v>
      </c>
      <c r="AE53">
        <f>AE52+每年积分汇总1!AE53</f>
        <v>0</v>
      </c>
      <c r="AF53">
        <f>AF52+每年积分汇总1!AF53</f>
        <v>176.64000000000001</v>
      </c>
      <c r="AG53">
        <f>AG52+每年积分汇总1!AG53</f>
        <v>0</v>
      </c>
      <c r="AH53">
        <f>AH52+每年积分汇总1!AH53</f>
        <v>295.8</v>
      </c>
      <c r="AI53">
        <f>AI52+每年积分汇总1!AI53</f>
        <v>0</v>
      </c>
      <c r="AJ53">
        <f>AJ52+每年积分汇总1!AJ53</f>
        <v>0</v>
      </c>
      <c r="AK53">
        <f>AK52+每年积分汇总1!AK53</f>
        <v>52.199999999999996</v>
      </c>
      <c r="AL53">
        <f>AL52+每年积分汇总1!AL53</f>
        <v>0</v>
      </c>
      <c r="AM53">
        <f>AM52+每年积分汇总1!AM53</f>
        <v>0</v>
      </c>
      <c r="AN53">
        <f>AN52+每年积分汇总1!AN53</f>
        <v>0</v>
      </c>
      <c r="AO53">
        <f>AO52+每年积分汇总1!AO53</f>
        <v>0</v>
      </c>
    </row>
    <row r="54" spans="1:41" ht="16.5">
      <c r="A54" s="1">
        <v>1999</v>
      </c>
      <c r="B54">
        <f>B53+每年积分汇总1!B54</f>
        <v>222650.33000000002</v>
      </c>
      <c r="C54">
        <f>C53+每年积分汇总1!C54</f>
        <v>0</v>
      </c>
      <c r="D54">
        <f>D53+每年积分汇总1!D54</f>
        <v>119196.32</v>
      </c>
      <c r="E54">
        <f>E53+每年积分汇总1!E54</f>
        <v>100604.44</v>
      </c>
      <c r="F54">
        <f>F53+每年积分汇总1!F54</f>
        <v>13295.91</v>
      </c>
      <c r="G54">
        <f>G53+每年积分汇总1!G54</f>
        <v>7141.24</v>
      </c>
      <c r="H54">
        <f>H53+每年积分汇总1!H54</f>
        <v>83130.84</v>
      </c>
      <c r="I54">
        <f>I53+每年积分汇总1!I54</f>
        <v>571.79999999999995</v>
      </c>
      <c r="J54">
        <f>J53+每年积分汇总1!J54</f>
        <v>63149.060000000012</v>
      </c>
      <c r="K54">
        <f>K53+每年积分汇总1!K54</f>
        <v>59139.479999999989</v>
      </c>
      <c r="L54">
        <f>L53+每年积分汇总1!L54</f>
        <v>67716.259999999995</v>
      </c>
      <c r="M54">
        <f>M53+每年积分汇总1!M54</f>
        <v>66964.649999999994</v>
      </c>
      <c r="N54">
        <f>N53+每年积分汇总1!N54</f>
        <v>29919.61</v>
      </c>
      <c r="O54">
        <f>O53+每年积分汇总1!O54</f>
        <v>0</v>
      </c>
      <c r="P54">
        <f>P53+每年积分汇总1!P54</f>
        <v>960.38</v>
      </c>
      <c r="Q54">
        <f>Q53+每年积分汇总1!Q54</f>
        <v>0</v>
      </c>
      <c r="R54">
        <f>R53+每年积分汇总1!R54</f>
        <v>45817.510000000009</v>
      </c>
      <c r="S54">
        <f>S53+每年积分汇总1!S54</f>
        <v>29550.800000000003</v>
      </c>
      <c r="T54">
        <f>T53+每年积分汇总1!T54</f>
        <v>26521.32</v>
      </c>
      <c r="U54">
        <f>U53+每年积分汇总1!U54</f>
        <v>30732.190000000002</v>
      </c>
      <c r="V54">
        <f>V53+每年积分汇总1!V54</f>
        <v>23.040000000000003</v>
      </c>
      <c r="W54">
        <f>W53+每年积分汇总1!W54</f>
        <v>27147.08</v>
      </c>
      <c r="X54">
        <f>X53+每年积分汇总1!X54</f>
        <v>20915.109999999997</v>
      </c>
      <c r="Y54">
        <f>Y53+每年积分汇总1!Y54</f>
        <v>0</v>
      </c>
      <c r="Z54">
        <f>Z53+每年积分汇总1!Z54</f>
        <v>22286.640000000003</v>
      </c>
      <c r="AA54">
        <f>AA53+每年积分汇总1!AA54</f>
        <v>27826.959999999999</v>
      </c>
      <c r="AB54">
        <f>AB53+每年积分汇总1!AB54</f>
        <v>0</v>
      </c>
      <c r="AC54">
        <f>AC53+每年积分汇总1!AC54</f>
        <v>26616.59</v>
      </c>
      <c r="AD54">
        <f>AD53+每年积分汇总1!AD54</f>
        <v>0</v>
      </c>
      <c r="AE54">
        <f>AE53+每年积分汇总1!AE54</f>
        <v>0</v>
      </c>
      <c r="AF54">
        <f>AF53+每年积分汇总1!AF54</f>
        <v>198.44000000000003</v>
      </c>
      <c r="AG54">
        <f>AG53+每年积分汇总1!AG54</f>
        <v>0</v>
      </c>
      <c r="AH54">
        <f>AH53+每年积分汇总1!AH54</f>
        <v>1927.9599999999998</v>
      </c>
      <c r="AI54">
        <f>AI53+每年积分汇总1!AI54</f>
        <v>0</v>
      </c>
      <c r="AJ54">
        <f>AJ53+每年积分汇总1!AJ54</f>
        <v>0</v>
      </c>
      <c r="AK54">
        <f>AK53+每年积分汇总1!AK54</f>
        <v>140.78</v>
      </c>
      <c r="AL54">
        <f>AL53+每年积分汇总1!AL54</f>
        <v>0</v>
      </c>
      <c r="AM54">
        <f>AM53+每年积分汇总1!AM54</f>
        <v>0</v>
      </c>
      <c r="AN54">
        <f>AN53+每年积分汇总1!AN54</f>
        <v>0</v>
      </c>
      <c r="AO54">
        <f>AO53+每年积分汇总1!AO54</f>
        <v>0</v>
      </c>
    </row>
    <row r="55" spans="1:41" ht="16.5">
      <c r="A55" s="1">
        <v>2000</v>
      </c>
      <c r="B55">
        <f>B54+每年积分汇总1!B55</f>
        <v>222650.33000000002</v>
      </c>
      <c r="C55">
        <f>C54+每年积分汇总1!C55</f>
        <v>0</v>
      </c>
      <c r="D55">
        <f>D54+每年积分汇总1!D55</f>
        <v>119196.32</v>
      </c>
      <c r="E55">
        <f>E54+每年积分汇总1!E55</f>
        <v>100604.44</v>
      </c>
      <c r="F55">
        <f>F54+每年积分汇总1!F55</f>
        <v>14337.51</v>
      </c>
      <c r="G55">
        <f>G54+每年积分汇总1!G55</f>
        <v>42397.48</v>
      </c>
      <c r="H55">
        <f>H54+每年积分汇总1!H55</f>
        <v>83130.84</v>
      </c>
      <c r="I55">
        <f>I54+每年积分汇总1!I55</f>
        <v>3877.0200000000004</v>
      </c>
      <c r="J55">
        <f>J54+每年积分汇总1!J55</f>
        <v>63149.060000000012</v>
      </c>
      <c r="K55">
        <f>K54+每年积分汇总1!K55</f>
        <v>59182.899999999987</v>
      </c>
      <c r="L55">
        <f>L54+每年积分汇总1!L55</f>
        <v>67716.259999999995</v>
      </c>
      <c r="M55">
        <f>M54+每年积分汇总1!M55</f>
        <v>66964.649999999994</v>
      </c>
      <c r="N55">
        <f>N54+每年积分汇总1!N55</f>
        <v>30696.74</v>
      </c>
      <c r="O55">
        <f>O54+每年积分汇总1!O55</f>
        <v>0</v>
      </c>
      <c r="P55">
        <f>P54+每年积分汇总1!P55</f>
        <v>2282.96</v>
      </c>
      <c r="Q55">
        <f>Q54+每年积分汇总1!Q55</f>
        <v>0</v>
      </c>
      <c r="R55">
        <f>R54+每年积分汇总1!R55</f>
        <v>45817.510000000009</v>
      </c>
      <c r="S55">
        <f>S54+每年积分汇总1!S55</f>
        <v>29550.800000000003</v>
      </c>
      <c r="T55">
        <f>T54+每年积分汇总1!T55</f>
        <v>27075.94</v>
      </c>
      <c r="U55">
        <f>U54+每年积分汇总1!U55</f>
        <v>30732.190000000002</v>
      </c>
      <c r="V55">
        <f>V54+每年积分汇总1!V55</f>
        <v>182.29</v>
      </c>
      <c r="W55">
        <f>W54+每年积分汇总1!W55</f>
        <v>27536.400000000001</v>
      </c>
      <c r="X55">
        <f>X54+每年积分汇总1!X55</f>
        <v>21372.389999999996</v>
      </c>
      <c r="Y55">
        <f>Y54+每年积分汇总1!Y55</f>
        <v>0</v>
      </c>
      <c r="Z55">
        <f>Z54+每年积分汇总1!Z55</f>
        <v>22344.06</v>
      </c>
      <c r="AA55">
        <f>AA54+每年积分汇总1!AA55</f>
        <v>27826.959999999999</v>
      </c>
      <c r="AB55">
        <f>AB54+每年积分汇总1!AB55</f>
        <v>0</v>
      </c>
      <c r="AC55">
        <f>AC54+每年积分汇总1!AC55</f>
        <v>26616.59</v>
      </c>
      <c r="AD55">
        <f>AD54+每年积分汇总1!AD55</f>
        <v>0</v>
      </c>
      <c r="AE55">
        <f>AE54+每年积分汇总1!AE55</f>
        <v>0</v>
      </c>
      <c r="AF55">
        <f>AF54+每年积分汇总1!AF55</f>
        <v>252.44000000000003</v>
      </c>
      <c r="AG55">
        <f>AG54+每年积分汇总1!AG55</f>
        <v>0</v>
      </c>
      <c r="AH55">
        <f>AH54+每年积分汇总1!AH55</f>
        <v>2202.16</v>
      </c>
      <c r="AI55">
        <f>AI54+每年积分汇总1!AI55</f>
        <v>0</v>
      </c>
      <c r="AJ55">
        <f>AJ54+每年积分汇总1!AJ55</f>
        <v>0</v>
      </c>
      <c r="AK55">
        <f>AK54+每年积分汇总1!AK55</f>
        <v>384.58000000000004</v>
      </c>
      <c r="AL55">
        <f>AL54+每年积分汇总1!AL55</f>
        <v>0</v>
      </c>
      <c r="AM55">
        <f>AM54+每年积分汇总1!AM55</f>
        <v>0</v>
      </c>
      <c r="AN55">
        <f>AN54+每年积分汇总1!AN55</f>
        <v>0</v>
      </c>
      <c r="AO55">
        <f>AO54+每年积分汇总1!AO55</f>
        <v>0</v>
      </c>
    </row>
    <row r="56" spans="1:41" ht="16.5">
      <c r="A56" s="1">
        <v>2001</v>
      </c>
      <c r="B56">
        <f>B55+每年积分汇总1!B56</f>
        <v>222739.34000000003</v>
      </c>
      <c r="C56">
        <f>C55+每年积分汇总1!C56</f>
        <v>0</v>
      </c>
      <c r="D56">
        <f>D55+每年积分汇总1!D56</f>
        <v>119196.32</v>
      </c>
      <c r="E56">
        <f>E55+每年积分汇总1!E56</f>
        <v>100604.44</v>
      </c>
      <c r="F56">
        <f>F55+每年积分汇总1!F56</f>
        <v>16456.29</v>
      </c>
      <c r="G56">
        <f>G55+每年积分汇总1!G56</f>
        <v>58562.3</v>
      </c>
      <c r="H56">
        <f>H55+每年积分汇总1!H56</f>
        <v>83130.84</v>
      </c>
      <c r="I56">
        <f>I55+每年积分汇总1!I56</f>
        <v>8383.77</v>
      </c>
      <c r="J56">
        <f>J55+每年积分汇总1!J56</f>
        <v>63149.060000000012</v>
      </c>
      <c r="K56">
        <f>K55+每年积分汇总1!K56</f>
        <v>59307.099999999984</v>
      </c>
      <c r="L56">
        <f>L55+每年积分汇总1!L56</f>
        <v>67716.259999999995</v>
      </c>
      <c r="M56">
        <f>M55+每年积分汇总1!M56</f>
        <v>66964.649999999994</v>
      </c>
      <c r="N56">
        <f>N55+每年积分汇总1!N56</f>
        <v>31163.210000000003</v>
      </c>
      <c r="O56">
        <f>O55+每年积分汇总1!O56</f>
        <v>0</v>
      </c>
      <c r="P56">
        <f>P55+每年积分汇总1!P56</f>
        <v>3367.9</v>
      </c>
      <c r="Q56">
        <f>Q55+每年积分汇总1!Q56</f>
        <v>0</v>
      </c>
      <c r="R56">
        <f>R55+每年积分汇总1!R56</f>
        <v>45817.510000000009</v>
      </c>
      <c r="S56">
        <f>S55+每年积分汇总1!S56</f>
        <v>29550.800000000003</v>
      </c>
      <c r="T56">
        <f>T55+每年积分汇总1!T56</f>
        <v>27729.41</v>
      </c>
      <c r="U56">
        <f>U55+每年积分汇总1!U56</f>
        <v>30732.190000000002</v>
      </c>
      <c r="V56">
        <f>V55+每年积分汇总1!V56</f>
        <v>839.02</v>
      </c>
      <c r="W56">
        <f>W55+每年积分汇总1!W56</f>
        <v>27668.93</v>
      </c>
      <c r="X56">
        <f>X55+每年积分汇总1!X56</f>
        <v>21832.629999999997</v>
      </c>
      <c r="Y56">
        <f>Y55+每年积分汇总1!Y56</f>
        <v>0</v>
      </c>
      <c r="Z56">
        <f>Z55+每年积分汇总1!Z56</f>
        <v>22344.06</v>
      </c>
      <c r="AA56">
        <f>AA55+每年积分汇总1!AA56</f>
        <v>27826.959999999999</v>
      </c>
      <c r="AB56">
        <f>AB55+每年积分汇总1!AB56</f>
        <v>0</v>
      </c>
      <c r="AC56">
        <f>AC55+每年积分汇总1!AC56</f>
        <v>26616.59</v>
      </c>
      <c r="AD56">
        <f>AD55+每年积分汇总1!AD56</f>
        <v>0</v>
      </c>
      <c r="AE56">
        <f>AE55+每年积分汇总1!AE56</f>
        <v>0</v>
      </c>
      <c r="AF56">
        <f>AF55+每年积分汇总1!AF56</f>
        <v>557.48</v>
      </c>
      <c r="AG56">
        <f>AG55+每年积分汇总1!AG56</f>
        <v>0</v>
      </c>
      <c r="AH56">
        <f>AH55+每年积分汇总1!AH56</f>
        <v>12330.460000000001</v>
      </c>
      <c r="AI56">
        <f>AI55+每年积分汇总1!AI56</f>
        <v>0</v>
      </c>
      <c r="AJ56">
        <f>AJ55+每年积分汇总1!AJ56</f>
        <v>0</v>
      </c>
      <c r="AK56">
        <f>AK55+每年积分汇总1!AK56</f>
        <v>914.26</v>
      </c>
      <c r="AL56">
        <f>AL55+每年积分汇总1!AL56</f>
        <v>0</v>
      </c>
      <c r="AM56">
        <f>AM55+每年积分汇总1!AM56</f>
        <v>0</v>
      </c>
      <c r="AN56">
        <f>AN55+每年积分汇总1!AN56</f>
        <v>0</v>
      </c>
      <c r="AO56">
        <f>AO55+每年积分汇总1!AO56</f>
        <v>0</v>
      </c>
    </row>
    <row r="57" spans="1:41" ht="16.5">
      <c r="A57" s="1">
        <v>2002</v>
      </c>
      <c r="B57">
        <f>B56+每年积分汇总1!B57</f>
        <v>222878.30000000002</v>
      </c>
      <c r="C57">
        <f>C56+每年积分汇总1!C57</f>
        <v>0</v>
      </c>
      <c r="D57">
        <f>D56+每年积分汇总1!D57</f>
        <v>119196.32</v>
      </c>
      <c r="E57">
        <f>E56+每年积分汇总1!E57</f>
        <v>100604.44</v>
      </c>
      <c r="F57">
        <f>F56+每年积分汇总1!F57</f>
        <v>27286.89</v>
      </c>
      <c r="G57">
        <f>G56+每年积分汇总1!G57</f>
        <v>73975.460000000006</v>
      </c>
      <c r="H57">
        <f>H56+每年积分汇总1!H57</f>
        <v>83130.84</v>
      </c>
      <c r="I57">
        <f>I56+每年积分汇总1!I57</f>
        <v>12504.81</v>
      </c>
      <c r="J57">
        <f>J56+每年积分汇总1!J57</f>
        <v>63149.060000000012</v>
      </c>
      <c r="K57">
        <f>K56+每年积分汇总1!K57</f>
        <v>59460.339999999982</v>
      </c>
      <c r="L57">
        <f>L56+每年积分汇总1!L57</f>
        <v>67716.259999999995</v>
      </c>
      <c r="M57">
        <f>M56+每年积分汇总1!M57</f>
        <v>66964.649999999994</v>
      </c>
      <c r="N57">
        <f>N56+每年积分汇总1!N57</f>
        <v>31492.49</v>
      </c>
      <c r="O57">
        <f>O56+每年积分汇总1!O57</f>
        <v>0</v>
      </c>
      <c r="P57">
        <f>P56+每年积分汇总1!P57</f>
        <v>4356.2800000000007</v>
      </c>
      <c r="Q57">
        <f>Q56+每年积分汇总1!Q57</f>
        <v>0</v>
      </c>
      <c r="R57">
        <f>R56+每年积分汇总1!R57</f>
        <v>45817.510000000009</v>
      </c>
      <c r="S57">
        <f>S56+每年积分汇总1!S57</f>
        <v>29550.800000000003</v>
      </c>
      <c r="T57">
        <f>T56+每年积分汇总1!T57</f>
        <v>28030.34</v>
      </c>
      <c r="U57">
        <f>U56+每年积分汇总1!U57</f>
        <v>30732.190000000002</v>
      </c>
      <c r="V57">
        <f>V56+每年积分汇总1!V57</f>
        <v>1483.6599999999999</v>
      </c>
      <c r="W57">
        <f>W56+每年积分汇总1!W57</f>
        <v>27878.71</v>
      </c>
      <c r="X57">
        <f>X56+每年积分汇总1!X57</f>
        <v>22277.559999999998</v>
      </c>
      <c r="Y57">
        <f>Y56+每年积分汇总1!Y57</f>
        <v>0</v>
      </c>
      <c r="Z57">
        <f>Z56+每年积分汇总1!Z57</f>
        <v>22344.06</v>
      </c>
      <c r="AA57">
        <f>AA56+每年积分汇总1!AA57</f>
        <v>27826.959999999999</v>
      </c>
      <c r="AB57">
        <f>AB56+每年积分汇总1!AB57</f>
        <v>0</v>
      </c>
      <c r="AC57">
        <f>AC56+每年积分汇总1!AC57</f>
        <v>26616.59</v>
      </c>
      <c r="AD57">
        <f>AD56+每年积分汇总1!AD57</f>
        <v>0</v>
      </c>
      <c r="AE57">
        <f>AE56+每年积分汇总1!AE57</f>
        <v>0</v>
      </c>
      <c r="AF57">
        <f>AF56+每年积分汇总1!AF57</f>
        <v>942.06</v>
      </c>
      <c r="AG57">
        <f>AG56+每年积分汇总1!AG57</f>
        <v>0</v>
      </c>
      <c r="AH57">
        <f>AH56+每年积分汇总1!AH57</f>
        <v>14167.51</v>
      </c>
      <c r="AI57">
        <f>AI56+每年积分汇总1!AI57</f>
        <v>0</v>
      </c>
      <c r="AJ57">
        <f>AJ56+每年积分汇总1!AJ57</f>
        <v>187.35999999999999</v>
      </c>
      <c r="AK57">
        <f>AK56+每年积分汇总1!AK57</f>
        <v>1951.3600000000001</v>
      </c>
      <c r="AL57">
        <f>AL56+每年积分汇总1!AL57</f>
        <v>0</v>
      </c>
      <c r="AM57">
        <f>AM56+每年积分汇总1!AM57</f>
        <v>0</v>
      </c>
      <c r="AN57">
        <f>AN56+每年积分汇总1!AN57</f>
        <v>0</v>
      </c>
      <c r="AO57">
        <f>AO56+每年积分汇总1!AO57</f>
        <v>0</v>
      </c>
    </row>
    <row r="58" spans="1:41" ht="16.5">
      <c r="A58" s="1">
        <v>2003</v>
      </c>
      <c r="B58">
        <f>B57+每年积分汇总1!B58</f>
        <v>222878.30000000002</v>
      </c>
      <c r="C58">
        <f>C57+每年积分汇总1!C58</f>
        <v>0</v>
      </c>
      <c r="D58">
        <f>D57+每年积分汇总1!D58</f>
        <v>119196.32</v>
      </c>
      <c r="E58">
        <f>E57+每年积分汇总1!E58</f>
        <v>100604.44</v>
      </c>
      <c r="F58">
        <f>F57+每年积分汇总1!F58</f>
        <v>60649.54</v>
      </c>
      <c r="G58">
        <f>G57+每年积分汇总1!G58</f>
        <v>75853.66</v>
      </c>
      <c r="H58">
        <f>H57+每年积分汇总1!H58</f>
        <v>83130.84</v>
      </c>
      <c r="I58">
        <f>I57+每年积分汇总1!I58</f>
        <v>14587.05</v>
      </c>
      <c r="J58">
        <f>J57+每年积分汇总1!J58</f>
        <v>63149.060000000012</v>
      </c>
      <c r="K58">
        <f>K57+每年积分汇总1!K58</f>
        <v>59460.339999999982</v>
      </c>
      <c r="L58">
        <f>L57+每年积分汇总1!L58</f>
        <v>67716.259999999995</v>
      </c>
      <c r="M58">
        <f>M57+每年积分汇总1!M58</f>
        <v>66964.649999999994</v>
      </c>
      <c r="N58">
        <f>N57+每年积分汇总1!N58</f>
        <v>31822.560000000001</v>
      </c>
      <c r="O58">
        <f>O57+每年积分汇总1!O58</f>
        <v>0</v>
      </c>
      <c r="P58">
        <f>P57+每年积分汇总1!P58</f>
        <v>6346.0000000000009</v>
      </c>
      <c r="Q58">
        <f>Q57+每年积分汇总1!Q58</f>
        <v>0</v>
      </c>
      <c r="R58">
        <f>R57+每年积分汇总1!R58</f>
        <v>45817.510000000009</v>
      </c>
      <c r="S58">
        <f>S57+每年积分汇总1!S58</f>
        <v>29550.800000000003</v>
      </c>
      <c r="T58">
        <f>T57+每年积分汇总1!T58</f>
        <v>30113.59</v>
      </c>
      <c r="U58">
        <f>U57+每年积分汇总1!U58</f>
        <v>30732.190000000002</v>
      </c>
      <c r="V58">
        <f>V57+每年积分汇总1!V58</f>
        <v>2339.02</v>
      </c>
      <c r="W58">
        <f>W57+每年积分汇总1!W58</f>
        <v>27999.649999999998</v>
      </c>
      <c r="X58">
        <f>X57+每年积分汇总1!X58</f>
        <v>22590.159999999996</v>
      </c>
      <c r="Y58">
        <f>Y57+每年积分汇总1!Y58</f>
        <v>0</v>
      </c>
      <c r="Z58">
        <f>Z57+每年积分汇总1!Z58</f>
        <v>22344.06</v>
      </c>
      <c r="AA58">
        <f>AA57+每年积分汇总1!AA58</f>
        <v>27826.959999999999</v>
      </c>
      <c r="AB58">
        <f>AB57+每年积分汇总1!AB58</f>
        <v>0</v>
      </c>
      <c r="AC58">
        <f>AC57+每年积分汇总1!AC58</f>
        <v>26616.59</v>
      </c>
      <c r="AD58">
        <f>AD57+每年积分汇总1!AD58</f>
        <v>0</v>
      </c>
      <c r="AE58">
        <f>AE57+每年积分汇总1!AE58</f>
        <v>0</v>
      </c>
      <c r="AF58">
        <f>AF57+每年积分汇总1!AF58</f>
        <v>1471.17</v>
      </c>
      <c r="AG58">
        <f>AG57+每年积分汇总1!AG58</f>
        <v>1544.7</v>
      </c>
      <c r="AH58">
        <f>AH57+每年积分汇总1!AH58</f>
        <v>15736.630000000001</v>
      </c>
      <c r="AI58">
        <f>AI57+每年积分汇总1!AI58</f>
        <v>0</v>
      </c>
      <c r="AJ58">
        <f>AJ57+每年积分汇总1!AJ58</f>
        <v>1529.86</v>
      </c>
      <c r="AK58">
        <f>AK57+每年积分汇总1!AK58</f>
        <v>5211.880000000001</v>
      </c>
      <c r="AL58">
        <f>AL57+每年积分汇总1!AL58</f>
        <v>0</v>
      </c>
      <c r="AM58">
        <f>AM57+每年积分汇总1!AM58</f>
        <v>0</v>
      </c>
      <c r="AN58">
        <f>AN57+每年积分汇总1!AN58</f>
        <v>0</v>
      </c>
      <c r="AO58">
        <f>AO57+每年积分汇总1!AO58</f>
        <v>199.82</v>
      </c>
    </row>
    <row r="59" spans="1:41" ht="16.5">
      <c r="A59" s="1">
        <v>2004</v>
      </c>
      <c r="B59">
        <f>B58+每年积分汇总1!B59</f>
        <v>222878.30000000002</v>
      </c>
      <c r="C59">
        <f>C58+每年积分汇总1!C59</f>
        <v>111.63</v>
      </c>
      <c r="D59">
        <f>D58+每年积分汇总1!D59</f>
        <v>119196.32</v>
      </c>
      <c r="E59">
        <f>E58+每年积分汇总1!E59</f>
        <v>100604.44</v>
      </c>
      <c r="F59">
        <f>F58+每年积分汇总1!F59</f>
        <v>62016.26</v>
      </c>
      <c r="G59">
        <f>G58+每年积分汇总1!G59</f>
        <v>77600.78</v>
      </c>
      <c r="H59">
        <f>H58+每年积分汇总1!H59</f>
        <v>83130.84</v>
      </c>
      <c r="I59">
        <f>I58+每年积分汇总1!I59</f>
        <v>16647.419999999998</v>
      </c>
      <c r="J59">
        <f>J58+每年积分汇总1!J59</f>
        <v>63149.060000000012</v>
      </c>
      <c r="K59">
        <f>K58+每年积分汇总1!K59</f>
        <v>59460.339999999982</v>
      </c>
      <c r="L59">
        <f>L58+每年积分汇总1!L59</f>
        <v>67716.259999999995</v>
      </c>
      <c r="M59">
        <f>M58+每年积分汇总1!M59</f>
        <v>66964.649999999994</v>
      </c>
      <c r="N59">
        <f>N58+每年积分汇总1!N59</f>
        <v>32072.15</v>
      </c>
      <c r="O59">
        <f>O58+每年积分汇总1!O59</f>
        <v>0</v>
      </c>
      <c r="P59">
        <f>P58+每年积分汇总1!P59</f>
        <v>19734.960000000003</v>
      </c>
      <c r="Q59">
        <f>Q58+每年积分汇总1!Q59</f>
        <v>0</v>
      </c>
      <c r="R59">
        <f>R58+每年积分汇总1!R59</f>
        <v>45817.510000000009</v>
      </c>
      <c r="S59">
        <f>S58+每年积分汇总1!S59</f>
        <v>29550.800000000003</v>
      </c>
      <c r="T59">
        <f>T58+每年积分汇总1!T59</f>
        <v>30113.59</v>
      </c>
      <c r="U59">
        <f>U58+每年积分汇总1!U59</f>
        <v>30732.190000000002</v>
      </c>
      <c r="V59">
        <f>V58+每年积分汇总1!V59</f>
        <v>2936.52</v>
      </c>
      <c r="W59">
        <f>W58+每年积分汇总1!W59</f>
        <v>28015.769999999997</v>
      </c>
      <c r="X59">
        <f>X58+每年积分汇总1!X59</f>
        <v>22590.159999999996</v>
      </c>
      <c r="Y59">
        <f>Y58+每年积分汇总1!Y59</f>
        <v>0</v>
      </c>
      <c r="Z59">
        <f>Z58+每年积分汇总1!Z59</f>
        <v>22344.06</v>
      </c>
      <c r="AA59">
        <f>AA58+每年积分汇总1!AA59</f>
        <v>27826.959999999999</v>
      </c>
      <c r="AB59">
        <f>AB58+每年积分汇总1!AB59</f>
        <v>284.41000000000003</v>
      </c>
      <c r="AC59">
        <f>AC58+每年积分汇总1!AC59</f>
        <v>26616.59</v>
      </c>
      <c r="AD59">
        <f>AD58+每年积分汇总1!AD59</f>
        <v>0</v>
      </c>
      <c r="AE59">
        <f>AE58+每年积分汇总1!AE59</f>
        <v>0</v>
      </c>
      <c r="AF59">
        <f>AF58+每年积分汇总1!AF59</f>
        <v>1780.5700000000002</v>
      </c>
      <c r="AG59">
        <f>AG58+每年积分汇总1!AG59</f>
        <v>1986.85</v>
      </c>
      <c r="AH59">
        <f>AH58+每年积分汇总1!AH59</f>
        <v>15809.970000000001</v>
      </c>
      <c r="AI59">
        <f>AI58+每年积分汇总1!AI59</f>
        <v>0</v>
      </c>
      <c r="AJ59">
        <f>AJ58+每年积分汇总1!AJ59</f>
        <v>1852.31</v>
      </c>
      <c r="AK59">
        <f>AK58+每年积分汇总1!AK59</f>
        <v>5925.3400000000011</v>
      </c>
      <c r="AL59">
        <f>AL58+每年积分汇总1!AL59</f>
        <v>164.16000000000003</v>
      </c>
      <c r="AM59">
        <f>AM58+每年积分汇总1!AM59</f>
        <v>0</v>
      </c>
      <c r="AN59">
        <f>AN58+每年积分汇总1!AN59</f>
        <v>0</v>
      </c>
      <c r="AO59">
        <f>AO58+每年积分汇总1!AO59</f>
        <v>568.23</v>
      </c>
    </row>
    <row r="60" spans="1:41" ht="16.5">
      <c r="A60" s="1">
        <v>2005</v>
      </c>
      <c r="B60">
        <f>B59+每年积分汇总1!B60</f>
        <v>222878.30000000002</v>
      </c>
      <c r="C60">
        <f>C59+每年积分汇总1!C60</f>
        <v>504.84</v>
      </c>
      <c r="D60">
        <f>D59+每年积分汇总1!D60</f>
        <v>119196.32</v>
      </c>
      <c r="E60">
        <f>E59+每年积分汇总1!E60</f>
        <v>100604.44</v>
      </c>
      <c r="F60">
        <f>F59+每年积分汇总1!F60</f>
        <v>75361.010000000009</v>
      </c>
      <c r="G60">
        <f>G59+每年积分汇总1!G60</f>
        <v>78574.58</v>
      </c>
      <c r="H60">
        <f>H59+每年积分汇总1!H60</f>
        <v>83130.84</v>
      </c>
      <c r="I60">
        <f>I59+每年积分汇总1!I60</f>
        <v>16859.449999999997</v>
      </c>
      <c r="J60">
        <f>J59+每年积分汇总1!J60</f>
        <v>63149.060000000012</v>
      </c>
      <c r="K60">
        <f>K59+每年积分汇总1!K60</f>
        <v>59460.339999999982</v>
      </c>
      <c r="L60">
        <f>L59+每年积分汇总1!L60</f>
        <v>67716.259999999995</v>
      </c>
      <c r="M60">
        <f>M59+每年积分汇总1!M60</f>
        <v>66964.649999999994</v>
      </c>
      <c r="N60">
        <f>N59+每年积分汇总1!N60</f>
        <v>32072.15</v>
      </c>
      <c r="O60">
        <f>O59+每年积分汇总1!O60</f>
        <v>0</v>
      </c>
      <c r="P60">
        <f>P59+每年积分汇总1!P60</f>
        <v>21663.840000000004</v>
      </c>
      <c r="Q60">
        <f>Q59+每年积分汇总1!Q60</f>
        <v>0</v>
      </c>
      <c r="R60">
        <f>R59+每年积分汇总1!R60</f>
        <v>45817.510000000009</v>
      </c>
      <c r="S60">
        <f>S59+每年积分汇总1!S60</f>
        <v>29550.800000000003</v>
      </c>
      <c r="T60">
        <f>T59+每年积分汇总1!T60</f>
        <v>30113.59</v>
      </c>
      <c r="U60">
        <f>U59+每年积分汇总1!U60</f>
        <v>30732.190000000002</v>
      </c>
      <c r="V60">
        <f>V59+每年积分汇总1!V60</f>
        <v>4245.24</v>
      </c>
      <c r="W60">
        <f>W59+每年积分汇总1!W60</f>
        <v>28015.769999999997</v>
      </c>
      <c r="X60">
        <f>X59+每年积分汇总1!X60</f>
        <v>22590.159999999996</v>
      </c>
      <c r="Y60">
        <f>Y59+每年积分汇总1!Y60</f>
        <v>0</v>
      </c>
      <c r="Z60">
        <f>Z59+每年积分汇总1!Z60</f>
        <v>22344.06</v>
      </c>
      <c r="AA60">
        <f>AA59+每年积分汇总1!AA60</f>
        <v>27826.959999999999</v>
      </c>
      <c r="AB60">
        <f>AB59+每年积分汇总1!AB60</f>
        <v>938.26</v>
      </c>
      <c r="AC60">
        <f>AC59+每年积分汇总1!AC60</f>
        <v>26616.59</v>
      </c>
      <c r="AD60">
        <f>AD59+每年积分汇总1!AD60</f>
        <v>0</v>
      </c>
      <c r="AE60">
        <f>AE59+每年积分汇总1!AE60</f>
        <v>0</v>
      </c>
      <c r="AF60">
        <f>AF59+每年积分汇总1!AF60</f>
        <v>9274.57</v>
      </c>
      <c r="AG60">
        <f>AG59+每年积分汇总1!AG60</f>
        <v>6548.85</v>
      </c>
      <c r="AH60">
        <f>AH59+每年积分汇总1!AH60</f>
        <v>17540.370000000003</v>
      </c>
      <c r="AI60">
        <f>AI59+每年积分汇总1!AI60</f>
        <v>0</v>
      </c>
      <c r="AJ60">
        <f>AJ59+每年积分汇总1!AJ60</f>
        <v>3151.31</v>
      </c>
      <c r="AK60">
        <f>AK59+每年积分汇总1!AK60</f>
        <v>6495.0400000000009</v>
      </c>
      <c r="AL60">
        <f>AL59+每年积分汇总1!AL60</f>
        <v>341.89000000000004</v>
      </c>
      <c r="AM60">
        <f>AM59+每年积分汇总1!AM60</f>
        <v>0</v>
      </c>
      <c r="AN60">
        <f>AN59+每年积分汇总1!AN60</f>
        <v>0</v>
      </c>
      <c r="AO60">
        <f>AO59+每年积分汇总1!AO60</f>
        <v>1129.67</v>
      </c>
    </row>
    <row r="61" spans="1:41" ht="16.5">
      <c r="A61" s="1">
        <v>2006</v>
      </c>
      <c r="B61">
        <f>B60+每年积分汇总1!B61</f>
        <v>222878.30000000002</v>
      </c>
      <c r="C61">
        <f>C60+每年积分汇总1!C61</f>
        <v>2103.5</v>
      </c>
      <c r="D61">
        <f>D60+每年积分汇总1!D61</f>
        <v>119196.32</v>
      </c>
      <c r="E61">
        <f>E60+每年积分汇总1!E61</f>
        <v>100604.44</v>
      </c>
      <c r="F61">
        <f>F60+每年积分汇总1!F61</f>
        <v>76180.790000000008</v>
      </c>
      <c r="G61">
        <f>G60+每年积分汇总1!G61</f>
        <v>81180.86</v>
      </c>
      <c r="H61">
        <f>H60+每年积分汇总1!H61</f>
        <v>83130.84</v>
      </c>
      <c r="I61">
        <f>I60+每年积分汇总1!I61</f>
        <v>19937.449999999997</v>
      </c>
      <c r="J61">
        <f>J60+每年积分汇总1!J61</f>
        <v>63149.060000000012</v>
      </c>
      <c r="K61">
        <f>K60+每年积分汇总1!K61</f>
        <v>59460.339999999982</v>
      </c>
      <c r="L61">
        <f>L60+每年积分汇总1!L61</f>
        <v>67716.259999999995</v>
      </c>
      <c r="M61">
        <f>M60+每年积分汇总1!M61</f>
        <v>66964.649999999994</v>
      </c>
      <c r="N61">
        <f>N60+每年积分汇总1!N61</f>
        <v>32072.15</v>
      </c>
      <c r="O61">
        <f>O60+每年积分汇总1!O61</f>
        <v>0</v>
      </c>
      <c r="P61">
        <f>P60+每年积分汇总1!P61</f>
        <v>22942.200000000004</v>
      </c>
      <c r="Q61">
        <f>Q60+每年积分汇总1!Q61</f>
        <v>251.94000000000003</v>
      </c>
      <c r="R61">
        <f>R60+每年积分汇总1!R61</f>
        <v>45817.510000000009</v>
      </c>
      <c r="S61">
        <f>S60+每年积分汇总1!S61</f>
        <v>29550.800000000003</v>
      </c>
      <c r="T61">
        <f>T60+每年积分汇总1!T61</f>
        <v>30113.59</v>
      </c>
      <c r="U61">
        <f>U60+每年积分汇总1!U61</f>
        <v>30732.190000000002</v>
      </c>
      <c r="V61">
        <f>V60+每年积分汇总1!V61</f>
        <v>7011.38</v>
      </c>
      <c r="W61">
        <f>W60+每年积分汇总1!W61</f>
        <v>28015.769999999997</v>
      </c>
      <c r="X61">
        <f>X60+每年积分汇总1!X61</f>
        <v>22590.159999999996</v>
      </c>
      <c r="Y61">
        <f>Y60+每年积分汇总1!Y61</f>
        <v>0</v>
      </c>
      <c r="Z61">
        <f>Z60+每年积分汇总1!Z61</f>
        <v>22344.06</v>
      </c>
      <c r="AA61">
        <f>AA60+每年积分汇总1!AA61</f>
        <v>27826.959999999999</v>
      </c>
      <c r="AB61">
        <f>AB60+每年积分汇总1!AB61</f>
        <v>16605.079999999998</v>
      </c>
      <c r="AC61">
        <f>AC60+每年积分汇总1!AC61</f>
        <v>26616.59</v>
      </c>
      <c r="AD61">
        <f>AD60+每年积分汇总1!AD61</f>
        <v>0</v>
      </c>
      <c r="AE61">
        <f>AE60+每年积分汇总1!AE61</f>
        <v>0</v>
      </c>
      <c r="AF61">
        <f>AF60+每年积分汇总1!AF61</f>
        <v>17622.010000000002</v>
      </c>
      <c r="AG61">
        <f>AG60+每年积分汇总1!AG61</f>
        <v>7026.3700000000008</v>
      </c>
      <c r="AH61">
        <f>AH60+每年积分汇总1!AH61</f>
        <v>17840.810000000001</v>
      </c>
      <c r="AI61">
        <f>AI60+每年积分汇总1!AI61</f>
        <v>0</v>
      </c>
      <c r="AJ61">
        <f>AJ60+每年积分汇总1!AJ61</f>
        <v>3494.29</v>
      </c>
      <c r="AK61">
        <f>AK60+每年积分汇总1!AK61</f>
        <v>6606.7300000000005</v>
      </c>
      <c r="AL61">
        <f>AL60+每年积分汇总1!AL61</f>
        <v>624.19000000000005</v>
      </c>
      <c r="AM61">
        <f>AM60+每年积分汇总1!AM61</f>
        <v>0</v>
      </c>
      <c r="AN61">
        <f>AN60+每年积分汇总1!AN61</f>
        <v>0</v>
      </c>
      <c r="AO61">
        <f>AO60+每年积分汇总1!AO61</f>
        <v>1375.43</v>
      </c>
    </row>
    <row r="62" spans="1:41" ht="16.5">
      <c r="A62" s="1">
        <v>2007</v>
      </c>
      <c r="B62">
        <f>B61+每年积分汇总1!B62</f>
        <v>222878.30000000002</v>
      </c>
      <c r="C62">
        <f>C61+每年积分汇总1!C62</f>
        <v>3025.3</v>
      </c>
      <c r="D62">
        <f>D61+每年积分汇总1!D62</f>
        <v>119196.32</v>
      </c>
      <c r="E62">
        <f>E61+每年积分汇总1!E62</f>
        <v>100604.44</v>
      </c>
      <c r="F62">
        <f>F61+每年积分汇总1!F62</f>
        <v>82862.290000000008</v>
      </c>
      <c r="G62">
        <f>G61+每年积分汇总1!G62</f>
        <v>81362.820000000007</v>
      </c>
      <c r="H62">
        <f>H61+每年积分汇总1!H62</f>
        <v>83130.84</v>
      </c>
      <c r="I62">
        <f>I61+每年积分汇总1!I62</f>
        <v>22668.199999999997</v>
      </c>
      <c r="J62">
        <f>J61+每年积分汇总1!J62</f>
        <v>63149.060000000012</v>
      </c>
      <c r="K62">
        <f>K61+每年积分汇总1!K62</f>
        <v>59460.339999999982</v>
      </c>
      <c r="L62">
        <f>L61+每年积分汇总1!L62</f>
        <v>67716.259999999995</v>
      </c>
      <c r="M62">
        <f>M61+每年积分汇总1!M62</f>
        <v>66964.649999999994</v>
      </c>
      <c r="N62">
        <f>N61+每年积分汇总1!N62</f>
        <v>32072.15</v>
      </c>
      <c r="O62">
        <f>O61+每年积分汇总1!O62</f>
        <v>0</v>
      </c>
      <c r="P62">
        <f>P61+每年积分汇总1!P62</f>
        <v>23788.110000000004</v>
      </c>
      <c r="Q62">
        <f>Q61+每年积分汇总1!Q62</f>
        <v>467.54000000000008</v>
      </c>
      <c r="R62">
        <f>R61+每年积分汇总1!R62</f>
        <v>45817.510000000009</v>
      </c>
      <c r="S62">
        <f>S61+每年积分汇总1!S62</f>
        <v>29550.800000000003</v>
      </c>
      <c r="T62">
        <f>T61+每年积分汇总1!T62</f>
        <v>30113.59</v>
      </c>
      <c r="U62">
        <f>U61+每年积分汇总1!U62</f>
        <v>30732.190000000002</v>
      </c>
      <c r="V62">
        <f>V61+每年积分汇总1!V62</f>
        <v>13458.18</v>
      </c>
      <c r="W62">
        <f>W61+每年积分汇总1!W62</f>
        <v>28015.769999999997</v>
      </c>
      <c r="X62">
        <f>X61+每年积分汇总1!X62</f>
        <v>22590.159999999996</v>
      </c>
      <c r="Y62">
        <f>Y61+每年积分汇总1!Y62</f>
        <v>0</v>
      </c>
      <c r="Z62">
        <f>Z61+每年积分汇总1!Z62</f>
        <v>22344.06</v>
      </c>
      <c r="AA62">
        <f>AA61+每年积分汇总1!AA62</f>
        <v>27826.959999999999</v>
      </c>
      <c r="AB62">
        <f>AB61+每年积分汇总1!AB62</f>
        <v>16949.099999999999</v>
      </c>
      <c r="AC62">
        <f>AC61+每年积分汇总1!AC62</f>
        <v>26616.59</v>
      </c>
      <c r="AD62">
        <f>AD61+每年积分汇总1!AD62</f>
        <v>0</v>
      </c>
      <c r="AE62">
        <f>AE61+每年积分汇总1!AE62</f>
        <v>0</v>
      </c>
      <c r="AF62">
        <f>AF61+每年积分汇总1!AF62</f>
        <v>19967.93</v>
      </c>
      <c r="AG62">
        <f>AG61+每年积分汇总1!AG62</f>
        <v>10395.170000000002</v>
      </c>
      <c r="AH62">
        <f>AH61+每年积分汇总1!AH62</f>
        <v>18046.93</v>
      </c>
      <c r="AI62">
        <f>AI61+每年积分汇总1!AI62</f>
        <v>0</v>
      </c>
      <c r="AJ62">
        <f>AJ61+每年积分汇总1!AJ62</f>
        <v>9603.5099999999984</v>
      </c>
      <c r="AK62">
        <f>AK61+每年积分汇总1!AK62</f>
        <v>6999.05</v>
      </c>
      <c r="AL62">
        <f>AL61+每年积分汇总1!AL62</f>
        <v>984.42000000000007</v>
      </c>
      <c r="AM62">
        <f>AM61+每年积分汇总1!AM62</f>
        <v>0</v>
      </c>
      <c r="AN62">
        <f>AN61+每年积分汇总1!AN62</f>
        <v>0</v>
      </c>
      <c r="AO62">
        <f>AO61+每年积分汇总1!AO62</f>
        <v>1747.2800000000002</v>
      </c>
    </row>
    <row r="63" spans="1:41" ht="16.5">
      <c r="A63" s="1">
        <v>2008</v>
      </c>
      <c r="B63">
        <f>B62+每年积分汇总1!B63</f>
        <v>222878.30000000002</v>
      </c>
      <c r="C63">
        <f>C62+每年积分汇总1!C63</f>
        <v>6466.18</v>
      </c>
      <c r="D63">
        <f>D62+每年积分汇总1!D63</f>
        <v>119196.32</v>
      </c>
      <c r="E63">
        <f>E62+每年积分汇总1!E63</f>
        <v>100604.44</v>
      </c>
      <c r="F63">
        <f>F62+每年积分汇总1!F63</f>
        <v>84044.07</v>
      </c>
      <c r="G63">
        <f>G62+每年积分汇总1!G63</f>
        <v>81550.650000000009</v>
      </c>
      <c r="H63">
        <f>H62+每年积分汇总1!H63</f>
        <v>83130.84</v>
      </c>
      <c r="I63">
        <f>I62+每年积分汇总1!I63</f>
        <v>32382.959999999999</v>
      </c>
      <c r="J63">
        <f>J62+每年积分汇总1!J63</f>
        <v>63149.060000000012</v>
      </c>
      <c r="K63">
        <f>K62+每年积分汇总1!K63</f>
        <v>59460.339999999982</v>
      </c>
      <c r="L63">
        <f>L62+每年积分汇总1!L63</f>
        <v>67716.259999999995</v>
      </c>
      <c r="M63">
        <f>M62+每年积分汇总1!M63</f>
        <v>66964.649999999994</v>
      </c>
      <c r="N63">
        <f>N62+每年积分汇总1!N63</f>
        <v>32072.15</v>
      </c>
      <c r="O63">
        <f>O62+每年积分汇总1!O63</f>
        <v>52.14</v>
      </c>
      <c r="P63">
        <f>P62+每年积分汇总1!P63</f>
        <v>32231.640000000007</v>
      </c>
      <c r="Q63">
        <f>Q62+每年积分汇总1!Q63</f>
        <v>7251.68</v>
      </c>
      <c r="R63">
        <f>R62+每年积分汇总1!R63</f>
        <v>45817.510000000009</v>
      </c>
      <c r="S63">
        <f>S62+每年积分汇总1!S63</f>
        <v>29550.800000000003</v>
      </c>
      <c r="T63">
        <f>T62+每年积分汇总1!T63</f>
        <v>30113.59</v>
      </c>
      <c r="U63">
        <f>U62+每年积分汇总1!U63</f>
        <v>30732.190000000002</v>
      </c>
      <c r="V63">
        <f>V62+每年积分汇总1!V63</f>
        <v>14049.970000000001</v>
      </c>
      <c r="W63">
        <f>W62+每年积分汇总1!W63</f>
        <v>28015.769999999997</v>
      </c>
      <c r="X63">
        <f>X62+每年积分汇总1!X63</f>
        <v>22590.159999999996</v>
      </c>
      <c r="Y63">
        <f>Y62+每年积分汇总1!Y63</f>
        <v>0</v>
      </c>
      <c r="Z63">
        <f>Z62+每年积分汇总1!Z63</f>
        <v>22344.06</v>
      </c>
      <c r="AA63">
        <f>AA62+每年积分汇总1!AA63</f>
        <v>27826.959999999999</v>
      </c>
      <c r="AB63">
        <f>AB62+每年积分汇总1!AB63</f>
        <v>17041.55</v>
      </c>
      <c r="AC63">
        <f>AC62+每年积分汇总1!AC63</f>
        <v>26616.59</v>
      </c>
      <c r="AD63">
        <f>AD62+每年积分汇总1!AD63</f>
        <v>0</v>
      </c>
      <c r="AE63">
        <f>AE62+每年积分汇总1!AE63</f>
        <v>0</v>
      </c>
      <c r="AF63">
        <f>AF62+每年积分汇总1!AF63</f>
        <v>20328.18</v>
      </c>
      <c r="AG63">
        <f>AG62+每年积分汇总1!AG63</f>
        <v>10885.850000000002</v>
      </c>
      <c r="AH63">
        <f>AH62+每年积分汇总1!AH63</f>
        <v>18422.47</v>
      </c>
      <c r="AI63">
        <f>AI62+每年积分汇总1!AI63</f>
        <v>0</v>
      </c>
      <c r="AJ63">
        <f>AJ62+每年积分汇总1!AJ63</f>
        <v>10032.159999999998</v>
      </c>
      <c r="AK63">
        <f>AK62+每年积分汇总1!AK63</f>
        <v>7319.37</v>
      </c>
      <c r="AL63">
        <f>AL62+每年积分汇总1!AL63</f>
        <v>1245.5900000000001</v>
      </c>
      <c r="AM63">
        <f>AM62+每年积分汇总1!AM63</f>
        <v>0</v>
      </c>
      <c r="AN63">
        <f>AN62+每年积分汇总1!AN63</f>
        <v>0</v>
      </c>
      <c r="AO63">
        <f>AO62+每年积分汇总1!AO63</f>
        <v>1956.5300000000002</v>
      </c>
    </row>
    <row r="64" spans="1:41" ht="16.5">
      <c r="A64" s="1">
        <v>2009</v>
      </c>
      <c r="B64">
        <f>B63+每年积分汇总1!B64</f>
        <v>222878.30000000002</v>
      </c>
      <c r="C64">
        <f>C63+每年积分汇总1!C64</f>
        <v>25824.09</v>
      </c>
      <c r="D64">
        <f>D63+每年积分汇总1!D64</f>
        <v>119196.32</v>
      </c>
      <c r="E64">
        <f>E63+每年积分汇总1!E64</f>
        <v>100604.44</v>
      </c>
      <c r="F64">
        <f>F63+每年积分汇总1!F64</f>
        <v>84533.310000000012</v>
      </c>
      <c r="G64">
        <f>G63+每年积分汇总1!G64</f>
        <v>81746.890000000014</v>
      </c>
      <c r="H64">
        <f>H63+每年积分汇总1!H64</f>
        <v>83130.84</v>
      </c>
      <c r="I64">
        <f>I63+每年积分汇总1!I64</f>
        <v>48854.159999999996</v>
      </c>
      <c r="J64">
        <f>J63+每年积分汇总1!J64</f>
        <v>63149.060000000012</v>
      </c>
      <c r="K64">
        <f>K63+每年积分汇总1!K64</f>
        <v>59460.339999999982</v>
      </c>
      <c r="L64">
        <f>L63+每年积分汇总1!L64</f>
        <v>67716.259999999995</v>
      </c>
      <c r="M64">
        <f>M63+每年积分汇总1!M64</f>
        <v>66964.649999999994</v>
      </c>
      <c r="N64">
        <f>N63+每年积分汇总1!N64</f>
        <v>32072.15</v>
      </c>
      <c r="O64">
        <f>O63+每年积分汇总1!O64</f>
        <v>237.26</v>
      </c>
      <c r="P64">
        <f>P63+每年积分汇总1!P64</f>
        <v>32575.080000000005</v>
      </c>
      <c r="Q64">
        <f>Q63+每年积分汇总1!Q64</f>
        <v>11160.380000000001</v>
      </c>
      <c r="R64">
        <f>R63+每年积分汇总1!R64</f>
        <v>45817.510000000009</v>
      </c>
      <c r="S64">
        <f>S63+每年积分汇总1!S64</f>
        <v>29550.800000000003</v>
      </c>
      <c r="T64">
        <f>T63+每年积分汇总1!T64</f>
        <v>30113.59</v>
      </c>
      <c r="U64">
        <f>U63+每年积分汇总1!U64</f>
        <v>30732.190000000002</v>
      </c>
      <c r="V64">
        <f>V63+每年积分汇总1!V64</f>
        <v>15451.750000000002</v>
      </c>
      <c r="W64">
        <f>W63+每年积分汇总1!W64</f>
        <v>28015.769999999997</v>
      </c>
      <c r="X64">
        <f>X63+每年积分汇总1!X64</f>
        <v>22590.159999999996</v>
      </c>
      <c r="Y64">
        <f>Y63+每年积分汇总1!Y64</f>
        <v>0</v>
      </c>
      <c r="Z64">
        <f>Z63+每年积分汇总1!Z64</f>
        <v>22344.06</v>
      </c>
      <c r="AA64">
        <f>AA63+每年积分汇总1!AA64</f>
        <v>27826.959999999999</v>
      </c>
      <c r="AB64">
        <f>AB63+每年积分汇总1!AB64</f>
        <v>20107.87</v>
      </c>
      <c r="AC64">
        <f>AC63+每年积分汇总1!AC64</f>
        <v>26616.59</v>
      </c>
      <c r="AD64">
        <f>AD63+每年积分汇总1!AD64</f>
        <v>0</v>
      </c>
      <c r="AE64">
        <f>AE63+每年积分汇总1!AE64</f>
        <v>0</v>
      </c>
      <c r="AF64">
        <f>AF63+每年积分汇总1!AF64</f>
        <v>20490.03</v>
      </c>
      <c r="AG64">
        <f>AG63+每年积分汇总1!AG64</f>
        <v>11023.250000000002</v>
      </c>
      <c r="AH64">
        <f>AH63+每年积分汇总1!AH64</f>
        <v>18484.09</v>
      </c>
      <c r="AI64">
        <f>AI63+每年积分汇总1!AI64</f>
        <v>44.08</v>
      </c>
      <c r="AJ64">
        <f>AJ63+每年积分汇总1!AJ64</f>
        <v>10476.549999999997</v>
      </c>
      <c r="AK64">
        <f>AK63+每年积分汇总1!AK64</f>
        <v>7379.68</v>
      </c>
      <c r="AL64">
        <f>AL63+每年积分汇总1!AL64</f>
        <v>1796.9900000000002</v>
      </c>
      <c r="AM64">
        <f>AM63+每年积分汇总1!AM64</f>
        <v>0</v>
      </c>
      <c r="AN64">
        <f>AN63+每年积分汇总1!AN64</f>
        <v>0</v>
      </c>
      <c r="AO64">
        <f>AO63+每年积分汇总1!AO64</f>
        <v>2477.8500000000004</v>
      </c>
    </row>
    <row r="65" spans="1:41" ht="16.5">
      <c r="A65" s="1">
        <v>2010</v>
      </c>
      <c r="B65">
        <f>B64+每年积分汇总1!B65</f>
        <v>222878.30000000002</v>
      </c>
      <c r="C65">
        <f>C64+每年积分汇总1!C65</f>
        <v>37685.94</v>
      </c>
      <c r="D65">
        <f>D64+每年积分汇总1!D65</f>
        <v>119196.32</v>
      </c>
      <c r="E65">
        <f>E64+每年积分汇总1!E65</f>
        <v>100604.44</v>
      </c>
      <c r="F65">
        <f>F64+每年积分汇总1!F65</f>
        <v>84994.690000000017</v>
      </c>
      <c r="G65">
        <f>G64+每年积分汇总1!G65</f>
        <v>81933.680000000008</v>
      </c>
      <c r="H65">
        <f>H64+每年积分汇总1!H65</f>
        <v>83130.84</v>
      </c>
      <c r="I65">
        <f>I64+每年积分汇总1!I65</f>
        <v>60792.06</v>
      </c>
      <c r="J65">
        <f>J64+每年积分汇总1!J65</f>
        <v>63149.060000000012</v>
      </c>
      <c r="K65">
        <f>K64+每年积分汇总1!K65</f>
        <v>59460.339999999982</v>
      </c>
      <c r="L65">
        <f>L64+每年积分汇总1!L65</f>
        <v>67716.259999999995</v>
      </c>
      <c r="M65">
        <f>M64+每年积分汇总1!M65</f>
        <v>66964.649999999994</v>
      </c>
      <c r="N65">
        <f>N64+每年积分汇总1!N65</f>
        <v>32072.15</v>
      </c>
      <c r="O65">
        <f>O64+每年积分汇总1!O65</f>
        <v>2460.9400000000005</v>
      </c>
      <c r="P65">
        <f>P64+每年积分汇总1!P65</f>
        <v>33035.300000000003</v>
      </c>
      <c r="Q65">
        <f>Q64+每年积分汇总1!Q65</f>
        <v>11357.09</v>
      </c>
      <c r="R65">
        <f>R64+每年积分汇总1!R65</f>
        <v>45817.510000000009</v>
      </c>
      <c r="S65">
        <f>S64+每年积分汇总1!S65</f>
        <v>29550.800000000003</v>
      </c>
      <c r="T65">
        <f>T64+每年积分汇总1!T65</f>
        <v>30113.59</v>
      </c>
      <c r="U65">
        <f>U64+每年积分汇总1!U65</f>
        <v>30732.190000000002</v>
      </c>
      <c r="V65">
        <f>V64+每年积分汇总1!V65</f>
        <v>16095.920000000002</v>
      </c>
      <c r="W65">
        <f>W64+每年积分汇总1!W65</f>
        <v>28015.769999999997</v>
      </c>
      <c r="X65">
        <f>X64+每年积分汇总1!X65</f>
        <v>22590.159999999996</v>
      </c>
      <c r="Y65">
        <f>Y64+每年积分汇总1!Y65</f>
        <v>92.910000000000011</v>
      </c>
      <c r="Z65">
        <f>Z64+每年积分汇总1!Z65</f>
        <v>22344.06</v>
      </c>
      <c r="AA65">
        <f>AA64+每年积分汇总1!AA65</f>
        <v>27826.959999999999</v>
      </c>
      <c r="AB65">
        <f>AB64+每年积分汇总1!AB65</f>
        <v>21479.87</v>
      </c>
      <c r="AC65">
        <f>AC64+每年积分汇总1!AC65</f>
        <v>26616.59</v>
      </c>
      <c r="AD65">
        <f>AD64+每年积分汇总1!AD65</f>
        <v>0</v>
      </c>
      <c r="AE65">
        <f>AE64+每年积分汇总1!AE65</f>
        <v>195.5</v>
      </c>
      <c r="AF65">
        <f>AF64+每年积分汇总1!AF65</f>
        <v>22204.35</v>
      </c>
      <c r="AG65">
        <f>AG64+每年积分汇总1!AG65</f>
        <v>11488.700000000003</v>
      </c>
      <c r="AH65">
        <f>AH64+每年积分汇总1!AH65</f>
        <v>18506.87</v>
      </c>
      <c r="AI65">
        <f>AI64+每年积分汇总1!AI65</f>
        <v>401.31</v>
      </c>
      <c r="AJ65">
        <f>AJ64+每年积分汇总1!AJ65</f>
        <v>10660.539999999997</v>
      </c>
      <c r="AK65">
        <f>AK64+每年积分汇总1!AK65</f>
        <v>7392.08</v>
      </c>
      <c r="AL65">
        <f>AL64+每年积分汇总1!AL65</f>
        <v>2192.6200000000003</v>
      </c>
      <c r="AM65">
        <f>AM64+每年积分汇总1!AM65</f>
        <v>0</v>
      </c>
      <c r="AN65">
        <f>AN64+每年积分汇总1!AN65</f>
        <v>0</v>
      </c>
      <c r="AO65">
        <f>AO64+每年积分汇总1!AO65</f>
        <v>2477.8500000000004</v>
      </c>
    </row>
    <row r="66" spans="1:41" ht="16.5">
      <c r="A66" s="1">
        <v>2011</v>
      </c>
      <c r="B66">
        <f>B65+每年积分汇总1!B66</f>
        <v>222878.30000000002</v>
      </c>
      <c r="C66">
        <f>C65+每年积分汇总1!C66</f>
        <v>40751.880000000005</v>
      </c>
      <c r="D66">
        <f>D65+每年积分汇总1!D66</f>
        <v>119196.32</v>
      </c>
      <c r="E66">
        <f>E65+每年积分汇总1!E66</f>
        <v>100604.44</v>
      </c>
      <c r="F66">
        <f>F65+每年积分汇总1!F66</f>
        <v>85278.220000000016</v>
      </c>
      <c r="G66">
        <f>G65+每年积分汇总1!G66</f>
        <v>82004.560000000012</v>
      </c>
      <c r="H66">
        <f>H65+每年积分汇总1!H66</f>
        <v>83130.84</v>
      </c>
      <c r="I66">
        <f>I65+每年积分汇总1!I66</f>
        <v>62127.57</v>
      </c>
      <c r="J66">
        <f>J65+每年积分汇总1!J66</f>
        <v>63149.060000000012</v>
      </c>
      <c r="K66">
        <f>K65+每年积分汇总1!K66</f>
        <v>59460.339999999982</v>
      </c>
      <c r="L66">
        <f>L65+每年积分汇总1!L66</f>
        <v>67716.259999999995</v>
      </c>
      <c r="M66">
        <f>M65+每年积分汇总1!M66</f>
        <v>66964.649999999994</v>
      </c>
      <c r="N66">
        <f>N65+每年积分汇总1!N66</f>
        <v>32072.15</v>
      </c>
      <c r="O66">
        <f>O65+每年积分汇总1!O66</f>
        <v>5760.7400000000007</v>
      </c>
      <c r="P66">
        <f>P65+每年积分汇总1!P66</f>
        <v>33758.700000000004</v>
      </c>
      <c r="Q66">
        <f>Q65+每年积分汇总1!Q66</f>
        <v>13413.529999999999</v>
      </c>
      <c r="R66">
        <f>R65+每年积分汇总1!R66</f>
        <v>45817.510000000009</v>
      </c>
      <c r="S66">
        <f>S65+每年积分汇总1!S66</f>
        <v>29550.800000000003</v>
      </c>
      <c r="T66">
        <f>T65+每年积分汇总1!T66</f>
        <v>30113.59</v>
      </c>
      <c r="U66">
        <f>U65+每年积分汇总1!U66</f>
        <v>30732.190000000002</v>
      </c>
      <c r="V66">
        <f>V65+每年积分汇总1!V66</f>
        <v>27311.54</v>
      </c>
      <c r="W66">
        <f>W65+每年积分汇总1!W66</f>
        <v>28015.769999999997</v>
      </c>
      <c r="X66">
        <f>X65+每年积分汇总1!X66</f>
        <v>22590.159999999996</v>
      </c>
      <c r="Y66">
        <f>Y65+每年积分汇总1!Y66</f>
        <v>240.34999999999997</v>
      </c>
      <c r="Z66">
        <f>Z65+每年积分汇总1!Z66</f>
        <v>22344.06</v>
      </c>
      <c r="AA66">
        <f>AA65+每年积分汇总1!AA66</f>
        <v>27826.959999999999</v>
      </c>
      <c r="AB66">
        <f>AB65+每年积分汇总1!AB66</f>
        <v>22451.200000000001</v>
      </c>
      <c r="AC66">
        <f>AC65+每年积分汇总1!AC66</f>
        <v>26616.59</v>
      </c>
      <c r="AD66">
        <f>AD65+每年积分汇总1!AD66</f>
        <v>0</v>
      </c>
      <c r="AE66">
        <f>AE65+每年积分汇总1!AE66</f>
        <v>633.94000000000005</v>
      </c>
      <c r="AF66">
        <f>AF65+每年积分汇总1!AF66</f>
        <v>22759.71</v>
      </c>
      <c r="AG66">
        <f>AG65+每年积分汇总1!AG66</f>
        <v>11903.630000000003</v>
      </c>
      <c r="AH66">
        <f>AH65+每年积分汇总1!AH66</f>
        <v>18506.87</v>
      </c>
      <c r="AI66">
        <f>AI65+每年积分汇总1!AI66</f>
        <v>852.55</v>
      </c>
      <c r="AJ66">
        <f>AJ65+每年积分汇总1!AJ66</f>
        <v>10962.619999999997</v>
      </c>
      <c r="AK66">
        <f>AK65+每年积分汇总1!AK66</f>
        <v>7438.2699999999995</v>
      </c>
      <c r="AL66">
        <f>AL65+每年积分汇总1!AL66</f>
        <v>2554.5000000000005</v>
      </c>
      <c r="AM66">
        <f>AM65+每年积分汇总1!AM66</f>
        <v>94.199999999999989</v>
      </c>
      <c r="AN66">
        <f>AN65+每年积分汇总1!AN66</f>
        <v>0</v>
      </c>
      <c r="AO66">
        <f>AO65+每年积分汇总1!AO66</f>
        <v>2503.59</v>
      </c>
    </row>
    <row r="67" spans="1:41" ht="16.5">
      <c r="A67" s="1">
        <v>2012</v>
      </c>
      <c r="B67">
        <f>B66+每年积分汇总1!B67</f>
        <v>222878.30000000002</v>
      </c>
      <c r="C67">
        <f>C66+每年积分汇总1!C67</f>
        <v>75391.03</v>
      </c>
      <c r="D67">
        <f>D66+每年积分汇总1!D67</f>
        <v>119196.32</v>
      </c>
      <c r="E67">
        <f>E66+每年积分汇总1!E67</f>
        <v>100604.44</v>
      </c>
      <c r="F67">
        <f>F66+每年积分汇总1!F67</f>
        <v>85754.070000000022</v>
      </c>
      <c r="G67">
        <f>G66+每年积分汇总1!G67</f>
        <v>82004.560000000012</v>
      </c>
      <c r="H67">
        <f>H66+每年积分汇总1!H67</f>
        <v>83130.84</v>
      </c>
      <c r="I67">
        <f>I66+每年积分汇总1!I67</f>
        <v>63028.53</v>
      </c>
      <c r="J67">
        <f>J66+每年积分汇总1!J67</f>
        <v>63149.060000000012</v>
      </c>
      <c r="K67">
        <f>K66+每年积分汇总1!K67</f>
        <v>59460.339999999982</v>
      </c>
      <c r="L67">
        <f>L66+每年积分汇总1!L67</f>
        <v>67716.259999999995</v>
      </c>
      <c r="M67">
        <f>M66+每年积分汇总1!M67</f>
        <v>66964.649999999994</v>
      </c>
      <c r="N67">
        <f>N66+每年积分汇总1!N67</f>
        <v>32072.15</v>
      </c>
      <c r="O67">
        <f>O66+每年积分汇总1!O67</f>
        <v>9894.1</v>
      </c>
      <c r="P67">
        <f>P66+每年积分汇总1!P67</f>
        <v>34258.110000000008</v>
      </c>
      <c r="Q67">
        <f>Q66+每年积分汇总1!Q67</f>
        <v>16213.029999999999</v>
      </c>
      <c r="R67">
        <f>R66+每年积分汇总1!R67</f>
        <v>45817.510000000009</v>
      </c>
      <c r="S67">
        <f>S66+每年积分汇总1!S67</f>
        <v>29550.800000000003</v>
      </c>
      <c r="T67">
        <f>T66+每年积分汇总1!T67</f>
        <v>30113.59</v>
      </c>
      <c r="U67">
        <f>U66+每年积分汇总1!U67</f>
        <v>30732.190000000002</v>
      </c>
      <c r="V67">
        <f>V66+每年积分汇总1!V67</f>
        <v>27655.66</v>
      </c>
      <c r="W67">
        <f>W66+每年积分汇总1!W67</f>
        <v>28015.769999999997</v>
      </c>
      <c r="X67">
        <f>X66+每年积分汇总1!X67</f>
        <v>22590.159999999996</v>
      </c>
      <c r="Y67">
        <f>Y66+每年积分汇总1!Y67</f>
        <v>308.18999999999994</v>
      </c>
      <c r="Z67">
        <f>Z66+每年积分汇总1!Z67</f>
        <v>22344.06</v>
      </c>
      <c r="AA67">
        <f>AA66+每年积分汇总1!AA67</f>
        <v>27826.959999999999</v>
      </c>
      <c r="AB67">
        <f>AB66+每年积分汇总1!AB67</f>
        <v>25850.25</v>
      </c>
      <c r="AC67">
        <f>AC66+每年积分汇总1!AC67</f>
        <v>26616.59</v>
      </c>
      <c r="AD67">
        <f>AD66+每年积分汇总1!AD67</f>
        <v>274</v>
      </c>
      <c r="AE67">
        <f>AE66+每年积分汇总1!AE67</f>
        <v>1206.5700000000002</v>
      </c>
      <c r="AF67">
        <f>AF66+每年积分汇总1!AF67</f>
        <v>22899.78</v>
      </c>
      <c r="AG67">
        <f>AG66+每年积分汇总1!AG67</f>
        <v>12198.950000000003</v>
      </c>
      <c r="AH67">
        <f>AH66+每年积分汇总1!AH67</f>
        <v>18506.87</v>
      </c>
      <c r="AI67">
        <f>AI66+每年积分汇总1!AI67</f>
        <v>1406.6599999999999</v>
      </c>
      <c r="AJ67">
        <f>AJ66+每年积分汇总1!AJ67</f>
        <v>11373.619999999997</v>
      </c>
      <c r="AK67">
        <f>AK66+每年积分汇总1!AK67</f>
        <v>7502.8799999999992</v>
      </c>
      <c r="AL67">
        <f>AL66+每年积分汇总1!AL67</f>
        <v>2856.9200000000005</v>
      </c>
      <c r="AM67">
        <f>AM66+每年积分汇总1!AM67</f>
        <v>322.2</v>
      </c>
      <c r="AN67">
        <f>AN66+每年积分汇总1!AN67</f>
        <v>40.230000000000004</v>
      </c>
      <c r="AO67">
        <f>AO66+每年积分汇总1!AO67</f>
        <v>2503.59</v>
      </c>
    </row>
    <row r="68" spans="1:41" ht="16.5">
      <c r="A68" s="1">
        <v>2013</v>
      </c>
      <c r="B68">
        <f>B67+每年积分汇总1!B68</f>
        <v>222878.30000000002</v>
      </c>
      <c r="C68">
        <f>C67+每年积分汇总1!C68</f>
        <v>110180.37</v>
      </c>
      <c r="D68">
        <f>D67+每年积分汇总1!D68</f>
        <v>119196.32</v>
      </c>
      <c r="E68">
        <f>E67+每年积分汇总1!E68</f>
        <v>100604.44</v>
      </c>
      <c r="F68">
        <f>F67+每年积分汇总1!F68</f>
        <v>86953.410000000018</v>
      </c>
      <c r="G68">
        <f>G67+每年积分汇总1!G68</f>
        <v>82004.560000000012</v>
      </c>
      <c r="H68">
        <f>H67+每年积分汇总1!H68</f>
        <v>83130.84</v>
      </c>
      <c r="I68">
        <f>I67+每年积分汇总1!I68</f>
        <v>63575.93</v>
      </c>
      <c r="J68">
        <f>J67+每年积分汇总1!J68</f>
        <v>63149.060000000012</v>
      </c>
      <c r="K68">
        <f>K67+每年积分汇总1!K68</f>
        <v>59460.339999999982</v>
      </c>
      <c r="L68">
        <f>L67+每年积分汇总1!L68</f>
        <v>67716.259999999995</v>
      </c>
      <c r="M68">
        <f>M67+每年积分汇总1!M68</f>
        <v>66964.649999999994</v>
      </c>
      <c r="N68">
        <f>N67+每年积分汇总1!N68</f>
        <v>32072.15</v>
      </c>
      <c r="O68">
        <f>O67+每年积分汇总1!O68</f>
        <v>11826.44</v>
      </c>
      <c r="P68">
        <f>P67+每年积分汇总1!P68</f>
        <v>34523.23000000001</v>
      </c>
      <c r="Q68">
        <f>Q67+每年积分汇总1!Q68</f>
        <v>19785.829999999998</v>
      </c>
      <c r="R68">
        <f>R67+每年积分汇总1!R68</f>
        <v>45817.510000000009</v>
      </c>
      <c r="S68">
        <f>S67+每年积分汇总1!S68</f>
        <v>29550.800000000003</v>
      </c>
      <c r="T68">
        <f>T67+每年积分汇总1!T68</f>
        <v>30113.59</v>
      </c>
      <c r="U68">
        <f>U67+每年积分汇总1!U68</f>
        <v>30732.190000000002</v>
      </c>
      <c r="V68">
        <f>V67+每年积分汇总1!V68</f>
        <v>27774.46</v>
      </c>
      <c r="W68">
        <f>W67+每年积分汇总1!W68</f>
        <v>28015.769999999997</v>
      </c>
      <c r="X68">
        <f>X67+每年积分汇总1!X68</f>
        <v>22590.159999999996</v>
      </c>
      <c r="Y68">
        <f>Y67+每年积分汇总1!Y68</f>
        <v>844.8</v>
      </c>
      <c r="Z68">
        <f>Z67+每年积分汇总1!Z68</f>
        <v>22344.06</v>
      </c>
      <c r="AA68">
        <f>AA67+每年积分汇总1!AA68</f>
        <v>27826.959999999999</v>
      </c>
      <c r="AB68">
        <f>AB67+每年积分汇总1!AB68</f>
        <v>28431.25</v>
      </c>
      <c r="AC68">
        <f>AC67+每年积分汇总1!AC68</f>
        <v>26616.59</v>
      </c>
      <c r="AD68">
        <f>AD67+每年积分汇总1!AD68</f>
        <v>779.53</v>
      </c>
      <c r="AE68">
        <f>AE67+每年积分汇总1!AE68</f>
        <v>1679.9700000000003</v>
      </c>
      <c r="AF68">
        <f>AF67+每年积分汇总1!AF68</f>
        <v>23057.079999999998</v>
      </c>
      <c r="AG68">
        <f>AG67+每年积分汇总1!AG68</f>
        <v>12493.200000000003</v>
      </c>
      <c r="AH68">
        <f>AH67+每年积分汇总1!AH68</f>
        <v>18506.87</v>
      </c>
      <c r="AI68">
        <f>AI67+每年积分汇总1!AI68</f>
        <v>1861.3999999999999</v>
      </c>
      <c r="AJ68">
        <f>AJ67+每年积分汇总1!AJ68</f>
        <v>11976.019999999997</v>
      </c>
      <c r="AK68">
        <f>AK67+每年积分汇总1!AK68</f>
        <v>7534.3799999999992</v>
      </c>
      <c r="AL68">
        <f>AL67+每年积分汇总1!AL68</f>
        <v>4280.7200000000012</v>
      </c>
      <c r="AM68">
        <f>AM67+每年积分汇总1!AM68</f>
        <v>730.9</v>
      </c>
      <c r="AN68">
        <f>AN67+每年积分汇总1!AN68</f>
        <v>178.24</v>
      </c>
      <c r="AO68">
        <f>AO67+每年积分汇总1!AO68</f>
        <v>2503.59</v>
      </c>
    </row>
    <row r="69" spans="1:41" ht="16.5">
      <c r="A69" s="1">
        <v>2014</v>
      </c>
      <c r="B69">
        <f>B68+每年积分汇总1!B69</f>
        <v>222878.30000000002</v>
      </c>
      <c r="C69">
        <f>C68+每年积分汇总1!C69</f>
        <v>114138.33</v>
      </c>
      <c r="D69">
        <f>D68+每年积分汇总1!D69</f>
        <v>119196.32</v>
      </c>
      <c r="E69">
        <f>E68+每年积分汇总1!E69</f>
        <v>100604.44</v>
      </c>
      <c r="F69">
        <f>F68+每年积分汇总1!F69</f>
        <v>90063.510000000024</v>
      </c>
      <c r="G69">
        <f>G68+每年积分汇总1!G69</f>
        <v>82004.560000000012</v>
      </c>
      <c r="H69">
        <f>H68+每年积分汇总1!H69</f>
        <v>83130.84</v>
      </c>
      <c r="I69">
        <f>I68+每年积分汇总1!I69</f>
        <v>63582.35</v>
      </c>
      <c r="J69">
        <f>J68+每年积分汇总1!J69</f>
        <v>63149.060000000012</v>
      </c>
      <c r="K69">
        <f>K68+每年积分汇总1!K69</f>
        <v>59460.339999999982</v>
      </c>
      <c r="L69">
        <f>L68+每年积分汇总1!L69</f>
        <v>67716.259999999995</v>
      </c>
      <c r="M69">
        <f>M68+每年积分汇总1!M69</f>
        <v>66964.649999999994</v>
      </c>
      <c r="N69">
        <f>N68+每年积分汇总1!N69</f>
        <v>32072.15</v>
      </c>
      <c r="O69">
        <f>O68+每年积分汇总1!O69</f>
        <v>23795.96</v>
      </c>
      <c r="P69">
        <f>P68+每年积分汇总1!P69</f>
        <v>34690.090000000011</v>
      </c>
      <c r="Q69">
        <f>Q68+每年积分汇总1!Q69</f>
        <v>24574.39</v>
      </c>
      <c r="R69">
        <f>R68+每年积分汇总1!R69</f>
        <v>45817.510000000009</v>
      </c>
      <c r="S69">
        <f>S68+每年积分汇总1!S69</f>
        <v>29550.800000000003</v>
      </c>
      <c r="T69">
        <f>T68+每年积分汇总1!T69</f>
        <v>30113.59</v>
      </c>
      <c r="U69">
        <f>U68+每年积分汇总1!U69</f>
        <v>30732.190000000002</v>
      </c>
      <c r="V69">
        <f>V68+每年积分汇总1!V69</f>
        <v>28131.75</v>
      </c>
      <c r="W69">
        <f>W68+每年积分汇总1!W69</f>
        <v>28015.769999999997</v>
      </c>
      <c r="X69">
        <f>X68+每年积分汇总1!X69</f>
        <v>22590.159999999996</v>
      </c>
      <c r="Y69">
        <f>Y68+每年积分汇总1!Y69</f>
        <v>1361.04</v>
      </c>
      <c r="Z69">
        <f>Z68+每年积分汇总1!Z69</f>
        <v>22344.06</v>
      </c>
      <c r="AA69">
        <f>AA68+每年积分汇总1!AA69</f>
        <v>27826.959999999999</v>
      </c>
      <c r="AB69">
        <f>AB68+每年积分汇总1!AB69</f>
        <v>28777.75</v>
      </c>
      <c r="AC69">
        <f>AC68+每年积分汇总1!AC69</f>
        <v>26616.59</v>
      </c>
      <c r="AD69">
        <f>AD68+每年积分汇总1!AD69</f>
        <v>7714.119999999999</v>
      </c>
      <c r="AE69">
        <f>AE68+每年积分汇总1!AE69</f>
        <v>2621.3700000000003</v>
      </c>
      <c r="AF69">
        <f>AF68+每年积分汇总1!AF69</f>
        <v>23070.499999999996</v>
      </c>
      <c r="AG69">
        <f>AG68+每年积分汇总1!AG69</f>
        <v>14787.200000000003</v>
      </c>
      <c r="AH69">
        <f>AH68+每年积分汇总1!AH69</f>
        <v>18506.87</v>
      </c>
      <c r="AI69">
        <f>AI68+每年积分汇总1!AI69</f>
        <v>2450.29</v>
      </c>
      <c r="AJ69">
        <f>AJ68+每年积分汇总1!AJ69</f>
        <v>13457.569999999996</v>
      </c>
      <c r="AK69">
        <f>AK68+每年积分汇总1!AK69</f>
        <v>7534.3799999999992</v>
      </c>
      <c r="AL69">
        <f>AL68+每年积分汇总1!AL69</f>
        <v>4566.2000000000007</v>
      </c>
      <c r="AM69">
        <f>AM68+每年积分汇总1!AM69</f>
        <v>1963.7600000000002</v>
      </c>
      <c r="AN69">
        <f>AN68+每年积分汇总1!AN69</f>
        <v>360.35</v>
      </c>
      <c r="AO69">
        <f>AO68+每年积分汇总1!AO69</f>
        <v>2503.59</v>
      </c>
    </row>
    <row r="70" spans="1:41" ht="16.5">
      <c r="A70" s="1">
        <v>2015</v>
      </c>
      <c r="B70">
        <f>B69+每年积分汇总1!B70</f>
        <v>222878.30000000002</v>
      </c>
      <c r="C70">
        <f>C69+每年积分汇总1!C70</f>
        <v>115740.85</v>
      </c>
      <c r="D70">
        <f>D69+每年积分汇总1!D70</f>
        <v>119196.32</v>
      </c>
      <c r="E70">
        <f>E69+每年积分汇总1!E70</f>
        <v>100604.44</v>
      </c>
      <c r="F70">
        <f>F69+每年积分汇总1!F70</f>
        <v>90569.270000000019</v>
      </c>
      <c r="G70">
        <f>G69+每年积分汇总1!G70</f>
        <v>82004.560000000012</v>
      </c>
      <c r="H70">
        <f>H69+每年积分汇总1!H70</f>
        <v>83130.84</v>
      </c>
      <c r="I70">
        <f>I69+每年积分汇总1!I70</f>
        <v>63603.47</v>
      </c>
      <c r="J70">
        <f>J69+每年积分汇总1!J70</f>
        <v>63149.060000000012</v>
      </c>
      <c r="K70">
        <f>K69+每年积分汇总1!K70</f>
        <v>59460.339999999982</v>
      </c>
      <c r="L70">
        <f>L69+每年积分汇总1!L70</f>
        <v>67716.259999999995</v>
      </c>
      <c r="M70">
        <f>M69+每年积分汇总1!M70</f>
        <v>66964.649999999994</v>
      </c>
      <c r="N70">
        <f>N69+每年积分汇总1!N70</f>
        <v>32072.15</v>
      </c>
      <c r="O70">
        <f>O69+每年积分汇总1!O70</f>
        <v>23956.04</v>
      </c>
      <c r="P70">
        <f>P69+每年积分汇总1!P70</f>
        <v>34728.570000000014</v>
      </c>
      <c r="Q70">
        <f>Q69+每年积分汇总1!Q70</f>
        <v>28048.989999999998</v>
      </c>
      <c r="R70">
        <f>R69+每年积分汇总1!R70</f>
        <v>45817.510000000009</v>
      </c>
      <c r="S70">
        <f>S69+每年积分汇总1!S70</f>
        <v>29550.800000000003</v>
      </c>
      <c r="T70">
        <f>T69+每年积分汇总1!T70</f>
        <v>30113.59</v>
      </c>
      <c r="U70">
        <f>U69+每年积分汇总1!U70</f>
        <v>30732.190000000002</v>
      </c>
      <c r="V70">
        <f>V69+每年积分汇总1!V70</f>
        <v>28415.19</v>
      </c>
      <c r="W70">
        <f>W69+每年积分汇总1!W70</f>
        <v>28015.769999999997</v>
      </c>
      <c r="X70">
        <f>X69+每年积分汇总1!X70</f>
        <v>22590.159999999996</v>
      </c>
      <c r="Y70">
        <f>Y69+每年积分汇总1!Y70</f>
        <v>16310.939999999999</v>
      </c>
      <c r="Z70">
        <f>Z69+每年积分汇总1!Z70</f>
        <v>22344.06</v>
      </c>
      <c r="AA70">
        <f>AA69+每年积分汇总1!AA70</f>
        <v>27826.959999999999</v>
      </c>
      <c r="AB70">
        <f>AB69+每年积分汇总1!AB70</f>
        <v>28874.05</v>
      </c>
      <c r="AC70">
        <f>AC69+每年积分汇总1!AC70</f>
        <v>26616.59</v>
      </c>
      <c r="AD70">
        <f>AD69+每年积分汇总1!AD70</f>
        <v>9996.2199999999993</v>
      </c>
      <c r="AE70">
        <f>AE69+每年积分汇总1!AE70</f>
        <v>4468.13</v>
      </c>
      <c r="AF70">
        <f>AF69+每年积分汇总1!AF70</f>
        <v>23070.499999999996</v>
      </c>
      <c r="AG70">
        <f>AG69+每年积分汇总1!AG70</f>
        <v>14974.490000000003</v>
      </c>
      <c r="AH70">
        <f>AH69+每年积分汇总1!AH70</f>
        <v>18506.87</v>
      </c>
      <c r="AI70">
        <f>AI69+每年积分汇总1!AI70</f>
        <v>3462.9700000000003</v>
      </c>
      <c r="AJ70">
        <f>AJ69+每年积分汇总1!AJ70</f>
        <v>13561.409999999996</v>
      </c>
      <c r="AK70">
        <f>AK69+每年积分汇总1!AK70</f>
        <v>7534.3799999999992</v>
      </c>
      <c r="AL70">
        <f>AL69+每年积分汇总1!AL70</f>
        <v>4650.0500000000011</v>
      </c>
      <c r="AM70">
        <f>AM69+每年积分汇总1!AM70</f>
        <v>1976.7600000000002</v>
      </c>
      <c r="AN70">
        <f>AN69+每年积分汇总1!AN70</f>
        <v>2452.5500000000002</v>
      </c>
      <c r="AO70">
        <f>AO69+每年积分汇总1!AO70</f>
        <v>2503.59</v>
      </c>
    </row>
    <row r="71" spans="1:41" ht="16.5">
      <c r="A71" s="1">
        <v>2016</v>
      </c>
      <c r="B71">
        <f>B70+每年积分汇总1!B71</f>
        <v>222878.30000000002</v>
      </c>
      <c r="C71">
        <f>C70+每年积分汇总1!C71</f>
        <v>133331.85</v>
      </c>
      <c r="D71">
        <f>D70+每年积分汇总1!D71</f>
        <v>119196.32</v>
      </c>
      <c r="E71">
        <f>E70+每年积分汇总1!E71</f>
        <v>100604.44</v>
      </c>
      <c r="F71">
        <f>F70+每年积分汇总1!F71</f>
        <v>90755.250000000015</v>
      </c>
      <c r="G71">
        <f>G70+每年积分汇总1!G71</f>
        <v>82004.560000000012</v>
      </c>
      <c r="H71">
        <f>H70+每年积分汇总1!H71</f>
        <v>83130.84</v>
      </c>
      <c r="I71">
        <f>I70+每年积分汇总1!I71</f>
        <v>63612.41</v>
      </c>
      <c r="J71">
        <f>J70+每年积分汇总1!J71</f>
        <v>63149.060000000012</v>
      </c>
      <c r="K71">
        <f>K70+每年积分汇总1!K71</f>
        <v>59460.339999999982</v>
      </c>
      <c r="L71">
        <f>L70+每年积分汇总1!L71</f>
        <v>67716.259999999995</v>
      </c>
      <c r="M71">
        <f>M70+每年积分汇总1!M71</f>
        <v>66964.649999999994</v>
      </c>
      <c r="N71">
        <f>N70+每年积分汇总1!N71</f>
        <v>32072.15</v>
      </c>
      <c r="O71">
        <f>O70+每年积分汇总1!O71</f>
        <v>24697.64</v>
      </c>
      <c r="P71">
        <f>P70+每年积分汇总1!P71</f>
        <v>34753.660000000011</v>
      </c>
      <c r="Q71">
        <f>Q70+每年积分汇总1!Q71</f>
        <v>29364.469999999998</v>
      </c>
      <c r="R71">
        <f>R70+每年积分汇总1!R71</f>
        <v>45817.510000000009</v>
      </c>
      <c r="S71">
        <f>S70+每年积分汇总1!S71</f>
        <v>29550.800000000003</v>
      </c>
      <c r="T71">
        <f>T70+每年积分汇总1!T71</f>
        <v>30113.59</v>
      </c>
      <c r="U71">
        <f>U70+每年积分汇总1!U71</f>
        <v>30732.190000000002</v>
      </c>
      <c r="V71">
        <f>V70+每年积分汇总1!V71</f>
        <v>28666.239999999998</v>
      </c>
      <c r="W71">
        <f>W70+每年积分汇总1!W71</f>
        <v>28015.769999999997</v>
      </c>
      <c r="X71">
        <f>X70+每年积分汇总1!X71</f>
        <v>22590.159999999996</v>
      </c>
      <c r="Y71">
        <f>Y70+每年积分汇总1!Y71</f>
        <v>29172.739999999998</v>
      </c>
      <c r="Z71">
        <f>Z70+每年积分汇总1!Z71</f>
        <v>22344.06</v>
      </c>
      <c r="AA71">
        <f>AA70+每年积分汇总1!AA71</f>
        <v>27826.959999999999</v>
      </c>
      <c r="AB71">
        <f>AB70+每年积分汇总1!AB71</f>
        <v>29272.57</v>
      </c>
      <c r="AC71">
        <f>AC70+每年积分汇总1!AC71</f>
        <v>26616.59</v>
      </c>
      <c r="AD71">
        <f>AD70+每年积分汇总1!AD71</f>
        <v>13980.72</v>
      </c>
      <c r="AE71">
        <f>AE70+每年积分汇总1!AE71</f>
        <v>4982.5200000000004</v>
      </c>
      <c r="AF71">
        <f>AF70+每年积分汇总1!AF71</f>
        <v>23070.499999999996</v>
      </c>
      <c r="AG71">
        <f>AG70+每年积分汇总1!AG71</f>
        <v>15203.930000000004</v>
      </c>
      <c r="AH71">
        <f>AH70+每年积分汇总1!AH71</f>
        <v>18506.87</v>
      </c>
      <c r="AI71">
        <f>AI70+每年积分汇总1!AI71</f>
        <v>5340.07</v>
      </c>
      <c r="AJ71">
        <f>AJ70+每年积分汇总1!AJ71</f>
        <v>13771.669999999996</v>
      </c>
      <c r="AK71">
        <f>AK70+每年积分汇总1!AK71</f>
        <v>7534.3799999999992</v>
      </c>
      <c r="AL71">
        <f>AL70+每年积分汇总1!AL71</f>
        <v>4800.2700000000013</v>
      </c>
      <c r="AM71">
        <f>AM70+每年积分汇总1!AM71</f>
        <v>2547.44</v>
      </c>
      <c r="AN71">
        <f>AN70+每年积分汇总1!AN71</f>
        <v>2961.2000000000003</v>
      </c>
      <c r="AO71">
        <f>AO70+每年积分汇总1!AO71</f>
        <v>2503.59</v>
      </c>
    </row>
    <row r="72" spans="1:41" ht="16.5">
      <c r="A72" s="1">
        <v>2017</v>
      </c>
      <c r="B72">
        <f>B71+每年积分汇总1!B72</f>
        <v>222878.30000000002</v>
      </c>
      <c r="C72">
        <f>C71+每年积分汇总1!C72</f>
        <v>135677.75</v>
      </c>
      <c r="D72">
        <f>D71+每年积分汇总1!D72</f>
        <v>119196.32</v>
      </c>
      <c r="E72">
        <f>E71+每年积分汇总1!E72</f>
        <v>100604.44</v>
      </c>
      <c r="F72">
        <f>F71+每年积分汇总1!F72</f>
        <v>90755.250000000015</v>
      </c>
      <c r="G72">
        <f>G71+每年积分汇总1!G72</f>
        <v>82004.560000000012</v>
      </c>
      <c r="H72">
        <f>H71+每年积分汇总1!H72</f>
        <v>83130.84</v>
      </c>
      <c r="I72">
        <f>I71+每年积分汇总1!I72</f>
        <v>63612.41</v>
      </c>
      <c r="J72">
        <f>J71+每年积分汇总1!J72</f>
        <v>63149.060000000012</v>
      </c>
      <c r="K72">
        <f>K71+每年积分汇总1!K72</f>
        <v>59460.339999999982</v>
      </c>
      <c r="L72">
        <f>L71+每年积分汇总1!L72</f>
        <v>67716.259999999995</v>
      </c>
      <c r="M72">
        <f>M71+每年积分汇总1!M72</f>
        <v>66964.649999999994</v>
      </c>
      <c r="N72">
        <f>N71+每年积分汇总1!N72</f>
        <v>32072.15</v>
      </c>
      <c r="O72">
        <f>O71+每年积分汇总1!O72</f>
        <v>36690.79</v>
      </c>
      <c r="P72">
        <f>P71+每年积分汇总1!P72</f>
        <v>34797.740000000013</v>
      </c>
      <c r="Q72">
        <f>Q71+每年积分汇总1!Q72</f>
        <v>30611.71</v>
      </c>
      <c r="R72">
        <f>R71+每年积分汇总1!R72</f>
        <v>45817.510000000009</v>
      </c>
      <c r="S72">
        <f>S71+每年积分汇总1!S72</f>
        <v>29550.800000000003</v>
      </c>
      <c r="T72">
        <f>T71+每年积分汇总1!T72</f>
        <v>30113.59</v>
      </c>
      <c r="U72">
        <f>U71+每年积分汇总1!U72</f>
        <v>30732.190000000002</v>
      </c>
      <c r="V72">
        <f>V71+每年积分汇总1!V72</f>
        <v>28725.739999999998</v>
      </c>
      <c r="W72">
        <f>W71+每年积分汇总1!W72</f>
        <v>28015.769999999997</v>
      </c>
      <c r="X72">
        <f>X71+每年积分汇总1!X72</f>
        <v>22590.159999999996</v>
      </c>
      <c r="Y72">
        <f>Y71+每年积分汇总1!Y72</f>
        <v>33826.54</v>
      </c>
      <c r="Z72">
        <f>Z71+每年积分汇总1!Z72</f>
        <v>22344.06</v>
      </c>
      <c r="AA72">
        <f>AA71+每年积分汇总1!AA72</f>
        <v>27826.959999999999</v>
      </c>
      <c r="AB72">
        <f>AB71+每年积分汇总1!AB72</f>
        <v>29446.97</v>
      </c>
      <c r="AC72">
        <f>AC71+每年积分汇总1!AC72</f>
        <v>26616.59</v>
      </c>
      <c r="AD72">
        <f>AD71+每年积分汇总1!AD72</f>
        <v>16985.099999999999</v>
      </c>
      <c r="AE72">
        <f>AE71+每年积分汇总1!AE72</f>
        <v>7794.1200000000008</v>
      </c>
      <c r="AF72">
        <f>AF71+每年积分汇总1!AF72</f>
        <v>23070.499999999996</v>
      </c>
      <c r="AG72">
        <f>AG71+每年积分汇总1!AG72</f>
        <v>15365.280000000004</v>
      </c>
      <c r="AH72">
        <f>AH71+每年积分汇总1!AH72</f>
        <v>18506.87</v>
      </c>
      <c r="AI72">
        <f>AI71+每年积分汇总1!AI72</f>
        <v>12844.39</v>
      </c>
      <c r="AJ72">
        <f>AJ71+每年积分汇总1!AJ72</f>
        <v>13979.669999999996</v>
      </c>
      <c r="AK72">
        <f>AK71+每年积分汇总1!AK72</f>
        <v>7534.3799999999992</v>
      </c>
      <c r="AL72">
        <f>AL71+每年积分汇总1!AL72</f>
        <v>4902.3000000000011</v>
      </c>
      <c r="AM72">
        <f>AM71+每年积分汇总1!AM72</f>
        <v>2868.56</v>
      </c>
      <c r="AN72">
        <f>AN71+每年积分汇总1!AN72</f>
        <v>4037.9</v>
      </c>
      <c r="AO72">
        <f>AO71+每年积分汇总1!AO72</f>
        <v>2503.59</v>
      </c>
    </row>
    <row r="73" spans="1:41" ht="16.5">
      <c r="A73" s="1">
        <v>2018</v>
      </c>
      <c r="B73">
        <f>B72+每年积分汇总1!B73</f>
        <v>222878.30000000002</v>
      </c>
      <c r="C73">
        <f>C72+每年积分汇总1!C73</f>
        <v>138532.15</v>
      </c>
      <c r="D73">
        <f>D72+每年积分汇总1!D73</f>
        <v>119196.32</v>
      </c>
      <c r="E73">
        <f>E72+每年积分汇总1!E73</f>
        <v>100604.44</v>
      </c>
      <c r="F73">
        <f>F72+每年积分汇总1!F73</f>
        <v>90755.250000000015</v>
      </c>
      <c r="G73">
        <f>G72+每年积分汇总1!G73</f>
        <v>82004.560000000012</v>
      </c>
      <c r="H73">
        <f>H72+每年积分汇总1!H73</f>
        <v>83130.84</v>
      </c>
      <c r="I73">
        <f>I72+每年积分汇总1!I73</f>
        <v>63612.41</v>
      </c>
      <c r="J73">
        <f>J72+每年积分汇总1!J73</f>
        <v>63149.060000000012</v>
      </c>
      <c r="K73">
        <f>K72+每年积分汇总1!K73</f>
        <v>59460.339999999982</v>
      </c>
      <c r="L73">
        <f>L72+每年积分汇总1!L73</f>
        <v>67716.259999999995</v>
      </c>
      <c r="M73">
        <f>M72+每年积分汇总1!M73</f>
        <v>66964.649999999994</v>
      </c>
      <c r="N73">
        <f>N72+每年积分汇总1!N73</f>
        <v>32072.15</v>
      </c>
      <c r="O73">
        <f>O72+每年积分汇总1!O73</f>
        <v>49625.39</v>
      </c>
      <c r="P73">
        <f>P72+每年积分汇总1!P73</f>
        <v>34823.570000000014</v>
      </c>
      <c r="Q73">
        <f>Q72+每年积分汇总1!Q73</f>
        <v>31238.39</v>
      </c>
      <c r="R73">
        <f>R72+每年积分汇总1!R73</f>
        <v>45817.510000000009</v>
      </c>
      <c r="S73">
        <f>S72+每年积分汇总1!S73</f>
        <v>29550.800000000003</v>
      </c>
      <c r="T73">
        <f>T72+每年积分汇总1!T73</f>
        <v>30113.59</v>
      </c>
      <c r="U73">
        <f>U72+每年积分汇总1!U73</f>
        <v>30732.190000000002</v>
      </c>
      <c r="V73">
        <f>V72+每年积分汇总1!V73</f>
        <v>28822.6</v>
      </c>
      <c r="W73">
        <f>W72+每年积分汇总1!W73</f>
        <v>28015.769999999997</v>
      </c>
      <c r="X73">
        <f>X72+每年积分汇总1!X73</f>
        <v>22590.159999999996</v>
      </c>
      <c r="Y73">
        <f>Y72+每年积分汇总1!Y73</f>
        <v>36978.89</v>
      </c>
      <c r="Z73">
        <f>Z72+每年积分汇总1!Z73</f>
        <v>22344.06</v>
      </c>
      <c r="AA73">
        <f>AA72+每年积分汇总1!AA73</f>
        <v>27826.959999999999</v>
      </c>
      <c r="AB73">
        <f>AB72+每年积分汇总1!AB73</f>
        <v>29574.170000000002</v>
      </c>
      <c r="AC73">
        <f>AC72+每年积分汇总1!AC73</f>
        <v>26616.59</v>
      </c>
      <c r="AD73">
        <f>AD72+每年积分汇总1!AD73</f>
        <v>17034.5</v>
      </c>
      <c r="AE73">
        <f>AE72+每年积分汇总1!AE73</f>
        <v>18290.16</v>
      </c>
      <c r="AF73">
        <f>AF72+每年积分汇总1!AF73</f>
        <v>23070.499999999996</v>
      </c>
      <c r="AG73">
        <f>AG72+每年积分汇总1!AG73</f>
        <v>15498.360000000004</v>
      </c>
      <c r="AH73">
        <f>AH72+每年积分汇总1!AH73</f>
        <v>18506.87</v>
      </c>
      <c r="AI73">
        <f>AI72+每年积分汇总1!AI73</f>
        <v>14062.75</v>
      </c>
      <c r="AJ73">
        <f>AJ72+每年积分汇总1!AJ73</f>
        <v>14041.349999999997</v>
      </c>
      <c r="AK73">
        <f>AK72+每年积分汇总1!AK73</f>
        <v>7534.3799999999992</v>
      </c>
      <c r="AL73">
        <f>AL72+每年积分汇总1!AL73</f>
        <v>5015.3400000000011</v>
      </c>
      <c r="AM73">
        <f>AM72+每年积分汇总1!AM73</f>
        <v>3141.29</v>
      </c>
      <c r="AN73">
        <f>AN72+每年积分汇总1!AN73</f>
        <v>5482.9</v>
      </c>
      <c r="AO73">
        <f>AO72+每年积分汇总1!AO73</f>
        <v>2503.59</v>
      </c>
    </row>
    <row r="74" spans="1:41" ht="16.5">
      <c r="A74" s="1">
        <v>2019</v>
      </c>
      <c r="B74">
        <f>B73+每年积分汇总1!B74</f>
        <v>222878.30000000002</v>
      </c>
      <c r="C74">
        <f>C73+每年积分汇总1!C74</f>
        <v>138742.07</v>
      </c>
      <c r="D74">
        <f>D73+每年积分汇总1!D74</f>
        <v>119196.32</v>
      </c>
      <c r="E74">
        <f>E73+每年积分汇总1!E74</f>
        <v>100604.44</v>
      </c>
      <c r="F74">
        <f>F73+每年积分汇总1!F74</f>
        <v>90755.250000000015</v>
      </c>
      <c r="G74">
        <f>G73+每年积分汇总1!G74</f>
        <v>82004.560000000012</v>
      </c>
      <c r="H74">
        <f>H73+每年积分汇总1!H74</f>
        <v>83130.84</v>
      </c>
      <c r="I74">
        <f>I73+每年积分汇总1!I74</f>
        <v>63612.41</v>
      </c>
      <c r="J74">
        <f>J73+每年积分汇总1!J74</f>
        <v>63149.060000000012</v>
      </c>
      <c r="K74">
        <f>K73+每年积分汇总1!K74</f>
        <v>59460.339999999982</v>
      </c>
      <c r="L74">
        <f>L73+每年积分汇总1!L74</f>
        <v>67716.259999999995</v>
      </c>
      <c r="M74">
        <f>M73+每年积分汇总1!M74</f>
        <v>66964.649999999994</v>
      </c>
      <c r="N74">
        <f>N73+每年积分汇总1!N74</f>
        <v>32072.15</v>
      </c>
      <c r="O74">
        <f>O73+每年积分汇总1!O74</f>
        <v>50317.94</v>
      </c>
      <c r="P74">
        <f>P73+每年积分汇总1!P74</f>
        <v>34823.570000000014</v>
      </c>
      <c r="Q74">
        <f>Q73+每年积分汇总1!Q74</f>
        <v>31572.91</v>
      </c>
      <c r="R74">
        <f>R73+每年积分汇总1!R74</f>
        <v>45817.510000000009</v>
      </c>
      <c r="S74">
        <f>S73+每年积分汇总1!S74</f>
        <v>29550.800000000003</v>
      </c>
      <c r="T74">
        <f>T73+每年积分汇总1!T74</f>
        <v>30113.59</v>
      </c>
      <c r="U74">
        <f>U73+每年积分汇总1!U74</f>
        <v>30732.190000000002</v>
      </c>
      <c r="V74">
        <f>V73+每年积分汇总1!V74</f>
        <v>28835.079999999998</v>
      </c>
      <c r="W74">
        <f>W73+每年积分汇总1!W74</f>
        <v>28015.769999999997</v>
      </c>
      <c r="X74">
        <f>X73+每年积分汇总1!X74</f>
        <v>22590.159999999996</v>
      </c>
      <c r="Y74">
        <f>Y73+每年积分汇总1!Y74</f>
        <v>38477.15</v>
      </c>
      <c r="Z74">
        <f>Z73+每年积分汇总1!Z74</f>
        <v>22344.06</v>
      </c>
      <c r="AA74">
        <f>AA73+每年积分汇总1!AA74</f>
        <v>27826.959999999999</v>
      </c>
      <c r="AB74">
        <f>AB73+每年积分汇总1!AB74</f>
        <v>29627.890000000003</v>
      </c>
      <c r="AC74">
        <f>AC73+每年积分汇总1!AC74</f>
        <v>26616.59</v>
      </c>
      <c r="AD74">
        <f>AD73+每年积分汇总1!AD74</f>
        <v>31294.2</v>
      </c>
      <c r="AE74">
        <f>AE73+每年积分汇总1!AE74</f>
        <v>21639.239999999998</v>
      </c>
      <c r="AF74">
        <f>AF73+每年积分汇总1!AF74</f>
        <v>23070.499999999996</v>
      </c>
      <c r="AG74">
        <f>AG73+每年积分汇总1!AG74</f>
        <v>15498.360000000004</v>
      </c>
      <c r="AH74">
        <f>AH73+每年积分汇总1!AH74</f>
        <v>18506.87</v>
      </c>
      <c r="AI74">
        <f>AI73+每年积分汇总1!AI74</f>
        <v>14822.14</v>
      </c>
      <c r="AJ74">
        <f>AJ73+每年积分汇总1!AJ74</f>
        <v>14072.349999999997</v>
      </c>
      <c r="AK74">
        <f>AK73+每年积分汇总1!AK74</f>
        <v>7534.3799999999992</v>
      </c>
      <c r="AL74">
        <f>AL73+每年积分汇总1!AL74</f>
        <v>5029.6400000000012</v>
      </c>
      <c r="AM74">
        <f>AM73+每年积分汇总1!AM74</f>
        <v>5341.6399999999994</v>
      </c>
      <c r="AN74">
        <f>AN73+每年积分汇总1!AN74</f>
        <v>5746.98</v>
      </c>
      <c r="AO74">
        <f>AO73+每年积分汇总1!AO74</f>
        <v>2503.59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79"/>
  <sheetViews>
    <sheetView zoomScale="55" zoomScaleNormal="55" workbookViewId="0">
      <pane ySplit="6" topLeftCell="A46" activePane="bottomLeft" state="frozen"/>
      <selection pane="bottomLeft" activeCell="A61" sqref="A61:Z61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2</v>
      </c>
    </row>
    <row r="5" spans="1:26" s="39" customFormat="1">
      <c r="A5" s="39" t="s">
        <v>22</v>
      </c>
      <c r="B5" s="40"/>
      <c r="C5" s="39">
        <f>SUM(C12:C105)</f>
        <v>15</v>
      </c>
      <c r="D5" s="39">
        <f>SUM(D12:D105)</f>
        <v>13</v>
      </c>
      <c r="G5" s="39">
        <f>SUM(G12:G105)</f>
        <v>5</v>
      </c>
      <c r="H5" s="39">
        <f t="shared" ref="H5:Z5" si="0">SUM(H12:H105)</f>
        <v>10</v>
      </c>
      <c r="I5" s="39">
        <f t="shared" si="0"/>
        <v>1</v>
      </c>
      <c r="J5" s="39">
        <f t="shared" si="0"/>
        <v>0</v>
      </c>
      <c r="K5" s="39">
        <f t="shared" si="0"/>
        <v>0</v>
      </c>
      <c r="L5" s="39">
        <f t="shared" si="0"/>
        <v>3</v>
      </c>
      <c r="M5" s="39">
        <f t="shared" si="0"/>
        <v>0</v>
      </c>
      <c r="N5" s="39">
        <f t="shared" si="0"/>
        <v>10</v>
      </c>
      <c r="O5" s="39">
        <f t="shared" si="0"/>
        <v>9</v>
      </c>
      <c r="P5" s="39">
        <f t="shared" si="0"/>
        <v>6</v>
      </c>
      <c r="Q5" s="39">
        <f t="shared" si="0"/>
        <v>6</v>
      </c>
      <c r="R5" s="39">
        <f t="shared" si="0"/>
        <v>410.59999999999997</v>
      </c>
      <c r="S5" s="39">
        <f t="shared" si="0"/>
        <v>213.9</v>
      </c>
      <c r="T5" s="39">
        <f t="shared" si="0"/>
        <v>368.90000000000003</v>
      </c>
      <c r="U5" s="39">
        <f t="shared" si="0"/>
        <v>39.699999999999996</v>
      </c>
      <c r="V5" s="41">
        <f t="shared" si="0"/>
        <v>6585.36</v>
      </c>
      <c r="W5" s="41">
        <f t="shared" si="0"/>
        <v>7571.8999999999987</v>
      </c>
      <c r="X5" s="41">
        <f t="shared" si="0"/>
        <v>208721.04</v>
      </c>
      <c r="Y5" s="41">
        <f t="shared" si="0"/>
        <v>222878.30000000002</v>
      </c>
      <c r="Z5" s="41">
        <f t="shared" si="0"/>
        <v>159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0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0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0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0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0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1</v>
      </c>
      <c r="D45" s="35">
        <v>1</v>
      </c>
      <c r="E45" s="35">
        <f t="shared" si="5"/>
        <v>1</v>
      </c>
      <c r="F45" s="35">
        <f t="shared" si="2"/>
        <v>1</v>
      </c>
      <c r="R45" s="35">
        <v>25.8</v>
      </c>
      <c r="S45" s="35">
        <v>14</v>
      </c>
      <c r="T45" s="35">
        <v>24.7</v>
      </c>
      <c r="U45" s="35">
        <v>0.7</v>
      </c>
      <c r="V45" s="38">
        <f>R45*(1+S45)*原始运算表格!$P$2*原始运算表格!$Q$2</f>
        <v>387</v>
      </c>
      <c r="W45" s="38">
        <f>T45*(1+U45)*原始运算表格!$R$2*原始运算表格!$S$2</f>
        <v>209.95</v>
      </c>
      <c r="X45" s="38">
        <f>Y45-W45-V45</f>
        <v>0</v>
      </c>
      <c r="Y45" s="38">
        <f>(V45+W45)*(1+Z45)</f>
        <v>596.95000000000005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1</v>
      </c>
      <c r="D46" s="35">
        <v>1</v>
      </c>
      <c r="E46" s="35">
        <f t="shared" si="5"/>
        <v>2</v>
      </c>
      <c r="F46" s="35">
        <f t="shared" si="2"/>
        <v>2</v>
      </c>
      <c r="R46" s="35">
        <v>27.5</v>
      </c>
      <c r="S46" s="35">
        <v>1.5</v>
      </c>
      <c r="T46" s="35">
        <v>30.1</v>
      </c>
      <c r="U46" s="35">
        <v>0.5</v>
      </c>
      <c r="V46" s="38">
        <f>R46*(1+S46)*原始运算表格!$P$2*原始运算表格!$Q$2</f>
        <v>68.75</v>
      </c>
      <c r="W46" s="38">
        <f>T46*(1+U46)*原始运算表格!$R$2*原始运算表格!$S$2</f>
        <v>225.75000000000003</v>
      </c>
      <c r="X46" s="38">
        <f t="shared" ref="X46:X79" si="7">Y46-W46-V46</f>
        <v>0</v>
      </c>
      <c r="Y46" s="38">
        <f t="shared" ref="Y46:Y79" si="8">(V46+W46)*(1+Z46)</f>
        <v>294.5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1</v>
      </c>
      <c r="D47" s="35">
        <v>1</v>
      </c>
      <c r="E47" s="35">
        <f t="shared" si="5"/>
        <v>3</v>
      </c>
      <c r="F47" s="35">
        <f t="shared" si="2"/>
        <v>3</v>
      </c>
      <c r="H47" s="35">
        <v>1</v>
      </c>
      <c r="N47" s="35">
        <v>1</v>
      </c>
      <c r="R47" s="35">
        <v>29.8</v>
      </c>
      <c r="S47" s="35">
        <v>16.899999999999999</v>
      </c>
      <c r="T47" s="35">
        <v>28.1</v>
      </c>
      <c r="U47" s="35">
        <v>0.4</v>
      </c>
      <c r="V47" s="38">
        <f>R47*(1+S47)*原始运算表格!$P$2*原始运算表格!$Q$2</f>
        <v>533.41999999999996</v>
      </c>
      <c r="W47" s="38">
        <f>T47*(1+U47)*原始运算表格!$R$2*原始运算表格!$S$2</f>
        <v>196.7</v>
      </c>
      <c r="X47" s="38">
        <f t="shared" si="7"/>
        <v>2190.3599999999997</v>
      </c>
      <c r="Y47" s="38">
        <f t="shared" si="8"/>
        <v>2920.4799999999996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3</v>
      </c>
    </row>
    <row r="48" spans="1:26">
      <c r="A48" s="35">
        <v>1987</v>
      </c>
      <c r="B48" s="35">
        <f t="shared" si="6"/>
        <v>1988</v>
      </c>
      <c r="C48" s="35">
        <v>1</v>
      </c>
      <c r="D48" s="35">
        <v>1</v>
      </c>
      <c r="E48" s="35">
        <f t="shared" si="5"/>
        <v>4</v>
      </c>
      <c r="F48" s="35">
        <f t="shared" si="2"/>
        <v>4</v>
      </c>
      <c r="G48" s="35">
        <v>1</v>
      </c>
      <c r="H48" s="35">
        <v>1</v>
      </c>
      <c r="I48" s="35">
        <v>1</v>
      </c>
      <c r="L48" s="35">
        <v>1</v>
      </c>
      <c r="N48" s="35">
        <v>1</v>
      </c>
      <c r="O48" s="35">
        <v>1</v>
      </c>
      <c r="R48" s="35">
        <v>31.7</v>
      </c>
      <c r="S48" s="35">
        <v>21.2</v>
      </c>
      <c r="T48" s="35">
        <v>28.4</v>
      </c>
      <c r="U48" s="35">
        <v>2.1</v>
      </c>
      <c r="V48" s="38">
        <f>R48*(1+S48)*原始运算表格!$P$2*原始运算表格!$Q$2</f>
        <v>703.74</v>
      </c>
      <c r="W48" s="38">
        <f>T48*(1+U48)*原始运算表格!$R$2*原始运算表格!$S$2</f>
        <v>440.19999999999993</v>
      </c>
      <c r="X48" s="38">
        <f t="shared" si="7"/>
        <v>18303.039999999997</v>
      </c>
      <c r="Y48" s="38">
        <f t="shared" si="8"/>
        <v>19446.98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16</v>
      </c>
    </row>
    <row r="49" spans="1:26">
      <c r="A49" s="35">
        <v>1988</v>
      </c>
      <c r="B49" s="35">
        <f t="shared" si="6"/>
        <v>1989</v>
      </c>
      <c r="C49" s="35">
        <v>1</v>
      </c>
      <c r="D49" s="35">
        <v>1</v>
      </c>
      <c r="E49" s="35">
        <f t="shared" si="5"/>
        <v>5</v>
      </c>
      <c r="F49" s="35">
        <f t="shared" si="2"/>
        <v>5</v>
      </c>
      <c r="H49" s="35">
        <v>1</v>
      </c>
      <c r="N49" s="35">
        <v>1</v>
      </c>
      <c r="O49" s="35">
        <v>1</v>
      </c>
      <c r="R49" s="35">
        <v>31.1</v>
      </c>
      <c r="S49" s="35">
        <v>19.8</v>
      </c>
      <c r="T49" s="35">
        <v>29.9</v>
      </c>
      <c r="U49" s="35">
        <v>4</v>
      </c>
      <c r="V49" s="38">
        <f>R49*(1+S49)*原始运算表格!$P$2*原始运算表格!$Q$2</f>
        <v>646.88</v>
      </c>
      <c r="W49" s="38">
        <f>T49*(1+U49)*原始运算表格!$R$2*原始运算表格!$S$2</f>
        <v>747.5</v>
      </c>
      <c r="X49" s="38">
        <f t="shared" si="7"/>
        <v>5577.52</v>
      </c>
      <c r="Y49" s="38">
        <f t="shared" si="8"/>
        <v>6971.9000000000005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4</v>
      </c>
    </row>
    <row r="50" spans="1:26">
      <c r="A50" s="35">
        <v>1989</v>
      </c>
      <c r="B50" s="35">
        <f t="shared" si="6"/>
        <v>1990</v>
      </c>
      <c r="C50" s="35">
        <v>1</v>
      </c>
      <c r="D50" s="35">
        <v>1</v>
      </c>
      <c r="E50" s="35">
        <f t="shared" si="5"/>
        <v>6</v>
      </c>
      <c r="F50" s="35">
        <f t="shared" si="2"/>
        <v>6</v>
      </c>
      <c r="H50" s="35">
        <v>1</v>
      </c>
      <c r="L50" s="35">
        <v>1</v>
      </c>
      <c r="N50" s="35">
        <v>1</v>
      </c>
      <c r="O50" s="35">
        <v>1</v>
      </c>
      <c r="R50" s="35">
        <v>31.2</v>
      </c>
      <c r="S50" s="35">
        <v>19</v>
      </c>
      <c r="T50" s="35">
        <v>31.7</v>
      </c>
      <c r="U50" s="35">
        <v>4</v>
      </c>
      <c r="V50" s="38">
        <f>R50*(1+S50)*原始运算表格!$P$2*原始运算表格!$Q$2</f>
        <v>624</v>
      </c>
      <c r="W50" s="38">
        <f>T50*(1+U50)*原始运算表格!$R$2*原始运算表格!$S$2</f>
        <v>792.5</v>
      </c>
      <c r="X50" s="38">
        <f t="shared" si="7"/>
        <v>8499</v>
      </c>
      <c r="Y50" s="38">
        <f t="shared" si="8"/>
        <v>9915.5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6</v>
      </c>
    </row>
    <row r="51" spans="1:26">
      <c r="A51" s="35">
        <v>1990</v>
      </c>
      <c r="B51" s="35">
        <f t="shared" si="6"/>
        <v>1991</v>
      </c>
      <c r="C51" s="35">
        <v>1</v>
      </c>
      <c r="D51" s="35">
        <v>1</v>
      </c>
      <c r="E51" s="35">
        <f t="shared" si="5"/>
        <v>7</v>
      </c>
      <c r="F51" s="35">
        <f t="shared" si="2"/>
        <v>7</v>
      </c>
      <c r="G51" s="35">
        <v>1</v>
      </c>
      <c r="H51" s="35">
        <v>1</v>
      </c>
      <c r="N51" s="35">
        <v>1</v>
      </c>
      <c r="O51" s="35">
        <v>1</v>
      </c>
      <c r="P51" s="35">
        <v>1</v>
      </c>
      <c r="Q51" s="35">
        <v>1</v>
      </c>
      <c r="R51" s="35">
        <v>31.6</v>
      </c>
      <c r="S51" s="35">
        <v>20.3</v>
      </c>
      <c r="T51" s="35">
        <v>32</v>
      </c>
      <c r="U51" s="35">
        <v>4.8</v>
      </c>
      <c r="V51" s="38">
        <f>R51*(1+S51)*原始运算表格!$P$2*原始运算表格!$Q$2</f>
        <v>673.08</v>
      </c>
      <c r="W51" s="38">
        <f>T51*(1+U51)*原始运算表格!$R$2*原始运算表格!$S$2</f>
        <v>928</v>
      </c>
      <c r="X51" s="38">
        <f t="shared" si="7"/>
        <v>38425.919999999998</v>
      </c>
      <c r="Y51" s="38">
        <f t="shared" si="8"/>
        <v>40027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24</v>
      </c>
    </row>
    <row r="52" spans="1:26">
      <c r="A52" s="35">
        <v>1991</v>
      </c>
      <c r="B52" s="35">
        <f t="shared" si="6"/>
        <v>1992</v>
      </c>
      <c r="C52" s="35">
        <v>1</v>
      </c>
      <c r="D52" s="35">
        <v>1</v>
      </c>
      <c r="E52" s="35">
        <f t="shared" si="5"/>
        <v>8</v>
      </c>
      <c r="F52" s="35">
        <f t="shared" si="2"/>
        <v>8</v>
      </c>
      <c r="G52" s="35">
        <v>1</v>
      </c>
      <c r="H52" s="35">
        <v>1</v>
      </c>
      <c r="N52" s="35">
        <v>1</v>
      </c>
      <c r="O52" s="35">
        <v>1</v>
      </c>
      <c r="P52" s="35">
        <v>1</v>
      </c>
      <c r="Q52" s="35">
        <v>1</v>
      </c>
      <c r="R52" s="35">
        <v>27.7</v>
      </c>
      <c r="S52" s="35">
        <v>17.7</v>
      </c>
      <c r="T52" s="35">
        <v>27.2</v>
      </c>
      <c r="U52" s="35">
        <v>4.0999999999999996</v>
      </c>
      <c r="V52" s="38">
        <f>R52*(1+S52)*原始运算表格!$P$2*原始运算表格!$Q$2</f>
        <v>517.99</v>
      </c>
      <c r="W52" s="38">
        <f>T52*(1+U52)*原始运算表格!$R$2*原始运算表格!$S$2</f>
        <v>693.6</v>
      </c>
      <c r="X52" s="38">
        <f t="shared" si="7"/>
        <v>29078.160000000003</v>
      </c>
      <c r="Y52" s="38">
        <f t="shared" si="8"/>
        <v>30289.750000000004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24</v>
      </c>
    </row>
    <row r="53" spans="1:26">
      <c r="A53" s="35">
        <v>1992</v>
      </c>
      <c r="B53" s="35">
        <f t="shared" si="6"/>
        <v>1993</v>
      </c>
      <c r="C53" s="35">
        <v>1</v>
      </c>
      <c r="D53" s="35">
        <v>1</v>
      </c>
      <c r="E53" s="35">
        <f t="shared" si="5"/>
        <v>9</v>
      </c>
      <c r="F53" s="35">
        <f t="shared" si="2"/>
        <v>9</v>
      </c>
      <c r="H53" s="35">
        <v>1</v>
      </c>
      <c r="L53" s="35">
        <v>1</v>
      </c>
      <c r="N53" s="35">
        <v>1</v>
      </c>
      <c r="O53" s="35">
        <v>1</v>
      </c>
      <c r="P53" s="35">
        <v>1</v>
      </c>
      <c r="Q53" s="35">
        <v>1</v>
      </c>
      <c r="R53" s="35">
        <v>29.7</v>
      </c>
      <c r="S53" s="35">
        <v>17.2</v>
      </c>
      <c r="T53" s="35">
        <v>30.1</v>
      </c>
      <c r="U53" s="35">
        <v>4.4000000000000004</v>
      </c>
      <c r="V53" s="38">
        <f>R53*(1+S53)*原始运算表格!$P$2*原始运算表格!$Q$2</f>
        <v>540.54</v>
      </c>
      <c r="W53" s="38">
        <f>T53*(1+U53)*原始运算表格!$R$2*原始运算表格!$S$2</f>
        <v>812.7</v>
      </c>
      <c r="X53" s="38">
        <f t="shared" si="7"/>
        <v>24358.32</v>
      </c>
      <c r="Y53" s="38">
        <f t="shared" si="8"/>
        <v>25711.56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18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9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1</v>
      </c>
      <c r="D55" s="35">
        <v>1</v>
      </c>
      <c r="E55" s="35">
        <f t="shared" si="5"/>
        <v>10</v>
      </c>
      <c r="F55" s="35">
        <f t="shared" si="2"/>
        <v>10</v>
      </c>
      <c r="R55" s="35">
        <v>22.1</v>
      </c>
      <c r="S55" s="35">
        <v>2.2999999999999998</v>
      </c>
      <c r="T55" s="35">
        <v>24.8</v>
      </c>
      <c r="U55" s="35">
        <v>1.3</v>
      </c>
      <c r="V55" s="38">
        <f>R55*(1+S55)*原始运算表格!$P$2*原始运算表格!$Q$2</f>
        <v>72.930000000000007</v>
      </c>
      <c r="W55" s="38">
        <f>T55*(1+U55)*原始运算表格!$R$2*原始运算表格!$S$2</f>
        <v>285.2</v>
      </c>
      <c r="X55" s="38">
        <f t="shared" si="7"/>
        <v>0</v>
      </c>
      <c r="Y55" s="38">
        <f t="shared" si="8"/>
        <v>358.13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1</v>
      </c>
      <c r="D56" s="35">
        <v>1</v>
      </c>
      <c r="E56" s="35">
        <f t="shared" si="5"/>
        <v>11</v>
      </c>
      <c r="F56" s="35">
        <f t="shared" si="2"/>
        <v>11</v>
      </c>
      <c r="G56" s="35">
        <v>1</v>
      </c>
      <c r="H56" s="35">
        <v>1</v>
      </c>
      <c r="N56" s="35">
        <v>1</v>
      </c>
      <c r="O56" s="35">
        <v>1</v>
      </c>
      <c r="P56" s="35">
        <v>1</v>
      </c>
      <c r="Q56" s="35">
        <v>1</v>
      </c>
      <c r="R56" s="35">
        <v>29.4</v>
      </c>
      <c r="S56" s="35">
        <v>20.399999999999999</v>
      </c>
      <c r="T56" s="35">
        <v>26.7</v>
      </c>
      <c r="U56" s="35">
        <v>4.7</v>
      </c>
      <c r="V56" s="38">
        <f>R56*(1+S56)*原始运算表格!$P$2*原始运算表格!$Q$2</f>
        <v>629.16</v>
      </c>
      <c r="W56" s="38">
        <f>T56*(1+U56)*原始运算表格!$R$2*原始运算表格!$S$2</f>
        <v>760.95</v>
      </c>
      <c r="X56" s="38">
        <f t="shared" si="7"/>
        <v>33362.639999999999</v>
      </c>
      <c r="Y56" s="38">
        <f t="shared" si="8"/>
        <v>34752.75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24</v>
      </c>
    </row>
    <row r="57" spans="1:26">
      <c r="A57" s="35">
        <v>1996</v>
      </c>
      <c r="B57" s="35">
        <f t="shared" si="6"/>
        <v>1997</v>
      </c>
      <c r="C57" s="35">
        <v>1</v>
      </c>
      <c r="D57" s="35">
        <v>1</v>
      </c>
      <c r="E57" s="35">
        <f t="shared" si="5"/>
        <v>12</v>
      </c>
      <c r="F57" s="35">
        <f t="shared" si="2"/>
        <v>12</v>
      </c>
      <c r="H57" s="35">
        <v>1</v>
      </c>
      <c r="N57" s="35">
        <v>1</v>
      </c>
      <c r="O57" s="35">
        <v>1</v>
      </c>
      <c r="P57" s="35">
        <v>1</v>
      </c>
      <c r="Q57" s="35">
        <v>1</v>
      </c>
      <c r="R57" s="35">
        <v>27.8</v>
      </c>
      <c r="S57" s="35">
        <v>18.3</v>
      </c>
      <c r="T57" s="35">
        <v>27.1</v>
      </c>
      <c r="U57" s="35">
        <v>3.9</v>
      </c>
      <c r="V57" s="38">
        <f>R57*(1+S57)*原始运算表格!$P$2*原始运算表格!$Q$2</f>
        <v>536.54000000000008</v>
      </c>
      <c r="W57" s="38">
        <f>T57*(1+U57)*原始运算表格!$R$2*原始运算表格!$S$2</f>
        <v>663.95</v>
      </c>
      <c r="X57" s="38">
        <f t="shared" si="7"/>
        <v>19207.840000000004</v>
      </c>
      <c r="Y57" s="38">
        <f t="shared" si="8"/>
        <v>20408.330000000005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16</v>
      </c>
    </row>
    <row r="58" spans="1:26">
      <c r="A58" s="35">
        <v>1997</v>
      </c>
      <c r="B58" s="35">
        <f t="shared" si="6"/>
        <v>1998</v>
      </c>
      <c r="C58" s="35">
        <v>1</v>
      </c>
      <c r="D58" s="35">
        <v>1</v>
      </c>
      <c r="E58" s="35">
        <f t="shared" si="5"/>
        <v>13</v>
      </c>
      <c r="F58" s="35">
        <f t="shared" si="2"/>
        <v>13</v>
      </c>
      <c r="G58" s="35">
        <v>1</v>
      </c>
      <c r="H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25.2</v>
      </c>
      <c r="S58" s="35">
        <v>15.8</v>
      </c>
      <c r="T58" s="35">
        <v>28.1</v>
      </c>
      <c r="U58" s="35">
        <v>4.8</v>
      </c>
      <c r="V58" s="38">
        <f>R58*(1+S58)*原始运算表格!$P$2*原始运算表格!$Q$2</f>
        <v>423.36</v>
      </c>
      <c r="W58" s="38">
        <f>T58*(1+U58)*原始运算表格!$R$2*原始运算表格!$S$2</f>
        <v>814.9</v>
      </c>
      <c r="X58" s="38">
        <f t="shared" si="7"/>
        <v>29718.239999999998</v>
      </c>
      <c r="Y58" s="38">
        <f t="shared" si="8"/>
        <v>30956.5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24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13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13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13</v>
      </c>
      <c r="F61" s="35">
        <f t="shared" si="2"/>
        <v>0</v>
      </c>
      <c r="R61" s="35">
        <v>20.7</v>
      </c>
      <c r="S61" s="35">
        <v>3.3</v>
      </c>
      <c r="V61" s="38">
        <f>R61*(1+S61)*原始运算表格!$P$2*原始运算表格!$Q$2</f>
        <v>89.009999999999991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89.009999999999991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1</v>
      </c>
      <c r="D62" s="35">
        <v>0</v>
      </c>
      <c r="E62" s="35">
        <f t="shared" si="5"/>
        <v>14</v>
      </c>
      <c r="F62" s="35">
        <f t="shared" si="2"/>
        <v>14</v>
      </c>
      <c r="I62" s="42"/>
      <c r="J62" s="42"/>
      <c r="K62" s="42"/>
      <c r="L62" s="42"/>
      <c r="M62" s="42"/>
      <c r="P62" s="42"/>
      <c r="R62" s="35">
        <v>19.3</v>
      </c>
      <c r="S62" s="35">
        <v>6.2</v>
      </c>
      <c r="V62" s="38">
        <f>R62*(1+S62)*原始运算表格!$P$2*原始运算表格!$Q$2</f>
        <v>138.96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138.96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1</v>
      </c>
      <c r="D63" s="35">
        <v>0</v>
      </c>
      <c r="E63" s="35">
        <f t="shared" si="5"/>
        <v>15</v>
      </c>
      <c r="F63" s="35">
        <f t="shared" si="2"/>
        <v>15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15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15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15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15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15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15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15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15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15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15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15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15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15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15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15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15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79"/>
  <sheetViews>
    <sheetView zoomScale="55" zoomScaleNormal="55" workbookViewId="0">
      <pane ySplit="6" topLeftCell="A27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23</v>
      </c>
    </row>
    <row r="5" spans="1:26" s="39" customFormat="1">
      <c r="A5" s="39" t="s">
        <v>22</v>
      </c>
      <c r="B5" s="40"/>
      <c r="C5" s="39">
        <f>SUM(C12:C105)</f>
        <v>20</v>
      </c>
      <c r="D5" s="39">
        <f>SUM(D12:D105)</f>
        <v>18</v>
      </c>
      <c r="G5" s="39">
        <f>SUM(G12:G105)</f>
        <v>6</v>
      </c>
      <c r="H5" s="39">
        <f t="shared" ref="H5:Z5" si="0">SUM(H12:H105)</f>
        <v>2</v>
      </c>
      <c r="I5" s="39">
        <f t="shared" si="0"/>
        <v>0</v>
      </c>
      <c r="J5" s="39">
        <f t="shared" si="0"/>
        <v>1</v>
      </c>
      <c r="K5" s="39">
        <f t="shared" si="0"/>
        <v>0</v>
      </c>
      <c r="L5" s="39">
        <f t="shared" si="0"/>
        <v>0</v>
      </c>
      <c r="M5" s="39">
        <f t="shared" si="0"/>
        <v>4</v>
      </c>
      <c r="N5" s="39">
        <f t="shared" si="0"/>
        <v>10</v>
      </c>
      <c r="O5" s="39">
        <f t="shared" si="0"/>
        <v>5</v>
      </c>
      <c r="P5" s="39">
        <f t="shared" si="0"/>
        <v>6</v>
      </c>
      <c r="Q5" s="39">
        <f t="shared" si="0"/>
        <v>2</v>
      </c>
      <c r="R5" s="39">
        <f t="shared" si="0"/>
        <v>481.69999999999993</v>
      </c>
      <c r="S5" s="39">
        <f t="shared" si="0"/>
        <v>273.3</v>
      </c>
      <c r="T5" s="39">
        <f t="shared" si="0"/>
        <v>409.5</v>
      </c>
      <c r="U5" s="39">
        <f t="shared" si="0"/>
        <v>35.79999999999999</v>
      </c>
      <c r="V5" s="41">
        <f t="shared" si="0"/>
        <v>7483.11</v>
      </c>
      <c r="W5" s="41">
        <f t="shared" si="0"/>
        <v>6527.3</v>
      </c>
      <c r="X5" s="41">
        <f t="shared" si="0"/>
        <v>105185.91</v>
      </c>
      <c r="Y5" s="41">
        <f t="shared" si="0"/>
        <v>119196.32</v>
      </c>
      <c r="Z5" s="41">
        <f t="shared" si="0"/>
        <v>117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1</v>
      </c>
      <c r="D30" s="35">
        <v>1</v>
      </c>
      <c r="E30" s="35">
        <f t="shared" si="5"/>
        <v>1</v>
      </c>
      <c r="F30" s="35">
        <f t="shared" si="2"/>
        <v>1</v>
      </c>
      <c r="R30" s="35">
        <v>22.5</v>
      </c>
      <c r="S30" s="35">
        <v>13.8</v>
      </c>
      <c r="T30" s="35">
        <v>29.4</v>
      </c>
      <c r="U30" s="35">
        <v>2.6</v>
      </c>
      <c r="V30" s="38">
        <f>R30*(1+S30)*原始运算表格!$P$2*原始运算表格!$Q$2</f>
        <v>333</v>
      </c>
      <c r="W30" s="38">
        <f>T30*(1+U30)*原始运算表格!$R$2*原始运算表格!$S$2</f>
        <v>529.20000000000005</v>
      </c>
      <c r="X30" s="38">
        <f t="shared" si="3"/>
        <v>0</v>
      </c>
      <c r="Y30" s="38">
        <f t="shared" si="4"/>
        <v>862.2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1</v>
      </c>
      <c r="D31" s="35">
        <v>1</v>
      </c>
      <c r="E31" s="35">
        <f t="shared" si="5"/>
        <v>2</v>
      </c>
      <c r="F31" s="35">
        <f t="shared" si="2"/>
        <v>2</v>
      </c>
      <c r="G31" s="35">
        <v>1</v>
      </c>
      <c r="H31" s="35">
        <v>1</v>
      </c>
      <c r="N31" s="35">
        <v>1</v>
      </c>
      <c r="P31" s="35">
        <v>1</v>
      </c>
      <c r="Q31" s="35">
        <v>1</v>
      </c>
      <c r="R31" s="35">
        <v>29</v>
      </c>
      <c r="S31" s="35">
        <v>22.3</v>
      </c>
      <c r="T31" s="35">
        <v>25.3</v>
      </c>
      <c r="U31" s="35">
        <v>3.3</v>
      </c>
      <c r="V31" s="38">
        <f>R31*(1+S31)*原始运算表格!$P$2*原始运算表格!$Q$2</f>
        <v>675.7</v>
      </c>
      <c r="W31" s="38">
        <f>T31*(1+U31)*原始运算表格!$R$2*原始运算表格!$S$2</f>
        <v>543.94999999999993</v>
      </c>
      <c r="X31" s="38">
        <f t="shared" si="3"/>
        <v>28051.95</v>
      </c>
      <c r="Y31" s="38">
        <f t="shared" si="4"/>
        <v>29271.600000000002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23</v>
      </c>
    </row>
    <row r="32" spans="1:26">
      <c r="A32" s="35">
        <v>1971</v>
      </c>
      <c r="B32" s="35">
        <f t="shared" si="6"/>
        <v>1972</v>
      </c>
      <c r="C32" s="35">
        <v>1</v>
      </c>
      <c r="D32" s="35">
        <v>1</v>
      </c>
      <c r="E32" s="35">
        <f t="shared" si="5"/>
        <v>3</v>
      </c>
      <c r="F32" s="35">
        <f t="shared" si="2"/>
        <v>3</v>
      </c>
      <c r="G32" s="35">
        <v>1</v>
      </c>
      <c r="H32" s="35">
        <v>1</v>
      </c>
      <c r="N32" s="35">
        <v>1</v>
      </c>
      <c r="R32" s="35">
        <v>29.9</v>
      </c>
      <c r="S32" s="35">
        <v>25.4</v>
      </c>
      <c r="T32" s="35">
        <v>22.4</v>
      </c>
      <c r="U32" s="35">
        <v>1.6</v>
      </c>
      <c r="V32" s="38">
        <f>R32*(1+S32)*原始运算表格!$P$2*原始运算表格!$Q$2</f>
        <v>789.3599999999999</v>
      </c>
      <c r="W32" s="38">
        <f>T32*(1+U32)*原始运算表格!$R$2*原始运算表格!$S$2</f>
        <v>291.2</v>
      </c>
      <c r="X32" s="38">
        <f t="shared" si="3"/>
        <v>11886.159999999998</v>
      </c>
      <c r="Y32" s="38">
        <f t="shared" si="4"/>
        <v>12966.72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11</v>
      </c>
    </row>
    <row r="33" spans="1:26">
      <c r="A33" s="35">
        <v>1972</v>
      </c>
      <c r="B33" s="35">
        <f t="shared" si="6"/>
        <v>1973</v>
      </c>
      <c r="C33" s="35">
        <v>1</v>
      </c>
      <c r="D33" s="35">
        <v>1</v>
      </c>
      <c r="E33" s="35">
        <f t="shared" si="5"/>
        <v>4</v>
      </c>
      <c r="F33" s="35">
        <f t="shared" si="2"/>
        <v>4</v>
      </c>
      <c r="N33" s="35">
        <v>1</v>
      </c>
      <c r="R33" s="35">
        <v>28.5</v>
      </c>
      <c r="S33" s="35">
        <v>21.9</v>
      </c>
      <c r="T33" s="35">
        <v>17.7</v>
      </c>
      <c r="U33" s="35">
        <v>0.5</v>
      </c>
      <c r="V33" s="38">
        <f>R33*(1+S33)*原始运算表格!$P$2*原始运算表格!$Q$2</f>
        <v>652.65</v>
      </c>
      <c r="W33" s="38">
        <f>T33*(1+U33)*原始运算表格!$R$2*原始运算表格!$S$2</f>
        <v>132.75</v>
      </c>
      <c r="X33" s="38">
        <f t="shared" si="3"/>
        <v>785.4</v>
      </c>
      <c r="Y33" s="38">
        <f t="shared" si="4"/>
        <v>1570.8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1</v>
      </c>
    </row>
    <row r="34" spans="1:26">
      <c r="A34" s="35">
        <v>1973</v>
      </c>
      <c r="B34" s="35">
        <f t="shared" si="6"/>
        <v>1974</v>
      </c>
      <c r="C34" s="35">
        <v>1</v>
      </c>
      <c r="D34" s="35">
        <v>1</v>
      </c>
      <c r="E34" s="35">
        <f t="shared" si="5"/>
        <v>5</v>
      </c>
      <c r="F34" s="35">
        <f t="shared" si="2"/>
        <v>5</v>
      </c>
      <c r="G34" s="35">
        <v>1</v>
      </c>
      <c r="N34" s="35">
        <v>1</v>
      </c>
      <c r="O34" s="35">
        <v>1</v>
      </c>
      <c r="R34" s="35">
        <v>24.4</v>
      </c>
      <c r="S34" s="35">
        <v>18.399999999999999</v>
      </c>
      <c r="T34" s="35">
        <v>28.3</v>
      </c>
      <c r="U34" s="35">
        <v>4.7</v>
      </c>
      <c r="V34" s="38">
        <f>R34*(1+S34)*原始运算表格!$P$2*原始运算表格!$Q$2</f>
        <v>473.35999999999996</v>
      </c>
      <c r="W34" s="38">
        <f>T34*(1+U34)*原始运算表格!$R$2*原始运算表格!$S$2</f>
        <v>806.55</v>
      </c>
      <c r="X34" s="38">
        <f t="shared" si="3"/>
        <v>12799.099999999999</v>
      </c>
      <c r="Y34" s="38">
        <f t="shared" si="4"/>
        <v>14079.009999999998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10</v>
      </c>
    </row>
    <row r="35" spans="1:26">
      <c r="A35" s="35">
        <v>1974</v>
      </c>
      <c r="B35" s="35">
        <f t="shared" si="6"/>
        <v>1975</v>
      </c>
      <c r="C35" s="35">
        <v>1</v>
      </c>
      <c r="D35" s="35">
        <v>0</v>
      </c>
      <c r="E35" s="35">
        <f t="shared" si="5"/>
        <v>6</v>
      </c>
      <c r="F35" s="35">
        <f t="shared" si="2"/>
        <v>6</v>
      </c>
      <c r="M35" s="35">
        <v>1</v>
      </c>
      <c r="O35" s="35">
        <v>1</v>
      </c>
      <c r="R35" s="35">
        <v>26.4</v>
      </c>
      <c r="S35" s="35">
        <v>12.9</v>
      </c>
      <c r="V35" s="38">
        <f>R35*(1+S35)*原始运算表格!$P$2*原始运算表格!$Q$2</f>
        <v>366.96</v>
      </c>
      <c r="W35" s="38">
        <f>T35*(1+U35)*原始运算表格!$R$2*原始运算表格!$S$2</f>
        <v>0</v>
      </c>
      <c r="X35" s="38">
        <f t="shared" si="3"/>
        <v>1100.8799999999999</v>
      </c>
      <c r="Y35" s="38">
        <f t="shared" si="4"/>
        <v>1467.84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3</v>
      </c>
    </row>
    <row r="36" spans="1:26">
      <c r="A36" s="35">
        <v>1975</v>
      </c>
      <c r="B36" s="35">
        <f t="shared" si="6"/>
        <v>1976</v>
      </c>
      <c r="C36" s="35">
        <v>1</v>
      </c>
      <c r="D36" s="35">
        <v>0</v>
      </c>
      <c r="E36" s="35">
        <f t="shared" si="5"/>
        <v>7</v>
      </c>
      <c r="F36" s="35">
        <f t="shared" si="2"/>
        <v>7</v>
      </c>
      <c r="G36" s="35">
        <v>1</v>
      </c>
      <c r="J36" s="35">
        <v>1</v>
      </c>
      <c r="M36" s="35">
        <v>1</v>
      </c>
      <c r="N36" s="35">
        <v>1</v>
      </c>
      <c r="R36" s="35">
        <v>27.2</v>
      </c>
      <c r="S36" s="35">
        <v>17</v>
      </c>
      <c r="V36" s="38">
        <f>R36*(1+S36)*原始运算表格!$P$2*原始运算表格!$Q$2</f>
        <v>489.59999999999997</v>
      </c>
      <c r="W36" s="38">
        <f>T36*(1+U36)*原始运算表格!$R$2*原始运算表格!$S$2</f>
        <v>0</v>
      </c>
      <c r="X36" s="38">
        <f t="shared" si="3"/>
        <v>6364.7999999999993</v>
      </c>
      <c r="Y36" s="38">
        <f t="shared" si="4"/>
        <v>6854.4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13</v>
      </c>
    </row>
    <row r="37" spans="1:26">
      <c r="A37" s="35">
        <v>1976</v>
      </c>
      <c r="B37" s="35">
        <f t="shared" si="6"/>
        <v>1977</v>
      </c>
      <c r="C37" s="35">
        <v>1</v>
      </c>
      <c r="D37" s="35">
        <v>1</v>
      </c>
      <c r="E37" s="35">
        <f t="shared" si="5"/>
        <v>8</v>
      </c>
      <c r="F37" s="35">
        <f t="shared" si="2"/>
        <v>8</v>
      </c>
      <c r="G37" s="35">
        <v>1</v>
      </c>
      <c r="N37" s="35">
        <v>1</v>
      </c>
      <c r="R37" s="35">
        <v>27.8</v>
      </c>
      <c r="S37" s="35">
        <v>17.8</v>
      </c>
      <c r="T37" s="35">
        <v>32.4</v>
      </c>
      <c r="U37" s="35">
        <v>3.2</v>
      </c>
      <c r="V37" s="38">
        <f>R37*(1+S37)*原始运算表格!$P$2*原始运算表格!$Q$2</f>
        <v>522.64</v>
      </c>
      <c r="W37" s="38">
        <f>T37*(1+U37)*原始运算表格!$R$2*原始运算表格!$S$2</f>
        <v>680.40000000000009</v>
      </c>
      <c r="X37" s="38">
        <f t="shared" si="3"/>
        <v>10827.36</v>
      </c>
      <c r="Y37" s="38">
        <f t="shared" si="4"/>
        <v>12030.4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9</v>
      </c>
    </row>
    <row r="38" spans="1:26">
      <c r="A38" s="35">
        <v>1977</v>
      </c>
      <c r="B38" s="35">
        <f t="shared" si="6"/>
        <v>1978</v>
      </c>
      <c r="C38" s="35">
        <v>1</v>
      </c>
      <c r="D38" s="35">
        <v>1</v>
      </c>
      <c r="E38" s="35">
        <f t="shared" si="5"/>
        <v>9</v>
      </c>
      <c r="F38" s="35">
        <f t="shared" si="2"/>
        <v>9</v>
      </c>
      <c r="R38" s="35">
        <v>29.2</v>
      </c>
      <c r="S38" s="35">
        <v>12.1</v>
      </c>
      <c r="T38" s="35">
        <v>21.9</v>
      </c>
      <c r="U38" s="35">
        <v>0.4</v>
      </c>
      <c r="V38" s="38">
        <f>R38*(1+S38)*原始运算表格!$P$2*原始运算表格!$Q$2</f>
        <v>382.52</v>
      </c>
      <c r="W38" s="38">
        <f>T38*(1+U38)*原始运算表格!$R$2*原始运算表格!$S$2</f>
        <v>153.29999999999998</v>
      </c>
      <c r="X38" s="38">
        <f t="shared" si="3"/>
        <v>0</v>
      </c>
      <c r="Y38" s="38">
        <f t="shared" si="4"/>
        <v>535.81999999999994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1</v>
      </c>
      <c r="D39" s="35">
        <v>1</v>
      </c>
      <c r="E39" s="35">
        <f t="shared" si="5"/>
        <v>10</v>
      </c>
      <c r="F39" s="35">
        <f t="shared" si="2"/>
        <v>10</v>
      </c>
      <c r="M39" s="35">
        <v>1</v>
      </c>
      <c r="O39" s="35">
        <v>1</v>
      </c>
      <c r="R39" s="35">
        <v>25.5</v>
      </c>
      <c r="S39" s="35">
        <v>14.4</v>
      </c>
      <c r="T39" s="35">
        <v>26.5</v>
      </c>
      <c r="U39" s="35">
        <v>1.7</v>
      </c>
      <c r="V39" s="38">
        <f>R39*(1+S39)*原始运算表格!$P$2*原始运算表格!$Q$2</f>
        <v>392.7</v>
      </c>
      <c r="W39" s="38">
        <f>T39*(1+U39)*原始运算表格!$R$2*原始运算表格!$S$2</f>
        <v>357.75000000000006</v>
      </c>
      <c r="X39" s="38">
        <f t="shared" si="3"/>
        <v>2251.3500000000004</v>
      </c>
      <c r="Y39" s="38">
        <f t="shared" si="4"/>
        <v>3001.8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3</v>
      </c>
    </row>
    <row r="40" spans="1:26">
      <c r="A40" s="35">
        <v>1979</v>
      </c>
      <c r="B40" s="35">
        <f t="shared" si="6"/>
        <v>1980</v>
      </c>
      <c r="C40" s="35">
        <v>1</v>
      </c>
      <c r="D40" s="35">
        <v>1</v>
      </c>
      <c r="E40" s="35">
        <f t="shared" si="5"/>
        <v>11</v>
      </c>
      <c r="F40" s="35">
        <f t="shared" si="2"/>
        <v>11</v>
      </c>
      <c r="G40" s="35">
        <v>1</v>
      </c>
      <c r="M40" s="35">
        <v>1</v>
      </c>
      <c r="N40" s="35">
        <v>1</v>
      </c>
      <c r="O40" s="35">
        <v>1</v>
      </c>
      <c r="P40" s="35">
        <v>1</v>
      </c>
      <c r="R40" s="35">
        <v>25.3</v>
      </c>
      <c r="S40" s="35">
        <v>14.8</v>
      </c>
      <c r="T40" s="35">
        <v>27.9</v>
      </c>
      <c r="U40" s="35">
        <v>3.3</v>
      </c>
      <c r="V40" s="38">
        <f>R40*(1+S40)*原始运算表格!$P$2*原始运算表格!$Q$2</f>
        <v>399.74</v>
      </c>
      <c r="W40" s="38">
        <f>T40*(1+U40)*原始运算表格!$R$2*原始运算表格!$S$2</f>
        <v>599.84999999999991</v>
      </c>
      <c r="X40" s="38">
        <f t="shared" si="3"/>
        <v>15993.44</v>
      </c>
      <c r="Y40" s="38">
        <f t="shared" si="4"/>
        <v>16993.03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16</v>
      </c>
    </row>
    <row r="41" spans="1:26">
      <c r="A41" s="35">
        <v>1980</v>
      </c>
      <c r="B41" s="35">
        <f t="shared" si="6"/>
        <v>1981</v>
      </c>
      <c r="C41" s="35">
        <v>1</v>
      </c>
      <c r="D41" s="35">
        <v>1</v>
      </c>
      <c r="E41" s="35">
        <f t="shared" si="5"/>
        <v>12</v>
      </c>
      <c r="F41" s="35">
        <f t="shared" si="2"/>
        <v>12</v>
      </c>
      <c r="N41" s="35">
        <v>1</v>
      </c>
      <c r="O41" s="35">
        <v>1</v>
      </c>
      <c r="R41" s="35">
        <v>25.5</v>
      </c>
      <c r="S41" s="35">
        <v>14.3</v>
      </c>
      <c r="T41" s="35">
        <v>22.4</v>
      </c>
      <c r="U41" s="35">
        <v>0.4</v>
      </c>
      <c r="V41" s="38">
        <f>R41*(1+S41)*原始运算表格!$P$2*原始运算表格!$Q$2</f>
        <v>390.15000000000003</v>
      </c>
      <c r="W41" s="38">
        <f>T41*(1+U41)*原始运算表格!$R$2*原始运算表格!$S$2</f>
        <v>156.79999999999998</v>
      </c>
      <c r="X41" s="38">
        <f t="shared" si="3"/>
        <v>1093.9000000000001</v>
      </c>
      <c r="Y41" s="38">
        <f t="shared" si="4"/>
        <v>1640.8500000000001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2</v>
      </c>
    </row>
    <row r="42" spans="1:26">
      <c r="A42" s="35">
        <v>1981</v>
      </c>
      <c r="B42" s="35">
        <f t="shared" si="6"/>
        <v>1982</v>
      </c>
      <c r="C42" s="35">
        <v>1</v>
      </c>
      <c r="D42" s="35">
        <v>1</v>
      </c>
      <c r="E42" s="35">
        <f t="shared" si="5"/>
        <v>13</v>
      </c>
      <c r="F42" s="35">
        <f t="shared" si="2"/>
        <v>13</v>
      </c>
      <c r="P42" s="35">
        <v>1</v>
      </c>
      <c r="R42" s="35">
        <v>23.4</v>
      </c>
      <c r="S42" s="35">
        <v>10.7</v>
      </c>
      <c r="T42" s="35">
        <v>20.100000000000001</v>
      </c>
      <c r="U42" s="35">
        <v>1.5</v>
      </c>
      <c r="V42" s="38">
        <f>R42*(1+S42)*原始运算表格!$P$2*原始运算表格!$Q$2</f>
        <v>273.77999999999997</v>
      </c>
      <c r="W42" s="38">
        <f>T42*(1+U42)*原始运算表格!$R$2*原始运算表格!$S$2</f>
        <v>251.25</v>
      </c>
      <c r="X42" s="38">
        <f t="shared" si="3"/>
        <v>2100.12</v>
      </c>
      <c r="Y42" s="38">
        <f t="shared" si="4"/>
        <v>2625.1499999999996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4</v>
      </c>
    </row>
    <row r="43" spans="1:26">
      <c r="A43" s="35">
        <v>1982</v>
      </c>
      <c r="B43" s="35">
        <f t="shared" si="6"/>
        <v>1983</v>
      </c>
      <c r="C43" s="35">
        <v>1</v>
      </c>
      <c r="D43" s="35">
        <v>1</v>
      </c>
      <c r="E43" s="35">
        <f t="shared" si="5"/>
        <v>14</v>
      </c>
      <c r="F43" s="35">
        <f t="shared" si="2"/>
        <v>14</v>
      </c>
      <c r="R43" s="35">
        <v>23.6</v>
      </c>
      <c r="S43" s="35">
        <v>10.9</v>
      </c>
      <c r="T43" s="35">
        <v>22.8</v>
      </c>
      <c r="U43" s="35">
        <v>2.1</v>
      </c>
      <c r="V43" s="38">
        <f>R43*(1+S43)*原始运算表格!$P$2*原始运算表格!$Q$2</f>
        <v>280.84000000000003</v>
      </c>
      <c r="W43" s="38">
        <f>T43*(1+U43)*原始运算表格!$R$2*原始运算表格!$S$2</f>
        <v>353.40000000000003</v>
      </c>
      <c r="X43" s="38">
        <f t="shared" si="3"/>
        <v>0</v>
      </c>
      <c r="Y43" s="38">
        <f t="shared" si="4"/>
        <v>634.24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1</v>
      </c>
      <c r="D44" s="35">
        <v>1</v>
      </c>
      <c r="E44" s="35">
        <f t="shared" si="5"/>
        <v>15</v>
      </c>
      <c r="F44" s="35">
        <f t="shared" si="2"/>
        <v>15</v>
      </c>
      <c r="N44" s="35">
        <v>1</v>
      </c>
      <c r="R44" s="35">
        <v>21.3</v>
      </c>
      <c r="S44" s="35">
        <v>8.9</v>
      </c>
      <c r="T44" s="35">
        <v>24</v>
      </c>
      <c r="U44" s="35">
        <v>3.3</v>
      </c>
      <c r="V44" s="38">
        <f>R44*(1+S44)*原始运算表格!$P$2*原始运算表格!$Q$2</f>
        <v>210.87</v>
      </c>
      <c r="W44" s="38">
        <f>T44*(1+U44)*原始运算表格!$R$2*原始运算表格!$S$2</f>
        <v>516</v>
      </c>
      <c r="X44" s="38">
        <f t="shared" si="3"/>
        <v>726.87</v>
      </c>
      <c r="Y44" s="38">
        <f t="shared" si="4"/>
        <v>1453.74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1</v>
      </c>
    </row>
    <row r="45" spans="1:26">
      <c r="A45" s="35">
        <v>1984</v>
      </c>
      <c r="B45" s="35">
        <f t="shared" si="6"/>
        <v>1985</v>
      </c>
      <c r="C45" s="35">
        <v>1</v>
      </c>
      <c r="D45" s="35">
        <v>1</v>
      </c>
      <c r="E45" s="35">
        <f t="shared" si="5"/>
        <v>16</v>
      </c>
      <c r="F45" s="35">
        <f t="shared" si="2"/>
        <v>16</v>
      </c>
      <c r="P45" s="35">
        <v>1</v>
      </c>
      <c r="Q45" s="35">
        <v>1</v>
      </c>
      <c r="R45" s="35">
        <v>22.9</v>
      </c>
      <c r="S45" s="35">
        <v>11.2</v>
      </c>
      <c r="T45" s="35">
        <v>22.1</v>
      </c>
      <c r="U45" s="35">
        <v>2.5</v>
      </c>
      <c r="V45" s="38">
        <f>R45*(1+S45)*原始运算表格!$P$2*原始运算表格!$Q$2</f>
        <v>279.37999999999994</v>
      </c>
      <c r="W45" s="38">
        <f>T45*(1+U45)*原始运算表格!$R$2*原始运算表格!$S$2</f>
        <v>386.75000000000006</v>
      </c>
      <c r="X45" s="38">
        <f>Y45-W45-V45</f>
        <v>7993.56</v>
      </c>
      <c r="Y45" s="38">
        <f>(V45+W45)*(1+Z45)</f>
        <v>8659.69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12</v>
      </c>
    </row>
    <row r="46" spans="1:26">
      <c r="A46" s="35">
        <v>1985</v>
      </c>
      <c r="B46" s="35">
        <f t="shared" si="6"/>
        <v>1986</v>
      </c>
      <c r="C46" s="35">
        <v>1</v>
      </c>
      <c r="D46" s="35">
        <v>1</v>
      </c>
      <c r="E46" s="35">
        <f t="shared" si="5"/>
        <v>17</v>
      </c>
      <c r="F46" s="35">
        <f t="shared" si="2"/>
        <v>17</v>
      </c>
      <c r="N46" s="35">
        <v>1</v>
      </c>
      <c r="R46" s="35">
        <v>22.7</v>
      </c>
      <c r="S46" s="35">
        <v>10.8</v>
      </c>
      <c r="T46" s="35">
        <v>21.2</v>
      </c>
      <c r="U46" s="35">
        <v>1.6</v>
      </c>
      <c r="V46" s="38">
        <f>R46*(1+S46)*原始运算表格!$P$2*原始运算表格!$Q$2</f>
        <v>267.86</v>
      </c>
      <c r="W46" s="38">
        <f>T46*(1+U46)*原始运算表格!$R$2*原始运算表格!$S$2</f>
        <v>275.59999999999997</v>
      </c>
      <c r="X46" s="38">
        <f t="shared" ref="X46:X79" si="7">Y46-W46-V46</f>
        <v>543.46000000000015</v>
      </c>
      <c r="Y46" s="38">
        <f t="shared" ref="Y46:Y79" si="8">(V46+W46)*(1+Z46)</f>
        <v>1086.92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1</v>
      </c>
    </row>
    <row r="47" spans="1:26">
      <c r="A47" s="35">
        <v>1986</v>
      </c>
      <c r="B47" s="35">
        <f t="shared" si="6"/>
        <v>1987</v>
      </c>
      <c r="C47" s="35">
        <v>1</v>
      </c>
      <c r="D47" s="35">
        <v>1</v>
      </c>
      <c r="E47" s="35">
        <f t="shared" si="5"/>
        <v>18</v>
      </c>
      <c r="F47" s="35">
        <f t="shared" si="2"/>
        <v>18</v>
      </c>
      <c r="P47" s="35">
        <v>1</v>
      </c>
      <c r="R47" s="35">
        <v>17.899999999999999</v>
      </c>
      <c r="S47" s="35">
        <v>7.5</v>
      </c>
      <c r="T47" s="35">
        <v>19.399999999999999</v>
      </c>
      <c r="U47" s="35">
        <v>2</v>
      </c>
      <c r="V47" s="38">
        <f>R47*(1+S47)*原始运算表格!$P$2*原始运算表格!$Q$2</f>
        <v>152.14999999999998</v>
      </c>
      <c r="W47" s="38">
        <f>T47*(1+U47)*原始运算表格!$R$2*原始运算表格!$S$2</f>
        <v>291</v>
      </c>
      <c r="X47" s="38">
        <f t="shared" si="7"/>
        <v>1772.6</v>
      </c>
      <c r="Y47" s="38">
        <f t="shared" si="8"/>
        <v>2215.75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4</v>
      </c>
    </row>
    <row r="48" spans="1:26">
      <c r="A48" s="35">
        <v>1987</v>
      </c>
      <c r="B48" s="35">
        <f t="shared" si="6"/>
        <v>1988</v>
      </c>
      <c r="C48" s="35">
        <v>1</v>
      </c>
      <c r="D48" s="35">
        <v>1</v>
      </c>
      <c r="E48" s="35">
        <f t="shared" si="5"/>
        <v>19</v>
      </c>
      <c r="F48" s="35">
        <f t="shared" si="2"/>
        <v>19</v>
      </c>
      <c r="P48" s="35">
        <v>1</v>
      </c>
      <c r="R48" s="35">
        <v>15.8</v>
      </c>
      <c r="S48" s="35">
        <v>5.3</v>
      </c>
      <c r="T48" s="35">
        <v>13.8</v>
      </c>
      <c r="U48" s="35">
        <v>0.8</v>
      </c>
      <c r="V48" s="38">
        <f>R48*(1+S48)*原始运算表格!$P$2*原始运算表格!$Q$2</f>
        <v>99.54</v>
      </c>
      <c r="W48" s="38">
        <f>T48*(1+U48)*原始运算表格!$R$2*原始运算表格!$S$2</f>
        <v>124.20000000000002</v>
      </c>
      <c r="X48" s="38">
        <f t="shared" si="7"/>
        <v>894.96</v>
      </c>
      <c r="Y48" s="38">
        <f t="shared" si="8"/>
        <v>1118.7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4</v>
      </c>
    </row>
    <row r="49" spans="1:26">
      <c r="A49" s="35">
        <v>1988</v>
      </c>
      <c r="B49" s="35">
        <f t="shared" si="6"/>
        <v>1989</v>
      </c>
      <c r="C49" s="35">
        <v>1</v>
      </c>
      <c r="D49" s="35">
        <v>1</v>
      </c>
      <c r="E49" s="35">
        <f t="shared" si="5"/>
        <v>20</v>
      </c>
      <c r="F49" s="35">
        <f t="shared" si="2"/>
        <v>20</v>
      </c>
      <c r="R49" s="35">
        <v>12.9</v>
      </c>
      <c r="S49" s="35">
        <v>2.9</v>
      </c>
      <c r="T49" s="35">
        <v>11.9</v>
      </c>
      <c r="U49" s="35">
        <v>0.3</v>
      </c>
      <c r="V49" s="38">
        <f>R49*(1+S49)*原始运算表格!$P$2*原始运算表格!$Q$2</f>
        <v>50.31</v>
      </c>
      <c r="W49" s="38">
        <f>T49*(1+U49)*原始运算表格!$R$2*原始运算表格!$S$2</f>
        <v>77.350000000000009</v>
      </c>
      <c r="X49" s="38">
        <f t="shared" si="7"/>
        <v>0</v>
      </c>
      <c r="Y49" s="38">
        <f t="shared" si="8"/>
        <v>127.66000000000001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20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20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20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20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20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20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20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20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0</v>
      </c>
      <c r="D58" s="35">
        <v>0</v>
      </c>
      <c r="E58" s="35">
        <f t="shared" si="5"/>
        <v>20</v>
      </c>
      <c r="F58" s="35">
        <f t="shared" si="2"/>
        <v>0</v>
      </c>
      <c r="V58" s="38">
        <f>R58*(1+S58)*原始运算表格!$P$2*原始运算表格!$Q$2</f>
        <v>0</v>
      </c>
      <c r="W58" s="38">
        <f>T58*(1+U58)*原始运算表格!$R$2*原始运算表格!$S$2</f>
        <v>0</v>
      </c>
      <c r="X58" s="38">
        <f t="shared" si="7"/>
        <v>0</v>
      </c>
      <c r="Y58" s="38">
        <f t="shared" si="8"/>
        <v>0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20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20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20</v>
      </c>
      <c r="F61" s="35">
        <f t="shared" si="2"/>
        <v>0</v>
      </c>
      <c r="V61" s="38">
        <f>R61*(1+S61)*原始运算表格!$P$2*原始运算表格!$Q$2</f>
        <v>0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0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0</v>
      </c>
      <c r="D62" s="35">
        <v>0</v>
      </c>
      <c r="E62" s="35">
        <f t="shared" si="5"/>
        <v>20</v>
      </c>
      <c r="F62" s="35">
        <f t="shared" si="2"/>
        <v>0</v>
      </c>
      <c r="I62" s="42"/>
      <c r="J62" s="42"/>
      <c r="K62" s="42"/>
      <c r="L62" s="42"/>
      <c r="M62" s="42"/>
      <c r="P62" s="42"/>
      <c r="V62" s="38">
        <f>R62*(1+S62)*原始运算表格!$P$2*原始运算表格!$Q$2</f>
        <v>0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0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20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20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20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20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20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20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20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20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20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20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20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20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20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20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20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20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20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Z79"/>
  <sheetViews>
    <sheetView zoomScale="55" zoomScaleNormal="55" workbookViewId="0">
      <pane ySplit="6" topLeftCell="A61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25</v>
      </c>
    </row>
    <row r="5" spans="1:26" s="39" customFormat="1">
      <c r="A5" s="39" t="s">
        <v>22</v>
      </c>
      <c r="B5" s="40"/>
      <c r="C5" s="39">
        <f>SUM(C12:C105)</f>
        <v>16</v>
      </c>
      <c r="D5" s="39">
        <f>SUM(D12:D105)</f>
        <v>13</v>
      </c>
      <c r="G5" s="39">
        <f>SUM(G12:G105)</f>
        <v>4</v>
      </c>
      <c r="H5" s="39">
        <f t="shared" ref="H5:Z5" si="0">SUM(H12:H105)</f>
        <v>1</v>
      </c>
      <c r="I5" s="39">
        <f t="shared" si="0"/>
        <v>0</v>
      </c>
      <c r="J5" s="39">
        <f t="shared" si="0"/>
        <v>0</v>
      </c>
      <c r="K5" s="39">
        <f t="shared" si="0"/>
        <v>0</v>
      </c>
      <c r="L5" s="39">
        <f t="shared" si="0"/>
        <v>0</v>
      </c>
      <c r="M5" s="39">
        <f t="shared" si="0"/>
        <v>0</v>
      </c>
      <c r="N5" s="39">
        <f t="shared" si="0"/>
        <v>12</v>
      </c>
      <c r="O5" s="39">
        <f t="shared" si="0"/>
        <v>6</v>
      </c>
      <c r="P5" s="39">
        <f t="shared" si="0"/>
        <v>3</v>
      </c>
      <c r="Q5" s="39">
        <f t="shared" si="0"/>
        <v>3</v>
      </c>
      <c r="R5" s="39">
        <f t="shared" si="0"/>
        <v>442</v>
      </c>
      <c r="S5" s="39">
        <f t="shared" si="0"/>
        <v>226.8</v>
      </c>
      <c r="T5" s="39">
        <f t="shared" si="0"/>
        <v>368.2</v>
      </c>
      <c r="U5" s="39">
        <f t="shared" si="0"/>
        <v>51</v>
      </c>
      <c r="V5" s="41">
        <f t="shared" si="0"/>
        <v>6880.8600000000006</v>
      </c>
      <c r="W5" s="41">
        <f t="shared" si="0"/>
        <v>9271.25</v>
      </c>
      <c r="X5" s="41">
        <f t="shared" si="0"/>
        <v>122589.95999999999</v>
      </c>
      <c r="Y5" s="41">
        <f t="shared" si="0"/>
        <v>138742.07</v>
      </c>
      <c r="Z5" s="41">
        <f t="shared" si="0"/>
        <v>88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0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0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0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0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0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0</v>
      </c>
      <c r="D45" s="35">
        <v>0</v>
      </c>
      <c r="E45" s="35">
        <f t="shared" si="5"/>
        <v>0</v>
      </c>
      <c r="F45" s="35">
        <f t="shared" si="2"/>
        <v>0</v>
      </c>
      <c r="V45" s="38">
        <f>R45*(1+S45)*原始运算表格!$P$2*原始运算表格!$Q$2</f>
        <v>0</v>
      </c>
      <c r="W45" s="38">
        <f>T45*(1+U45)*原始运算表格!$R$2*原始运算表格!$S$2</f>
        <v>0</v>
      </c>
      <c r="X45" s="38">
        <f>Y45-W45-V45</f>
        <v>0</v>
      </c>
      <c r="Y45" s="38">
        <f>(V45+W45)*(1+Z45)</f>
        <v>0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0</v>
      </c>
      <c r="D46" s="35">
        <v>0</v>
      </c>
      <c r="E46" s="35">
        <f t="shared" si="5"/>
        <v>0</v>
      </c>
      <c r="F46" s="35">
        <f t="shared" si="2"/>
        <v>0</v>
      </c>
      <c r="V46" s="38">
        <f>R46*(1+S46)*原始运算表格!$P$2*原始运算表格!$Q$2</f>
        <v>0</v>
      </c>
      <c r="W46" s="38">
        <f>T46*(1+U46)*原始运算表格!$R$2*原始运算表格!$S$2</f>
        <v>0</v>
      </c>
      <c r="X46" s="38">
        <f t="shared" ref="X46:X79" si="7">Y46-W46-V46</f>
        <v>0</v>
      </c>
      <c r="Y46" s="38">
        <f t="shared" ref="Y46:Y79" si="8">(V46+W46)*(1+Z46)</f>
        <v>0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0</v>
      </c>
      <c r="D47" s="35">
        <v>0</v>
      </c>
      <c r="E47" s="35">
        <f t="shared" si="5"/>
        <v>0</v>
      </c>
      <c r="F47" s="35">
        <f t="shared" si="2"/>
        <v>0</v>
      </c>
      <c r="V47" s="38">
        <f>R47*(1+S47)*原始运算表格!$P$2*原始运算表格!$Q$2</f>
        <v>0</v>
      </c>
      <c r="W47" s="38">
        <f>T47*(1+U47)*原始运算表格!$R$2*原始运算表格!$S$2</f>
        <v>0</v>
      </c>
      <c r="X47" s="38">
        <f t="shared" si="7"/>
        <v>0</v>
      </c>
      <c r="Y47" s="38">
        <f t="shared" si="8"/>
        <v>0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35">
        <v>1987</v>
      </c>
      <c r="B48" s="35">
        <f t="shared" si="6"/>
        <v>1988</v>
      </c>
      <c r="C48" s="35">
        <v>0</v>
      </c>
      <c r="D48" s="35">
        <v>0</v>
      </c>
      <c r="E48" s="35">
        <f t="shared" si="5"/>
        <v>0</v>
      </c>
      <c r="F48" s="35">
        <f t="shared" si="2"/>
        <v>0</v>
      </c>
      <c r="V48" s="38">
        <f>R48*(1+S48)*原始运算表格!$P$2*原始运算表格!$Q$2</f>
        <v>0</v>
      </c>
      <c r="W48" s="38">
        <f>T48*(1+U48)*原始运算表格!$R$2*原始运算表格!$S$2</f>
        <v>0</v>
      </c>
      <c r="X48" s="38">
        <f t="shared" si="7"/>
        <v>0</v>
      </c>
      <c r="Y48" s="38">
        <f t="shared" si="8"/>
        <v>0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35">
        <v>1988</v>
      </c>
      <c r="B49" s="35">
        <f t="shared" si="6"/>
        <v>1989</v>
      </c>
      <c r="C49" s="35">
        <v>0</v>
      </c>
      <c r="D49" s="35">
        <v>0</v>
      </c>
      <c r="E49" s="35">
        <f t="shared" si="5"/>
        <v>0</v>
      </c>
      <c r="F49" s="35">
        <f t="shared" si="2"/>
        <v>0</v>
      </c>
      <c r="V49" s="38">
        <f>R49*(1+S49)*原始运算表格!$P$2*原始运算表格!$Q$2</f>
        <v>0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0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0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0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0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0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0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0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0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0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0</v>
      </c>
      <c r="D58" s="35">
        <v>0</v>
      </c>
      <c r="E58" s="35">
        <f t="shared" si="5"/>
        <v>0</v>
      </c>
      <c r="F58" s="35">
        <f t="shared" si="2"/>
        <v>0</v>
      </c>
      <c r="V58" s="38">
        <f>R58*(1+S58)*原始运算表格!$P$2*原始运算表格!$Q$2</f>
        <v>0</v>
      </c>
      <c r="W58" s="38">
        <f>T58*(1+U58)*原始运算表格!$R$2*原始运算表格!$S$2</f>
        <v>0</v>
      </c>
      <c r="X58" s="38">
        <f t="shared" si="7"/>
        <v>0</v>
      </c>
      <c r="Y58" s="38">
        <f t="shared" si="8"/>
        <v>0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0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0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0</v>
      </c>
      <c r="F61" s="35">
        <f t="shared" si="2"/>
        <v>0</v>
      </c>
      <c r="V61" s="38">
        <f>R61*(1+S61)*原始运算表格!$P$2*原始运算表格!$Q$2</f>
        <v>0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0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0</v>
      </c>
      <c r="D62" s="35">
        <v>0</v>
      </c>
      <c r="E62" s="35">
        <f t="shared" si="5"/>
        <v>0</v>
      </c>
      <c r="F62" s="35">
        <f t="shared" si="2"/>
        <v>0</v>
      </c>
      <c r="I62" s="42"/>
      <c r="J62" s="42"/>
      <c r="K62" s="42"/>
      <c r="L62" s="42"/>
      <c r="M62" s="42"/>
      <c r="P62" s="42"/>
      <c r="V62" s="38">
        <f>R62*(1+S62)*原始运算表格!$P$2*原始运算表格!$Q$2</f>
        <v>0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0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0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1</v>
      </c>
      <c r="D64" s="35">
        <v>0</v>
      </c>
      <c r="E64" s="35">
        <f t="shared" si="5"/>
        <v>1</v>
      </c>
      <c r="F64" s="35">
        <f t="shared" si="2"/>
        <v>1</v>
      </c>
      <c r="R64" s="35">
        <v>18.3</v>
      </c>
      <c r="S64" s="35">
        <v>5.0999999999999996</v>
      </c>
      <c r="V64" s="38">
        <f>R64*(1+S64)*原始运算表格!$P$2*原始运算表格!$Q$2</f>
        <v>111.63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111.63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1</v>
      </c>
      <c r="D65" s="35">
        <v>0</v>
      </c>
      <c r="E65" s="35">
        <f t="shared" si="5"/>
        <v>2</v>
      </c>
      <c r="F65" s="35">
        <f t="shared" si="2"/>
        <v>2</v>
      </c>
      <c r="R65" s="35">
        <v>25.7</v>
      </c>
      <c r="S65" s="35">
        <v>14.3</v>
      </c>
      <c r="V65" s="38">
        <f>R65*(1+S65)*原始运算表格!$P$2*原始运算表格!$Q$2</f>
        <v>393.21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393.21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1</v>
      </c>
      <c r="D66" s="35">
        <v>1</v>
      </c>
      <c r="E66" s="35">
        <f t="shared" si="5"/>
        <v>3</v>
      </c>
      <c r="F66" s="35">
        <f t="shared" si="2"/>
        <v>3</v>
      </c>
      <c r="N66" s="35">
        <v>1</v>
      </c>
      <c r="R66" s="35">
        <v>28.1</v>
      </c>
      <c r="S66" s="35">
        <v>16.3</v>
      </c>
      <c r="T66" s="35">
        <v>23.2</v>
      </c>
      <c r="U66" s="35">
        <v>1.7</v>
      </c>
      <c r="V66" s="38">
        <f>R66*(1+S66)*原始运算表格!$P$2*原始运算表格!$Q$2</f>
        <v>486.13000000000005</v>
      </c>
      <c r="W66" s="38">
        <f>T66*(1+U66)*原始运算表格!$R$2*原始运算表格!$S$2</f>
        <v>313.2</v>
      </c>
      <c r="X66" s="38">
        <f t="shared" si="7"/>
        <v>799.32999999999993</v>
      </c>
      <c r="Y66" s="38">
        <f t="shared" si="8"/>
        <v>1598.66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1</v>
      </c>
    </row>
    <row r="67" spans="1:26">
      <c r="A67" s="35">
        <v>2006</v>
      </c>
      <c r="B67" s="35">
        <f t="shared" si="6"/>
        <v>2007</v>
      </c>
      <c r="C67" s="35">
        <v>1</v>
      </c>
      <c r="D67" s="35">
        <v>1</v>
      </c>
      <c r="E67" s="35">
        <f t="shared" si="5"/>
        <v>4</v>
      </c>
      <c r="F67" s="35">
        <f t="shared" si="2"/>
        <v>4</v>
      </c>
      <c r="R67" s="35">
        <v>24.5</v>
      </c>
      <c r="S67" s="35">
        <v>13.7</v>
      </c>
      <c r="T67" s="35">
        <v>23.9</v>
      </c>
      <c r="U67" s="35">
        <v>3.7</v>
      </c>
      <c r="V67" s="38">
        <f>R67*(1+S67)*原始运算表格!$P$2*原始运算表格!$Q$2</f>
        <v>360.15</v>
      </c>
      <c r="W67" s="38">
        <f>T67*(1+U67)*原始运算表格!$R$2*原始运算表格!$S$2</f>
        <v>561.65</v>
      </c>
      <c r="X67" s="38">
        <f t="shared" si="7"/>
        <v>0</v>
      </c>
      <c r="Y67" s="38">
        <f t="shared" si="8"/>
        <v>921.8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1</v>
      </c>
      <c r="D68" s="35">
        <v>1</v>
      </c>
      <c r="E68" s="35">
        <f t="shared" si="5"/>
        <v>5</v>
      </c>
      <c r="F68" s="35">
        <f t="shared" si="2"/>
        <v>5</v>
      </c>
      <c r="H68" s="35">
        <v>1</v>
      </c>
      <c r="N68" s="35">
        <v>1</v>
      </c>
      <c r="R68" s="35">
        <v>29.1</v>
      </c>
      <c r="S68" s="35">
        <v>15.2</v>
      </c>
      <c r="T68" s="35">
        <v>24.3</v>
      </c>
      <c r="U68" s="35">
        <v>2.2000000000000002</v>
      </c>
      <c r="V68" s="38">
        <f>R68*(1+S68)*原始运算表格!$P$2*原始运算表格!$Q$2</f>
        <v>471.42</v>
      </c>
      <c r="W68" s="38">
        <f>T68*(1+U68)*原始运算表格!$R$2*原始运算表格!$S$2</f>
        <v>388.8</v>
      </c>
      <c r="X68" s="38">
        <f t="shared" si="7"/>
        <v>2580.66</v>
      </c>
      <c r="Y68" s="38">
        <f t="shared" si="8"/>
        <v>3440.88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3</v>
      </c>
    </row>
    <row r="69" spans="1:26">
      <c r="A69" s="35">
        <v>2008</v>
      </c>
      <c r="B69" s="35">
        <f t="shared" si="6"/>
        <v>2009</v>
      </c>
      <c r="C69" s="35">
        <v>1</v>
      </c>
      <c r="D69" s="35">
        <v>1</v>
      </c>
      <c r="E69" s="35">
        <f t="shared" si="5"/>
        <v>6</v>
      </c>
      <c r="F69" s="35">
        <f t="shared" si="2"/>
        <v>6</v>
      </c>
      <c r="G69" s="35">
        <v>1</v>
      </c>
      <c r="N69" s="35">
        <v>1</v>
      </c>
      <c r="O69" s="35">
        <v>1</v>
      </c>
      <c r="R69" s="35">
        <v>31.7</v>
      </c>
      <c r="S69" s="35">
        <v>20.3</v>
      </c>
      <c r="T69" s="35">
        <v>37.4</v>
      </c>
      <c r="U69" s="35">
        <v>4.8</v>
      </c>
      <c r="V69" s="38">
        <f>R69*(1+S69)*原始运算表格!$P$2*原始运算表格!$Q$2</f>
        <v>675.21</v>
      </c>
      <c r="W69" s="38">
        <f>T69*(1+U69)*原始运算表格!$R$2*原始运算表格!$S$2</f>
        <v>1084.5999999999999</v>
      </c>
      <c r="X69" s="38">
        <f t="shared" si="7"/>
        <v>17598.100000000002</v>
      </c>
      <c r="Y69" s="38">
        <f t="shared" si="8"/>
        <v>19357.91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10</v>
      </c>
    </row>
    <row r="70" spans="1:26">
      <c r="A70" s="35">
        <v>2009</v>
      </c>
      <c r="B70" s="35">
        <f t="shared" si="6"/>
        <v>2010</v>
      </c>
      <c r="C70" s="35">
        <v>1</v>
      </c>
      <c r="D70" s="35">
        <v>1</v>
      </c>
      <c r="E70" s="35">
        <f t="shared" si="5"/>
        <v>7</v>
      </c>
      <c r="F70" s="35">
        <f t="shared" si="2"/>
        <v>7</v>
      </c>
      <c r="G70" s="35">
        <v>1</v>
      </c>
      <c r="N70" s="35">
        <v>1</v>
      </c>
      <c r="O70" s="35">
        <v>1</v>
      </c>
      <c r="R70" s="35">
        <v>31.1</v>
      </c>
      <c r="S70" s="35">
        <v>18.5</v>
      </c>
      <c r="T70" s="35">
        <v>28.6</v>
      </c>
      <c r="U70" s="35">
        <v>2.2999999999999998</v>
      </c>
      <c r="V70" s="38">
        <f>R70*(1+S70)*原始运算表格!$P$2*原始运算表格!$Q$2</f>
        <v>606.45000000000005</v>
      </c>
      <c r="W70" s="38">
        <f>T70*(1+U70)*原始运算表格!$R$2*原始运算表格!$S$2</f>
        <v>471.9</v>
      </c>
      <c r="X70" s="38">
        <f t="shared" si="7"/>
        <v>10783.499999999998</v>
      </c>
      <c r="Y70" s="38">
        <f t="shared" si="8"/>
        <v>11861.849999999999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10</v>
      </c>
    </row>
    <row r="71" spans="1:26">
      <c r="A71" s="35">
        <v>2010</v>
      </c>
      <c r="B71" s="35">
        <f t="shared" si="6"/>
        <v>2011</v>
      </c>
      <c r="C71" s="35">
        <v>1</v>
      </c>
      <c r="D71" s="35">
        <v>1</v>
      </c>
      <c r="E71" s="35">
        <f t="shared" si="5"/>
        <v>8</v>
      </c>
      <c r="F71" s="35">
        <f t="shared" ref="F71:F79" si="9">C71*E71</f>
        <v>8</v>
      </c>
      <c r="N71" s="35">
        <v>1</v>
      </c>
      <c r="O71" s="35">
        <v>1</v>
      </c>
      <c r="R71" s="35">
        <v>27.3</v>
      </c>
      <c r="S71" s="35">
        <v>15.6</v>
      </c>
      <c r="T71" s="35">
        <v>23.7</v>
      </c>
      <c r="U71" s="35">
        <v>3.8</v>
      </c>
      <c r="V71" s="38">
        <f>R71*(1+S71)*原始运算表格!$P$2*原始运算表格!$Q$2</f>
        <v>453.18000000000006</v>
      </c>
      <c r="W71" s="38">
        <f>T71*(1+U71)*原始运算表格!$R$2*原始运算表格!$S$2</f>
        <v>568.79999999999995</v>
      </c>
      <c r="X71" s="38">
        <f t="shared" si="7"/>
        <v>2043.9600000000003</v>
      </c>
      <c r="Y71" s="38">
        <f t="shared" si="8"/>
        <v>3065.94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2</v>
      </c>
    </row>
    <row r="72" spans="1:26">
      <c r="A72" s="35">
        <v>2011</v>
      </c>
      <c r="B72" s="35">
        <f t="shared" si="6"/>
        <v>2012</v>
      </c>
      <c r="C72" s="35">
        <v>1</v>
      </c>
      <c r="D72" s="35">
        <v>1</v>
      </c>
      <c r="E72" s="35">
        <f t="shared" si="5"/>
        <v>9</v>
      </c>
      <c r="F72" s="35">
        <f t="shared" si="9"/>
        <v>9</v>
      </c>
      <c r="G72" s="35">
        <v>1</v>
      </c>
      <c r="N72" s="35">
        <v>1</v>
      </c>
      <c r="O72" s="35">
        <v>1</v>
      </c>
      <c r="P72" s="35">
        <v>1</v>
      </c>
      <c r="Q72" s="35">
        <v>1</v>
      </c>
      <c r="R72" s="35">
        <v>30.7</v>
      </c>
      <c r="S72" s="35">
        <v>14.5</v>
      </c>
      <c r="T72" s="35">
        <v>30.3</v>
      </c>
      <c r="U72" s="35">
        <v>5.8</v>
      </c>
      <c r="V72" s="38">
        <f>R72*(1+S72)*原始运算表格!$P$2*原始运算表格!$Q$2</f>
        <v>475.84999999999997</v>
      </c>
      <c r="W72" s="38">
        <f>T72*(1+U72)*原始运算表格!$R$2*原始运算表格!$S$2</f>
        <v>1030.2</v>
      </c>
      <c r="X72" s="38">
        <f t="shared" si="7"/>
        <v>33133.100000000006</v>
      </c>
      <c r="Y72" s="38">
        <f t="shared" si="8"/>
        <v>34639.15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22</v>
      </c>
    </row>
    <row r="73" spans="1:26">
      <c r="A73" s="35">
        <v>2012</v>
      </c>
      <c r="B73" s="35">
        <f t="shared" si="6"/>
        <v>2013</v>
      </c>
      <c r="C73" s="35">
        <v>1</v>
      </c>
      <c r="D73" s="35">
        <v>1</v>
      </c>
      <c r="E73" s="35">
        <f t="shared" ref="E73:E79" si="10">E72+C73</f>
        <v>10</v>
      </c>
      <c r="F73" s="35">
        <f t="shared" si="9"/>
        <v>10</v>
      </c>
      <c r="G73" s="35">
        <v>1</v>
      </c>
      <c r="N73" s="35">
        <v>1</v>
      </c>
      <c r="O73" s="35">
        <v>1</v>
      </c>
      <c r="P73" s="35">
        <v>1</v>
      </c>
      <c r="Q73" s="35">
        <v>1</v>
      </c>
      <c r="R73" s="35">
        <v>31.6</v>
      </c>
      <c r="S73" s="35">
        <v>19.3</v>
      </c>
      <c r="T73" s="35">
        <v>28.1</v>
      </c>
      <c r="U73" s="35">
        <v>5.2</v>
      </c>
      <c r="V73" s="38">
        <f>R73*(1+S73)*原始运算表格!$P$2*原始运算表格!$Q$2</f>
        <v>641.48</v>
      </c>
      <c r="W73" s="38">
        <f>T73*(1+U73)*原始运算表格!$R$2*原始运算表格!$S$2</f>
        <v>871.10000000000014</v>
      </c>
      <c r="X73" s="38">
        <f t="shared" si="7"/>
        <v>33276.76</v>
      </c>
      <c r="Y73" s="38">
        <f t="shared" si="8"/>
        <v>34789.340000000004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22</v>
      </c>
    </row>
    <row r="74" spans="1:26">
      <c r="A74" s="35">
        <v>2013</v>
      </c>
      <c r="B74" s="35">
        <f t="shared" si="6"/>
        <v>2014</v>
      </c>
      <c r="C74" s="35">
        <v>1</v>
      </c>
      <c r="D74" s="35">
        <v>1</v>
      </c>
      <c r="E74" s="35">
        <f t="shared" si="10"/>
        <v>11</v>
      </c>
      <c r="F74" s="35">
        <f t="shared" si="9"/>
        <v>11</v>
      </c>
      <c r="N74" s="35">
        <v>1</v>
      </c>
      <c r="O74" s="35">
        <v>1</v>
      </c>
      <c r="R74" s="35">
        <v>29.3</v>
      </c>
      <c r="S74" s="35">
        <v>15.9</v>
      </c>
      <c r="T74" s="35">
        <v>31.1</v>
      </c>
      <c r="U74" s="35">
        <v>4.3</v>
      </c>
      <c r="V74" s="38">
        <f>R74*(1+S74)*原始运算表格!$P$2*原始运算表格!$Q$2</f>
        <v>495.16999999999996</v>
      </c>
      <c r="W74" s="38">
        <f>T74*(1+U74)*原始运算表格!$R$2*原始运算表格!$S$2</f>
        <v>824.15000000000009</v>
      </c>
      <c r="X74" s="38">
        <f t="shared" si="7"/>
        <v>2638.6400000000003</v>
      </c>
      <c r="Y74" s="38">
        <f t="shared" si="8"/>
        <v>3957.9600000000005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2</v>
      </c>
    </row>
    <row r="75" spans="1:26">
      <c r="A75" s="35">
        <v>2014</v>
      </c>
      <c r="B75" s="35">
        <f t="shared" si="6"/>
        <v>2015</v>
      </c>
      <c r="C75" s="35">
        <v>1</v>
      </c>
      <c r="D75" s="35">
        <v>1</v>
      </c>
      <c r="E75" s="35">
        <f t="shared" si="10"/>
        <v>12</v>
      </c>
      <c r="F75" s="35">
        <f t="shared" si="9"/>
        <v>12</v>
      </c>
      <c r="N75" s="35">
        <v>1</v>
      </c>
      <c r="R75" s="35">
        <v>25.9</v>
      </c>
      <c r="S75" s="35">
        <v>10.4</v>
      </c>
      <c r="T75" s="35">
        <v>25.3</v>
      </c>
      <c r="U75" s="35">
        <v>3</v>
      </c>
      <c r="V75" s="38">
        <f>R75*(1+S75)*原始运算表格!$P$2*原始运算表格!$Q$2</f>
        <v>295.26</v>
      </c>
      <c r="W75" s="38">
        <f>T75*(1+U75)*原始运算表格!$R$2*原始运算表格!$S$2</f>
        <v>506</v>
      </c>
      <c r="X75" s="38">
        <f t="shared" si="7"/>
        <v>801.26</v>
      </c>
      <c r="Y75" s="38">
        <f t="shared" si="8"/>
        <v>1602.52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1</v>
      </c>
    </row>
    <row r="76" spans="1:26">
      <c r="A76" s="35">
        <v>2015</v>
      </c>
      <c r="B76" s="35">
        <f t="shared" si="6"/>
        <v>2016</v>
      </c>
      <c r="C76" s="35">
        <v>1</v>
      </c>
      <c r="D76" s="35">
        <v>1</v>
      </c>
      <c r="E76" s="35">
        <f t="shared" si="10"/>
        <v>13</v>
      </c>
      <c r="F76" s="35">
        <f t="shared" si="9"/>
        <v>13</v>
      </c>
      <c r="N76" s="35">
        <v>1</v>
      </c>
      <c r="P76" s="35">
        <v>1</v>
      </c>
      <c r="Q76" s="35">
        <v>1</v>
      </c>
      <c r="R76" s="35">
        <v>27.5</v>
      </c>
      <c r="S76" s="35">
        <v>13.6</v>
      </c>
      <c r="T76" s="35">
        <v>30</v>
      </c>
      <c r="U76" s="35">
        <v>4.7</v>
      </c>
      <c r="V76" s="38">
        <f>R76*(1+S76)*原始运算表格!$P$2*原始运算表格!$Q$2</f>
        <v>401.5</v>
      </c>
      <c r="W76" s="38">
        <f>T76*(1+U76)*原始运算表格!$R$2*原始运算表格!$S$2</f>
        <v>855</v>
      </c>
      <c r="X76" s="38">
        <f t="shared" si="7"/>
        <v>16334.5</v>
      </c>
      <c r="Y76" s="38">
        <f t="shared" si="8"/>
        <v>17591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13</v>
      </c>
    </row>
    <row r="77" spans="1:26">
      <c r="A77" s="35">
        <v>2016</v>
      </c>
      <c r="B77" s="35">
        <f>A77+1</f>
        <v>2017</v>
      </c>
      <c r="C77" s="35">
        <v>1</v>
      </c>
      <c r="D77" s="35">
        <v>1</v>
      </c>
      <c r="E77" s="35">
        <f t="shared" si="10"/>
        <v>14</v>
      </c>
      <c r="F77" s="35">
        <f t="shared" si="9"/>
        <v>14</v>
      </c>
      <c r="N77" s="35">
        <v>1</v>
      </c>
      <c r="R77" s="35">
        <v>27</v>
      </c>
      <c r="S77" s="35">
        <v>12.9</v>
      </c>
      <c r="T77" s="35">
        <v>30.1</v>
      </c>
      <c r="U77" s="35">
        <v>4.3</v>
      </c>
      <c r="V77" s="38">
        <f>R77*(1+S77)*原始运算表格!$P$2*原始运算表格!$Q$2</f>
        <v>375.3</v>
      </c>
      <c r="W77" s="38">
        <f>T77*(1+U77)*原始运算表格!$R$2*原始运算表格!$S$2</f>
        <v>797.65</v>
      </c>
      <c r="X77" s="38">
        <f t="shared" si="7"/>
        <v>1172.95</v>
      </c>
      <c r="Y77" s="38">
        <f t="shared" si="8"/>
        <v>2345.9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1</v>
      </c>
    </row>
    <row r="78" spans="1:26">
      <c r="A78" s="35">
        <v>2017</v>
      </c>
      <c r="B78" s="35">
        <f>A78+1</f>
        <v>2018</v>
      </c>
      <c r="C78" s="35">
        <v>1</v>
      </c>
      <c r="D78" s="35">
        <v>1</v>
      </c>
      <c r="E78" s="35">
        <f t="shared" si="10"/>
        <v>15</v>
      </c>
      <c r="F78" s="35">
        <f t="shared" si="9"/>
        <v>15</v>
      </c>
      <c r="N78" s="35">
        <v>1</v>
      </c>
      <c r="R78" s="35">
        <v>28.6</v>
      </c>
      <c r="S78" s="35">
        <v>14</v>
      </c>
      <c r="T78" s="35">
        <v>32.200000000000003</v>
      </c>
      <c r="U78" s="35">
        <v>5.2</v>
      </c>
      <c r="V78" s="38">
        <f>R78*(1+S78)*原始运算表格!$P$2*原始运算表格!$Q$2</f>
        <v>429</v>
      </c>
      <c r="W78" s="38">
        <f>T78*(1+U78)*原始运算表格!$R$2*原始运算表格!$S$2</f>
        <v>998.2</v>
      </c>
      <c r="X78" s="38">
        <f t="shared" si="7"/>
        <v>1427.2</v>
      </c>
      <c r="Y78" s="38">
        <f t="shared" si="8"/>
        <v>2854.4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1</v>
      </c>
    </row>
    <row r="79" spans="1:26">
      <c r="A79" s="35">
        <v>2018</v>
      </c>
      <c r="B79" s="35">
        <f>A79+1</f>
        <v>2019</v>
      </c>
      <c r="C79" s="35">
        <v>1</v>
      </c>
      <c r="D79" s="35">
        <v>0</v>
      </c>
      <c r="E79" s="35">
        <f t="shared" si="10"/>
        <v>16</v>
      </c>
      <c r="F79" s="35">
        <f t="shared" si="9"/>
        <v>16</v>
      </c>
      <c r="R79" s="35">
        <v>25.6</v>
      </c>
      <c r="S79" s="35">
        <v>7.2</v>
      </c>
      <c r="V79" s="38">
        <f>R79*(1+S79)*原始运算表格!$P$2*原始运算表格!$Q$2</f>
        <v>209.92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209.92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Z79"/>
  <sheetViews>
    <sheetView zoomScale="55" zoomScaleNormal="55" workbookViewId="0">
      <selection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26</v>
      </c>
    </row>
    <row r="5" spans="1:26" s="39" customFormat="1">
      <c r="A5" s="39" t="s">
        <v>22</v>
      </c>
      <c r="B5" s="40"/>
      <c r="C5" s="39">
        <f>SUM(C12:C105)</f>
        <v>14</v>
      </c>
      <c r="D5" s="39">
        <f>SUM(D12:D105)</f>
        <v>13</v>
      </c>
      <c r="G5" s="39">
        <f>SUM(G12:G105)</f>
        <v>4</v>
      </c>
      <c r="H5" s="39">
        <f t="shared" ref="H5:Z5" si="0">SUM(H12:H105)</f>
        <v>7</v>
      </c>
      <c r="I5" s="39">
        <f t="shared" si="0"/>
        <v>0</v>
      </c>
      <c r="J5" s="39">
        <f t="shared" si="0"/>
        <v>11</v>
      </c>
      <c r="K5" s="39">
        <f t="shared" si="0"/>
        <v>1</v>
      </c>
      <c r="L5" s="39">
        <f t="shared" si="0"/>
        <v>0</v>
      </c>
      <c r="M5" s="39">
        <f t="shared" si="0"/>
        <v>0</v>
      </c>
      <c r="N5" s="39">
        <f t="shared" si="0"/>
        <v>7</v>
      </c>
      <c r="O5" s="39">
        <f t="shared" si="0"/>
        <v>2</v>
      </c>
      <c r="P5" s="39">
        <f t="shared" si="0"/>
        <v>2</v>
      </c>
      <c r="Q5" s="39">
        <f t="shared" si="0"/>
        <v>1</v>
      </c>
      <c r="R5" s="39">
        <f t="shared" si="0"/>
        <v>363.6</v>
      </c>
      <c r="S5" s="39">
        <f t="shared" si="0"/>
        <v>247.2</v>
      </c>
      <c r="T5" s="39">
        <f t="shared" si="0"/>
        <v>308.00000000000006</v>
      </c>
      <c r="U5" s="39">
        <f t="shared" si="0"/>
        <v>31.6</v>
      </c>
      <c r="V5" s="41">
        <f t="shared" si="0"/>
        <v>6945.51</v>
      </c>
      <c r="W5" s="41">
        <f t="shared" si="0"/>
        <v>5311.4499999999989</v>
      </c>
      <c r="X5" s="41">
        <f t="shared" si="0"/>
        <v>88347.48000000001</v>
      </c>
      <c r="Y5" s="41">
        <f t="shared" si="0"/>
        <v>100604.44</v>
      </c>
      <c r="Z5" s="41">
        <f t="shared" si="0"/>
        <v>95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1</v>
      </c>
      <c r="D20" s="35">
        <v>1</v>
      </c>
      <c r="E20" s="35">
        <f t="shared" si="5"/>
        <v>1</v>
      </c>
      <c r="F20" s="35">
        <f t="shared" si="2"/>
        <v>1</v>
      </c>
      <c r="G20" s="35">
        <v>1</v>
      </c>
      <c r="H20" s="35">
        <v>1</v>
      </c>
      <c r="J20" s="35">
        <v>1</v>
      </c>
      <c r="N20" s="35">
        <v>1</v>
      </c>
      <c r="R20" s="35">
        <v>28</v>
      </c>
      <c r="S20" s="35">
        <v>17</v>
      </c>
      <c r="T20" s="35">
        <v>27</v>
      </c>
      <c r="U20" s="35">
        <v>2.1</v>
      </c>
      <c r="V20" s="38">
        <f>R20*(1+S20)*原始运算表格!$P$2*原始运算表格!$Q$2</f>
        <v>504</v>
      </c>
      <c r="W20" s="38">
        <f>T20*(1+U20)*原始运算表格!$R$2*原始运算表格!$S$2</f>
        <v>418.5</v>
      </c>
      <c r="X20" s="38">
        <f t="shared" si="3"/>
        <v>11992.5</v>
      </c>
      <c r="Y20" s="38">
        <f t="shared" si="4"/>
        <v>12915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13</v>
      </c>
    </row>
    <row r="21" spans="1:26">
      <c r="A21" s="35">
        <v>1960</v>
      </c>
      <c r="B21" s="35">
        <f t="shared" si="6"/>
        <v>1961</v>
      </c>
      <c r="C21" s="35">
        <v>1</v>
      </c>
      <c r="D21" s="35">
        <v>1</v>
      </c>
      <c r="E21" s="35">
        <f t="shared" si="5"/>
        <v>2</v>
      </c>
      <c r="F21" s="35">
        <f t="shared" si="2"/>
        <v>2</v>
      </c>
      <c r="H21" s="35">
        <v>1</v>
      </c>
      <c r="J21" s="35">
        <v>1</v>
      </c>
      <c r="N21" s="35">
        <v>1</v>
      </c>
      <c r="R21" s="35">
        <v>27.8</v>
      </c>
      <c r="S21" s="35">
        <v>18.8</v>
      </c>
      <c r="T21" s="35">
        <v>26.7</v>
      </c>
      <c r="U21" s="35">
        <v>0.7</v>
      </c>
      <c r="V21" s="38">
        <f>R21*(1+S21)*原始运算表格!$P$2*原始运算表格!$Q$2</f>
        <v>550.44000000000005</v>
      </c>
      <c r="W21" s="38">
        <f>T21*(1+U21)*原始运算表格!$R$2*原始运算表格!$S$2</f>
        <v>226.95</v>
      </c>
      <c r="X21" s="38">
        <f t="shared" si="3"/>
        <v>3886.9500000000003</v>
      </c>
      <c r="Y21" s="38">
        <f t="shared" si="4"/>
        <v>4664.34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5</v>
      </c>
    </row>
    <row r="22" spans="1:26">
      <c r="A22" s="35">
        <v>1961</v>
      </c>
      <c r="B22" s="35">
        <f t="shared" si="6"/>
        <v>1962</v>
      </c>
      <c r="C22" s="35">
        <v>1</v>
      </c>
      <c r="D22" s="35">
        <v>1</v>
      </c>
      <c r="E22" s="35">
        <f t="shared" si="5"/>
        <v>3</v>
      </c>
      <c r="F22" s="35">
        <f t="shared" si="2"/>
        <v>3</v>
      </c>
      <c r="H22" s="35">
        <v>1</v>
      </c>
      <c r="J22" s="35">
        <v>1</v>
      </c>
      <c r="N22" s="35">
        <v>1</v>
      </c>
      <c r="R22" s="35">
        <v>31.7</v>
      </c>
      <c r="S22" s="35">
        <v>23.1</v>
      </c>
      <c r="T22" s="35">
        <v>29.7</v>
      </c>
      <c r="U22" s="35">
        <v>3.1</v>
      </c>
      <c r="V22" s="38">
        <f>R22*(1+S22)*原始运算表格!$P$2*原始运算表格!$Q$2</f>
        <v>763.97</v>
      </c>
      <c r="W22" s="38">
        <f>T22*(1+U22)*原始运算表格!$R$2*原始运算表格!$S$2</f>
        <v>608.84999999999991</v>
      </c>
      <c r="X22" s="38">
        <f t="shared" si="3"/>
        <v>6864.0999999999995</v>
      </c>
      <c r="Y22" s="38">
        <f t="shared" si="4"/>
        <v>8236.92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5</v>
      </c>
    </row>
    <row r="23" spans="1:26">
      <c r="A23" s="35">
        <v>1962</v>
      </c>
      <c r="B23" s="35">
        <f t="shared" si="6"/>
        <v>1963</v>
      </c>
      <c r="C23" s="35">
        <v>1</v>
      </c>
      <c r="D23" s="35">
        <v>0</v>
      </c>
      <c r="E23" s="35">
        <f t="shared" si="5"/>
        <v>4</v>
      </c>
      <c r="F23" s="35">
        <f t="shared" si="2"/>
        <v>4</v>
      </c>
      <c r="H23" s="35">
        <v>1</v>
      </c>
      <c r="J23" s="35">
        <v>1</v>
      </c>
      <c r="R23" s="35">
        <v>31.8</v>
      </c>
      <c r="S23" s="35">
        <v>20.9</v>
      </c>
      <c r="V23" s="38">
        <f>R23*(1+S23)*原始运算表格!$P$2*原始运算表格!$Q$2</f>
        <v>696.42</v>
      </c>
      <c r="W23" s="38">
        <f>T23*(1+U23)*原始运算表格!$R$2*原始运算表格!$S$2</f>
        <v>0</v>
      </c>
      <c r="X23" s="38">
        <f t="shared" si="3"/>
        <v>2785.68</v>
      </c>
      <c r="Y23" s="38">
        <f t="shared" si="4"/>
        <v>3482.1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4</v>
      </c>
    </row>
    <row r="24" spans="1:26">
      <c r="A24" s="35">
        <v>1963</v>
      </c>
      <c r="B24" s="35">
        <f t="shared" si="6"/>
        <v>1964</v>
      </c>
      <c r="C24" s="35">
        <v>1</v>
      </c>
      <c r="D24" s="35">
        <v>1</v>
      </c>
      <c r="E24" s="35">
        <f t="shared" si="5"/>
        <v>5</v>
      </c>
      <c r="F24" s="35">
        <f t="shared" si="2"/>
        <v>5</v>
      </c>
      <c r="H24" s="35">
        <v>1</v>
      </c>
      <c r="N24" s="35">
        <v>1</v>
      </c>
      <c r="R24" s="35">
        <v>31.6</v>
      </c>
      <c r="S24" s="35">
        <v>25</v>
      </c>
      <c r="T24" s="35">
        <v>31.3</v>
      </c>
      <c r="U24" s="35">
        <v>3.8</v>
      </c>
      <c r="V24" s="38">
        <f>R24*(1+S24)*原始运算表格!$P$2*原始运算表格!$Q$2</f>
        <v>821.6</v>
      </c>
      <c r="W24" s="38">
        <f>T24*(1+U24)*原始运算表格!$R$2*原始运算表格!$S$2</f>
        <v>751.2</v>
      </c>
      <c r="X24" s="38">
        <f t="shared" si="3"/>
        <v>4718.4000000000005</v>
      </c>
      <c r="Y24" s="38">
        <f t="shared" si="4"/>
        <v>6291.2000000000007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3</v>
      </c>
    </row>
    <row r="25" spans="1:26">
      <c r="A25" s="35">
        <v>1964</v>
      </c>
      <c r="B25" s="35">
        <f t="shared" si="6"/>
        <v>1965</v>
      </c>
      <c r="C25" s="35">
        <v>1</v>
      </c>
      <c r="D25" s="35">
        <v>1</v>
      </c>
      <c r="E25" s="35">
        <f t="shared" si="5"/>
        <v>6</v>
      </c>
      <c r="F25" s="35">
        <f t="shared" si="2"/>
        <v>6</v>
      </c>
      <c r="H25" s="35">
        <v>1</v>
      </c>
      <c r="R25" s="35">
        <v>28.6</v>
      </c>
      <c r="S25" s="35">
        <v>15.1</v>
      </c>
      <c r="T25" s="35">
        <v>27.1</v>
      </c>
      <c r="U25" s="35">
        <v>2.5</v>
      </c>
      <c r="V25" s="38">
        <f>R25*(1+S25)*原始运算表格!$P$2*原始运算表格!$Q$2</f>
        <v>460.46000000000004</v>
      </c>
      <c r="W25" s="38">
        <f>T25*(1+U25)*原始运算表格!$R$2*原始运算表格!$S$2</f>
        <v>474.25000000000006</v>
      </c>
      <c r="X25" s="38">
        <f t="shared" si="3"/>
        <v>1869.42</v>
      </c>
      <c r="Y25" s="38">
        <f t="shared" si="4"/>
        <v>2804.13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2</v>
      </c>
    </row>
    <row r="26" spans="1:26">
      <c r="A26" s="35">
        <v>1965</v>
      </c>
      <c r="B26" s="35">
        <f t="shared" si="6"/>
        <v>1966</v>
      </c>
      <c r="C26" s="35">
        <v>1</v>
      </c>
      <c r="D26" s="35">
        <v>1</v>
      </c>
      <c r="E26" s="35">
        <f t="shared" si="5"/>
        <v>7</v>
      </c>
      <c r="F26" s="35">
        <f t="shared" si="2"/>
        <v>7</v>
      </c>
      <c r="G26" s="35">
        <v>1</v>
      </c>
      <c r="H26" s="35">
        <v>1</v>
      </c>
      <c r="J26" s="35">
        <v>1</v>
      </c>
      <c r="N26" s="35">
        <v>1</v>
      </c>
      <c r="R26" s="35">
        <v>28.3</v>
      </c>
      <c r="S26" s="35">
        <v>21.4</v>
      </c>
      <c r="T26" s="35">
        <v>26</v>
      </c>
      <c r="U26" s="35">
        <v>1</v>
      </c>
      <c r="V26" s="38">
        <f>R26*(1+S26)*原始运算表格!$P$2*原始运算表格!$Q$2</f>
        <v>633.91999999999996</v>
      </c>
      <c r="W26" s="38">
        <f>T26*(1+U26)*原始运算表格!$R$2*原始运算表格!$S$2</f>
        <v>260</v>
      </c>
      <c r="X26" s="38">
        <f t="shared" si="3"/>
        <v>11620.96</v>
      </c>
      <c r="Y26" s="38">
        <f t="shared" si="4"/>
        <v>12514.88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13</v>
      </c>
    </row>
    <row r="27" spans="1:26">
      <c r="A27" s="35">
        <v>1966</v>
      </c>
      <c r="B27" s="35">
        <f t="shared" si="6"/>
        <v>1967</v>
      </c>
      <c r="C27" s="35">
        <v>1</v>
      </c>
      <c r="D27" s="35">
        <v>1</v>
      </c>
      <c r="E27" s="35">
        <f t="shared" si="5"/>
        <v>8</v>
      </c>
      <c r="F27" s="35">
        <f t="shared" si="2"/>
        <v>8</v>
      </c>
      <c r="G27" s="35">
        <v>1</v>
      </c>
      <c r="J27" s="35">
        <v>1</v>
      </c>
      <c r="N27" s="35">
        <v>1</v>
      </c>
      <c r="P27" s="35">
        <v>1</v>
      </c>
      <c r="R27" s="35">
        <v>26.5</v>
      </c>
      <c r="S27" s="35">
        <v>21.9</v>
      </c>
      <c r="T27" s="35">
        <v>25.3</v>
      </c>
      <c r="U27" s="35">
        <v>3.8</v>
      </c>
      <c r="V27" s="38">
        <f>R27*(1+S27)*原始运算表格!$P$2*原始运算表格!$Q$2</f>
        <v>606.84999999999991</v>
      </c>
      <c r="W27" s="38">
        <f>T27*(1+U27)*原始运算表格!$R$2*原始运算表格!$S$2</f>
        <v>607.20000000000005</v>
      </c>
      <c r="X27" s="38">
        <f t="shared" si="3"/>
        <v>18210.75</v>
      </c>
      <c r="Y27" s="38">
        <f t="shared" si="4"/>
        <v>19424.8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15</v>
      </c>
    </row>
    <row r="28" spans="1:26">
      <c r="A28" s="35">
        <v>1967</v>
      </c>
      <c r="B28" s="35">
        <f t="shared" si="6"/>
        <v>1968</v>
      </c>
      <c r="C28" s="35">
        <v>1</v>
      </c>
      <c r="D28" s="35">
        <v>1</v>
      </c>
      <c r="E28" s="35">
        <f t="shared" si="5"/>
        <v>9</v>
      </c>
      <c r="F28" s="35">
        <f t="shared" si="2"/>
        <v>9</v>
      </c>
      <c r="G28" s="35">
        <v>1</v>
      </c>
      <c r="J28" s="35">
        <v>1</v>
      </c>
      <c r="K28" s="35">
        <v>1</v>
      </c>
      <c r="N28" s="35">
        <v>1</v>
      </c>
      <c r="R28" s="35">
        <v>24.7</v>
      </c>
      <c r="S28" s="35">
        <v>20.399999999999999</v>
      </c>
      <c r="T28" s="35">
        <v>22.7</v>
      </c>
      <c r="U28" s="35">
        <v>2.5</v>
      </c>
      <c r="V28" s="38">
        <f>R28*(1+S28)*原始运算表格!$P$2*原始运算表格!$Q$2</f>
        <v>528.57999999999993</v>
      </c>
      <c r="W28" s="38">
        <f>T28*(1+U28)*原始运算表格!$R$2*原始运算表格!$S$2</f>
        <v>397.25</v>
      </c>
      <c r="X28" s="38">
        <f t="shared" si="3"/>
        <v>12035.789999999999</v>
      </c>
      <c r="Y28" s="38">
        <f t="shared" si="4"/>
        <v>12961.619999999999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13</v>
      </c>
    </row>
    <row r="29" spans="1:26">
      <c r="A29" s="35">
        <v>1968</v>
      </c>
      <c r="B29" s="35">
        <f t="shared" si="6"/>
        <v>1969</v>
      </c>
      <c r="C29" s="35">
        <v>1</v>
      </c>
      <c r="D29" s="35">
        <v>1</v>
      </c>
      <c r="E29" s="35">
        <f t="shared" si="5"/>
        <v>10</v>
      </c>
      <c r="F29" s="35">
        <f t="shared" si="2"/>
        <v>10</v>
      </c>
      <c r="J29" s="35">
        <v>1</v>
      </c>
      <c r="R29" s="35">
        <v>21.9</v>
      </c>
      <c r="S29" s="35">
        <v>14.7</v>
      </c>
      <c r="T29" s="35">
        <v>18.3</v>
      </c>
      <c r="U29" s="35">
        <v>3.1</v>
      </c>
      <c r="V29" s="38">
        <f>R29*(1+S29)*原始运算表格!$P$2*原始运算表格!$Q$2</f>
        <v>343.83</v>
      </c>
      <c r="W29" s="38">
        <f>T29*(1+U29)*原始运算表格!$R$2*原始运算表格!$S$2</f>
        <v>375.15</v>
      </c>
      <c r="X29" s="38">
        <f t="shared" si="3"/>
        <v>1437.96</v>
      </c>
      <c r="Y29" s="38">
        <f t="shared" si="4"/>
        <v>2156.94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2</v>
      </c>
    </row>
    <row r="30" spans="1:26">
      <c r="A30" s="35">
        <v>1969</v>
      </c>
      <c r="B30" s="35">
        <f t="shared" si="6"/>
        <v>1970</v>
      </c>
      <c r="C30" s="35">
        <v>1</v>
      </c>
      <c r="D30" s="35">
        <v>1</v>
      </c>
      <c r="E30" s="35">
        <f t="shared" si="5"/>
        <v>11</v>
      </c>
      <c r="F30" s="35">
        <f t="shared" si="2"/>
        <v>11</v>
      </c>
      <c r="R30" s="35">
        <v>24.8</v>
      </c>
      <c r="S30" s="35">
        <v>2.2999999999999998</v>
      </c>
      <c r="T30" s="35">
        <v>20.3</v>
      </c>
      <c r="U30" s="35">
        <v>2.5</v>
      </c>
      <c r="V30" s="38">
        <f>R30*(1+S30)*原始运算表格!$P$2*原始运算表格!$Q$2</f>
        <v>81.84</v>
      </c>
      <c r="W30" s="38">
        <f>T30*(1+U30)*原始运算表格!$R$2*原始运算表格!$S$2</f>
        <v>355.25</v>
      </c>
      <c r="X30" s="38">
        <f t="shared" si="3"/>
        <v>0</v>
      </c>
      <c r="Y30" s="38">
        <f t="shared" si="4"/>
        <v>437.09000000000003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1</v>
      </c>
      <c r="D31" s="35">
        <v>1</v>
      </c>
      <c r="E31" s="35">
        <f t="shared" si="5"/>
        <v>12</v>
      </c>
      <c r="F31" s="35">
        <f t="shared" si="2"/>
        <v>12</v>
      </c>
      <c r="J31" s="35">
        <v>1</v>
      </c>
      <c r="R31" s="35">
        <v>20.3</v>
      </c>
      <c r="S31" s="35">
        <v>12.6</v>
      </c>
      <c r="T31" s="35">
        <v>19.100000000000001</v>
      </c>
      <c r="U31" s="35">
        <v>0.8</v>
      </c>
      <c r="V31" s="38">
        <f>R31*(1+S31)*原始运算表格!$P$2*原始运算表格!$Q$2</f>
        <v>276.08</v>
      </c>
      <c r="W31" s="38">
        <f>T31*(1+U31)*原始运算表格!$R$2*原始运算表格!$S$2</f>
        <v>171.9</v>
      </c>
      <c r="X31" s="38">
        <f t="shared" si="3"/>
        <v>895.96</v>
      </c>
      <c r="Y31" s="38">
        <f t="shared" si="4"/>
        <v>1343.94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2</v>
      </c>
    </row>
    <row r="32" spans="1:26">
      <c r="A32" s="35">
        <v>1971</v>
      </c>
      <c r="B32" s="35">
        <f t="shared" si="6"/>
        <v>1972</v>
      </c>
      <c r="C32" s="35">
        <v>1</v>
      </c>
      <c r="D32" s="35">
        <v>1</v>
      </c>
      <c r="E32" s="35">
        <f t="shared" si="5"/>
        <v>13</v>
      </c>
      <c r="F32" s="35">
        <f t="shared" si="2"/>
        <v>13</v>
      </c>
      <c r="J32" s="35">
        <v>1</v>
      </c>
      <c r="O32" s="35">
        <v>1</v>
      </c>
      <c r="P32" s="35">
        <v>1</v>
      </c>
      <c r="Q32" s="35">
        <v>1</v>
      </c>
      <c r="R32" s="35">
        <v>18.5</v>
      </c>
      <c r="S32" s="35">
        <v>15.8</v>
      </c>
      <c r="T32" s="35">
        <v>17.8</v>
      </c>
      <c r="U32" s="35">
        <v>3</v>
      </c>
      <c r="V32" s="38">
        <f>R32*(1+S32)*原始运算表格!$P$2*原始运算表格!$Q$2</f>
        <v>310.8</v>
      </c>
      <c r="W32" s="38">
        <f>T32*(1+U32)*原始运算表格!$R$2*原始运算表格!$S$2</f>
        <v>356</v>
      </c>
      <c r="X32" s="38">
        <f t="shared" si="3"/>
        <v>10002</v>
      </c>
      <c r="Y32" s="38">
        <f t="shared" si="4"/>
        <v>10668.8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15</v>
      </c>
    </row>
    <row r="33" spans="1:26">
      <c r="A33" s="35">
        <v>1972</v>
      </c>
      <c r="B33" s="35">
        <f t="shared" si="6"/>
        <v>1973</v>
      </c>
      <c r="C33" s="35">
        <v>1</v>
      </c>
      <c r="D33" s="35">
        <v>1</v>
      </c>
      <c r="E33" s="35">
        <f t="shared" si="5"/>
        <v>14</v>
      </c>
      <c r="F33" s="35">
        <f t="shared" si="2"/>
        <v>14</v>
      </c>
      <c r="J33" s="35">
        <v>1</v>
      </c>
      <c r="O33" s="35">
        <v>1</v>
      </c>
      <c r="R33" s="35">
        <v>19.100000000000001</v>
      </c>
      <c r="S33" s="35">
        <v>18.2</v>
      </c>
      <c r="T33" s="35">
        <v>16.7</v>
      </c>
      <c r="U33" s="35">
        <v>2.7</v>
      </c>
      <c r="V33" s="38">
        <f>R33*(1+S33)*原始运算表格!$P$2*原始运算表格!$Q$2</f>
        <v>366.72</v>
      </c>
      <c r="W33" s="38">
        <f>T33*(1+U33)*原始运算表格!$R$2*原始运算表格!$S$2</f>
        <v>308.95</v>
      </c>
      <c r="X33" s="38">
        <f t="shared" si="3"/>
        <v>2027.0100000000004</v>
      </c>
      <c r="Y33" s="38">
        <f t="shared" si="4"/>
        <v>2702.6800000000003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3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14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14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14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14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14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14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14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14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14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14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14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0</v>
      </c>
      <c r="D45" s="35">
        <v>0</v>
      </c>
      <c r="E45" s="35">
        <f t="shared" si="5"/>
        <v>14</v>
      </c>
      <c r="F45" s="35">
        <f t="shared" si="2"/>
        <v>0</v>
      </c>
      <c r="V45" s="38">
        <f>R45*(1+S45)*原始运算表格!$P$2*原始运算表格!$Q$2</f>
        <v>0</v>
      </c>
      <c r="W45" s="38">
        <f>T45*(1+U45)*原始运算表格!$R$2*原始运算表格!$S$2</f>
        <v>0</v>
      </c>
      <c r="X45" s="38">
        <f>Y45-W45-V45</f>
        <v>0</v>
      </c>
      <c r="Y45" s="38">
        <f>(V45+W45)*(1+Z45)</f>
        <v>0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0</v>
      </c>
      <c r="D46" s="35">
        <v>0</v>
      </c>
      <c r="E46" s="35">
        <f t="shared" si="5"/>
        <v>14</v>
      </c>
      <c r="F46" s="35">
        <f t="shared" si="2"/>
        <v>0</v>
      </c>
      <c r="V46" s="38">
        <f>R46*(1+S46)*原始运算表格!$P$2*原始运算表格!$Q$2</f>
        <v>0</v>
      </c>
      <c r="W46" s="38">
        <f>T46*(1+U46)*原始运算表格!$R$2*原始运算表格!$S$2</f>
        <v>0</v>
      </c>
      <c r="X46" s="38">
        <f t="shared" ref="X46:X79" si="7">Y46-W46-V46</f>
        <v>0</v>
      </c>
      <c r="Y46" s="38">
        <f t="shared" ref="Y46:Y79" si="8">(V46+W46)*(1+Z46)</f>
        <v>0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0</v>
      </c>
      <c r="D47" s="35">
        <v>0</v>
      </c>
      <c r="E47" s="35">
        <f t="shared" si="5"/>
        <v>14</v>
      </c>
      <c r="F47" s="35">
        <f t="shared" si="2"/>
        <v>0</v>
      </c>
      <c r="V47" s="38">
        <f>R47*(1+S47)*原始运算表格!$P$2*原始运算表格!$Q$2</f>
        <v>0</v>
      </c>
      <c r="W47" s="38">
        <f>T47*(1+U47)*原始运算表格!$R$2*原始运算表格!$S$2</f>
        <v>0</v>
      </c>
      <c r="X47" s="38">
        <f t="shared" si="7"/>
        <v>0</v>
      </c>
      <c r="Y47" s="38">
        <f t="shared" si="8"/>
        <v>0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35">
        <v>1987</v>
      </c>
      <c r="B48" s="35">
        <f t="shared" si="6"/>
        <v>1988</v>
      </c>
      <c r="C48" s="35">
        <v>0</v>
      </c>
      <c r="D48" s="35">
        <v>0</v>
      </c>
      <c r="E48" s="35">
        <f t="shared" si="5"/>
        <v>14</v>
      </c>
      <c r="F48" s="35">
        <f t="shared" si="2"/>
        <v>0</v>
      </c>
      <c r="V48" s="38">
        <f>R48*(1+S48)*原始运算表格!$P$2*原始运算表格!$Q$2</f>
        <v>0</v>
      </c>
      <c r="W48" s="38">
        <f>T48*(1+U48)*原始运算表格!$R$2*原始运算表格!$S$2</f>
        <v>0</v>
      </c>
      <c r="X48" s="38">
        <f t="shared" si="7"/>
        <v>0</v>
      </c>
      <c r="Y48" s="38">
        <f t="shared" si="8"/>
        <v>0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35">
        <v>1988</v>
      </c>
      <c r="B49" s="35">
        <f t="shared" si="6"/>
        <v>1989</v>
      </c>
      <c r="C49" s="35">
        <v>0</v>
      </c>
      <c r="D49" s="35">
        <v>0</v>
      </c>
      <c r="E49" s="35">
        <f t="shared" si="5"/>
        <v>14</v>
      </c>
      <c r="F49" s="35">
        <f t="shared" si="2"/>
        <v>0</v>
      </c>
      <c r="V49" s="38">
        <f>R49*(1+S49)*原始运算表格!$P$2*原始运算表格!$Q$2</f>
        <v>0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0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14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14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14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14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14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14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14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14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0</v>
      </c>
      <c r="D58" s="35">
        <v>0</v>
      </c>
      <c r="E58" s="35">
        <f t="shared" si="5"/>
        <v>14</v>
      </c>
      <c r="F58" s="35">
        <f t="shared" si="2"/>
        <v>0</v>
      </c>
      <c r="V58" s="38">
        <f>R58*(1+S58)*原始运算表格!$P$2*原始运算表格!$Q$2</f>
        <v>0</v>
      </c>
      <c r="W58" s="38">
        <f>T58*(1+U58)*原始运算表格!$R$2*原始运算表格!$S$2</f>
        <v>0</v>
      </c>
      <c r="X58" s="38">
        <f t="shared" si="7"/>
        <v>0</v>
      </c>
      <c r="Y58" s="38">
        <f t="shared" si="8"/>
        <v>0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14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14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14</v>
      </c>
      <c r="F61" s="35">
        <f t="shared" si="2"/>
        <v>0</v>
      </c>
      <c r="V61" s="38">
        <f>R61*(1+S61)*原始运算表格!$P$2*原始运算表格!$Q$2</f>
        <v>0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0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0</v>
      </c>
      <c r="D62" s="35">
        <v>0</v>
      </c>
      <c r="E62" s="35">
        <f t="shared" si="5"/>
        <v>14</v>
      </c>
      <c r="F62" s="35">
        <f t="shared" si="2"/>
        <v>0</v>
      </c>
      <c r="I62" s="42"/>
      <c r="J62" s="42"/>
      <c r="K62" s="42"/>
      <c r="L62" s="42"/>
      <c r="M62" s="42"/>
      <c r="P62" s="42"/>
      <c r="V62" s="38">
        <f>R62*(1+S62)*原始运算表格!$P$2*原始运算表格!$Q$2</f>
        <v>0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0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14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14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14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14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14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14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14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14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14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14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14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14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14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14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14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14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14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Z79"/>
  <sheetViews>
    <sheetView zoomScale="55" zoomScaleNormal="55" workbookViewId="0">
      <pane ySplit="6" topLeftCell="A7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27</v>
      </c>
    </row>
    <row r="5" spans="1:26" s="39" customFormat="1">
      <c r="A5" s="39" t="s">
        <v>22</v>
      </c>
      <c r="B5" s="40"/>
      <c r="C5" s="39">
        <f>SUM(C12:C105)</f>
        <v>13</v>
      </c>
      <c r="D5" s="39">
        <f>SUM(D12:D105)</f>
        <v>13</v>
      </c>
      <c r="G5" s="39">
        <f>SUM(G12:G105)</f>
        <v>5</v>
      </c>
      <c r="H5" s="39">
        <f t="shared" ref="H5:Z5" si="0">SUM(H12:H105)</f>
        <v>0</v>
      </c>
      <c r="I5" s="39">
        <f t="shared" si="0"/>
        <v>0</v>
      </c>
      <c r="J5" s="39">
        <f t="shared" si="0"/>
        <v>4</v>
      </c>
      <c r="K5" s="39">
        <f t="shared" si="0"/>
        <v>0</v>
      </c>
      <c r="L5" s="39">
        <f t="shared" si="0"/>
        <v>0</v>
      </c>
      <c r="M5" s="39">
        <f t="shared" si="0"/>
        <v>0</v>
      </c>
      <c r="N5" s="39">
        <f t="shared" si="0"/>
        <v>3</v>
      </c>
      <c r="O5" s="39">
        <f t="shared" si="0"/>
        <v>1</v>
      </c>
      <c r="P5" s="39">
        <f t="shared" si="0"/>
        <v>11</v>
      </c>
      <c r="Q5" s="39">
        <f t="shared" si="0"/>
        <v>0</v>
      </c>
      <c r="R5" s="39">
        <f t="shared" si="0"/>
        <v>247.1</v>
      </c>
      <c r="S5" s="39">
        <f t="shared" si="0"/>
        <v>163.39999999999998</v>
      </c>
      <c r="T5" s="39">
        <f t="shared" si="0"/>
        <v>254</v>
      </c>
      <c r="U5" s="39">
        <f t="shared" si="0"/>
        <v>27.599999999999998</v>
      </c>
      <c r="V5" s="41">
        <f t="shared" si="0"/>
        <v>3358.2799999999997</v>
      </c>
      <c r="W5" s="41">
        <f t="shared" si="0"/>
        <v>4059.5</v>
      </c>
      <c r="X5" s="41">
        <f t="shared" si="0"/>
        <v>60298.48</v>
      </c>
      <c r="Y5" s="41">
        <f t="shared" si="0"/>
        <v>67716.259999999995</v>
      </c>
      <c r="Z5" s="41">
        <f t="shared" si="0"/>
        <v>96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1</v>
      </c>
      <c r="D17" s="35">
        <v>1</v>
      </c>
      <c r="E17" s="35">
        <f t="shared" si="5"/>
        <v>1</v>
      </c>
      <c r="F17" s="35">
        <f t="shared" si="2"/>
        <v>1</v>
      </c>
      <c r="P17" s="35">
        <v>1</v>
      </c>
      <c r="R17" s="35">
        <v>20.9</v>
      </c>
      <c r="S17" s="35">
        <v>6.2</v>
      </c>
      <c r="T17" s="35">
        <v>18.899999999999999</v>
      </c>
      <c r="U17" s="35">
        <v>1.4</v>
      </c>
      <c r="V17" s="38">
        <f>R17*(1+S17)*原始运算表格!$P$2*原始运算表格!$Q$2</f>
        <v>150.47999999999999</v>
      </c>
      <c r="W17" s="38">
        <f>T17*(1+U17)*原始运算表格!$R$2*原始运算表格!$S$2</f>
        <v>226.79999999999995</v>
      </c>
      <c r="X17" s="38">
        <f t="shared" si="3"/>
        <v>1509.12</v>
      </c>
      <c r="Y17" s="38">
        <f t="shared" si="4"/>
        <v>1886.3999999999999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4</v>
      </c>
    </row>
    <row r="18" spans="1:26">
      <c r="A18" s="35">
        <v>1957</v>
      </c>
      <c r="B18" s="35">
        <f t="shared" si="6"/>
        <v>1958</v>
      </c>
      <c r="C18" s="35">
        <v>1</v>
      </c>
      <c r="D18" s="35">
        <v>1</v>
      </c>
      <c r="E18" s="35">
        <f t="shared" si="5"/>
        <v>2</v>
      </c>
      <c r="F18" s="35">
        <f t="shared" si="2"/>
        <v>2</v>
      </c>
      <c r="G18" s="35">
        <v>1</v>
      </c>
      <c r="J18" s="35">
        <v>1</v>
      </c>
      <c r="R18" s="35">
        <v>22.8</v>
      </c>
      <c r="S18" s="35">
        <v>11.3</v>
      </c>
      <c r="T18" s="35">
        <v>21.6</v>
      </c>
      <c r="U18" s="35">
        <v>1.2</v>
      </c>
      <c r="V18" s="38">
        <f>R18*(1+S18)*原始运算表格!$P$2*原始运算表格!$Q$2</f>
        <v>280.44</v>
      </c>
      <c r="W18" s="38">
        <f>T18*(1+U18)*原始运算表格!$R$2*原始运算表格!$S$2</f>
        <v>237.60000000000005</v>
      </c>
      <c r="X18" s="38">
        <f t="shared" si="3"/>
        <v>5180.4000000000005</v>
      </c>
      <c r="Y18" s="38">
        <f t="shared" si="4"/>
        <v>5698.4400000000005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10</v>
      </c>
    </row>
    <row r="19" spans="1:26">
      <c r="A19" s="35">
        <v>1958</v>
      </c>
      <c r="B19" s="35">
        <f t="shared" si="6"/>
        <v>1959</v>
      </c>
      <c r="C19" s="35">
        <v>1</v>
      </c>
      <c r="D19" s="35">
        <v>1</v>
      </c>
      <c r="E19" s="35">
        <f t="shared" si="5"/>
        <v>3</v>
      </c>
      <c r="F19" s="35">
        <f t="shared" si="2"/>
        <v>3</v>
      </c>
      <c r="J19" s="35">
        <v>1</v>
      </c>
      <c r="N19" s="35">
        <v>1</v>
      </c>
      <c r="P19" s="35">
        <v>1</v>
      </c>
      <c r="R19" s="35">
        <v>20.7</v>
      </c>
      <c r="S19" s="35">
        <v>12.9</v>
      </c>
      <c r="T19" s="35">
        <v>18.8</v>
      </c>
      <c r="U19" s="35">
        <v>1.9</v>
      </c>
      <c r="V19" s="38">
        <f>R19*(1+S19)*原始运算表格!$P$2*原始运算表格!$Q$2</f>
        <v>287.73</v>
      </c>
      <c r="W19" s="38">
        <f>T19*(1+U19)*原始运算表格!$R$2*原始运算表格!$S$2</f>
        <v>272.60000000000002</v>
      </c>
      <c r="X19" s="38">
        <f t="shared" si="3"/>
        <v>3922.31</v>
      </c>
      <c r="Y19" s="38">
        <f t="shared" si="4"/>
        <v>4482.6400000000003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7</v>
      </c>
    </row>
    <row r="20" spans="1:26">
      <c r="A20" s="35">
        <v>1959</v>
      </c>
      <c r="B20" s="35">
        <f t="shared" si="6"/>
        <v>1960</v>
      </c>
      <c r="C20" s="35">
        <v>1</v>
      </c>
      <c r="D20" s="35">
        <v>1</v>
      </c>
      <c r="E20" s="35">
        <f t="shared" si="5"/>
        <v>4</v>
      </c>
      <c r="F20" s="35">
        <f t="shared" si="2"/>
        <v>4</v>
      </c>
      <c r="P20" s="35">
        <v>1</v>
      </c>
      <c r="R20" s="35">
        <v>20.100000000000001</v>
      </c>
      <c r="S20" s="35">
        <v>13.8</v>
      </c>
      <c r="T20" s="35">
        <v>22.1</v>
      </c>
      <c r="U20" s="35">
        <v>3</v>
      </c>
      <c r="V20" s="38">
        <f>R20*(1+S20)*原始运算表格!$P$2*原始运算表格!$Q$2</f>
        <v>297.48</v>
      </c>
      <c r="W20" s="38">
        <f>T20*(1+U20)*原始运算表格!$R$2*原始运算表格!$S$2</f>
        <v>442</v>
      </c>
      <c r="X20" s="38">
        <f t="shared" si="3"/>
        <v>2957.92</v>
      </c>
      <c r="Y20" s="38">
        <f t="shared" si="4"/>
        <v>3697.4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4</v>
      </c>
    </row>
    <row r="21" spans="1:26">
      <c r="A21" s="35">
        <v>1960</v>
      </c>
      <c r="B21" s="35">
        <f t="shared" si="6"/>
        <v>1961</v>
      </c>
      <c r="C21" s="35">
        <v>1</v>
      </c>
      <c r="D21" s="35">
        <v>1</v>
      </c>
      <c r="E21" s="35">
        <f t="shared" si="5"/>
        <v>5</v>
      </c>
      <c r="F21" s="35">
        <f t="shared" si="2"/>
        <v>5</v>
      </c>
      <c r="G21" s="35">
        <v>1</v>
      </c>
      <c r="P21" s="35">
        <v>1</v>
      </c>
      <c r="R21" s="35">
        <v>18.100000000000001</v>
      </c>
      <c r="S21" s="35">
        <v>13</v>
      </c>
      <c r="T21" s="35">
        <v>22</v>
      </c>
      <c r="U21" s="35">
        <v>1.9</v>
      </c>
      <c r="V21" s="38">
        <f>R21*(1+S21)*原始运算表格!$P$2*原始运算表格!$Q$2</f>
        <v>253.40000000000003</v>
      </c>
      <c r="W21" s="38">
        <f>T21*(1+U21)*原始运算表格!$R$2*原始运算表格!$S$2</f>
        <v>319</v>
      </c>
      <c r="X21" s="38">
        <f t="shared" si="3"/>
        <v>6868.8000000000011</v>
      </c>
      <c r="Y21" s="38">
        <f t="shared" si="4"/>
        <v>7441.2000000000007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12</v>
      </c>
    </row>
    <row r="22" spans="1:26">
      <c r="A22" s="35">
        <v>1961</v>
      </c>
      <c r="B22" s="35">
        <f t="shared" si="6"/>
        <v>1962</v>
      </c>
      <c r="C22" s="35">
        <v>1</v>
      </c>
      <c r="D22" s="35">
        <v>1</v>
      </c>
      <c r="E22" s="35">
        <f t="shared" si="5"/>
        <v>6</v>
      </c>
      <c r="F22" s="35">
        <f t="shared" si="2"/>
        <v>6</v>
      </c>
      <c r="G22" s="35">
        <v>1</v>
      </c>
      <c r="P22" s="35">
        <v>1</v>
      </c>
      <c r="R22" s="35">
        <v>19.399999999999999</v>
      </c>
      <c r="S22" s="35">
        <v>15.5</v>
      </c>
      <c r="T22" s="35">
        <v>22.8</v>
      </c>
      <c r="U22" s="35">
        <v>3.6</v>
      </c>
      <c r="V22" s="38">
        <f>R22*(1+S22)*原始运算表格!$P$2*原始运算表格!$Q$2</f>
        <v>320.09999999999997</v>
      </c>
      <c r="W22" s="38">
        <f>T22*(1+U22)*原始运算表格!$R$2*原始运算表格!$S$2</f>
        <v>524.4</v>
      </c>
      <c r="X22" s="38">
        <f t="shared" si="3"/>
        <v>10134</v>
      </c>
      <c r="Y22" s="38">
        <f t="shared" si="4"/>
        <v>10978.5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12</v>
      </c>
    </row>
    <row r="23" spans="1:26">
      <c r="A23" s="35">
        <v>1962</v>
      </c>
      <c r="B23" s="35">
        <f t="shared" si="6"/>
        <v>1963</v>
      </c>
      <c r="C23" s="35">
        <v>1</v>
      </c>
      <c r="D23" s="35">
        <v>1</v>
      </c>
      <c r="E23" s="35">
        <f t="shared" si="5"/>
        <v>7</v>
      </c>
      <c r="F23" s="35">
        <f t="shared" si="2"/>
        <v>7</v>
      </c>
      <c r="G23" s="35">
        <v>1</v>
      </c>
      <c r="N23" s="35">
        <v>1</v>
      </c>
      <c r="P23" s="35">
        <v>1</v>
      </c>
      <c r="R23" s="35">
        <v>18.2</v>
      </c>
      <c r="S23" s="35">
        <v>13.5</v>
      </c>
      <c r="T23" s="35">
        <v>20.5</v>
      </c>
      <c r="U23" s="35">
        <v>2.5</v>
      </c>
      <c r="V23" s="38">
        <f>R23*(1+S23)*原始运算表格!$P$2*原始运算表格!$Q$2</f>
        <v>263.89999999999998</v>
      </c>
      <c r="W23" s="38">
        <f>T23*(1+U23)*原始运算表格!$R$2*原始运算表格!$S$2</f>
        <v>358.75</v>
      </c>
      <c r="X23" s="38">
        <f t="shared" si="3"/>
        <v>8094.4500000000007</v>
      </c>
      <c r="Y23" s="38">
        <f t="shared" si="4"/>
        <v>8717.1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13</v>
      </c>
    </row>
    <row r="24" spans="1:26">
      <c r="A24" s="35">
        <v>1963</v>
      </c>
      <c r="B24" s="35">
        <f t="shared" si="6"/>
        <v>1964</v>
      </c>
      <c r="C24" s="35">
        <v>1</v>
      </c>
      <c r="D24" s="35">
        <v>1</v>
      </c>
      <c r="E24" s="35">
        <f t="shared" si="5"/>
        <v>8</v>
      </c>
      <c r="F24" s="35">
        <f t="shared" si="2"/>
        <v>8</v>
      </c>
      <c r="J24" s="35">
        <v>1</v>
      </c>
      <c r="P24" s="35">
        <v>1</v>
      </c>
      <c r="R24" s="35">
        <v>19.3</v>
      </c>
      <c r="S24" s="35">
        <v>17.3</v>
      </c>
      <c r="T24" s="35">
        <v>18.899999999999999</v>
      </c>
      <c r="U24" s="35">
        <v>1.9</v>
      </c>
      <c r="V24" s="38">
        <f>R24*(1+S24)*原始运算表格!$P$2*原始运算表格!$Q$2</f>
        <v>353.19000000000005</v>
      </c>
      <c r="W24" s="38">
        <f>T24*(1+U24)*原始运算表格!$R$2*原始运算表格!$S$2</f>
        <v>274.04999999999995</v>
      </c>
      <c r="X24" s="38">
        <f t="shared" si="3"/>
        <v>3763.44</v>
      </c>
      <c r="Y24" s="38">
        <f t="shared" si="4"/>
        <v>4390.68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6</v>
      </c>
    </row>
    <row r="25" spans="1:26">
      <c r="A25" s="35">
        <v>1964</v>
      </c>
      <c r="B25" s="35">
        <f t="shared" si="6"/>
        <v>1965</v>
      </c>
      <c r="C25" s="35">
        <v>1</v>
      </c>
      <c r="D25" s="35">
        <v>1</v>
      </c>
      <c r="E25" s="35">
        <f t="shared" si="5"/>
        <v>9</v>
      </c>
      <c r="F25" s="35">
        <f t="shared" si="2"/>
        <v>9</v>
      </c>
      <c r="G25" s="35">
        <v>1</v>
      </c>
      <c r="J25" s="35">
        <v>1</v>
      </c>
      <c r="N25" s="35">
        <v>1</v>
      </c>
      <c r="P25" s="35">
        <v>1</v>
      </c>
      <c r="R25" s="35">
        <v>19.5</v>
      </c>
      <c r="S25" s="35">
        <v>16.899999999999999</v>
      </c>
      <c r="T25" s="35">
        <v>20.9</v>
      </c>
      <c r="U25" s="35">
        <v>3.3</v>
      </c>
      <c r="V25" s="38">
        <f>R25*(1+S25)*原始运算表格!$P$2*原始运算表格!$Q$2</f>
        <v>349.04999999999995</v>
      </c>
      <c r="W25" s="38">
        <f>T25*(1+U25)*原始运算表格!$R$2*原始运算表格!$S$2</f>
        <v>449.34999999999997</v>
      </c>
      <c r="X25" s="38">
        <f t="shared" si="3"/>
        <v>11975.999999999998</v>
      </c>
      <c r="Y25" s="38">
        <f t="shared" si="4"/>
        <v>12774.399999999998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15</v>
      </c>
    </row>
    <row r="26" spans="1:26">
      <c r="A26" s="35">
        <v>1965</v>
      </c>
      <c r="B26" s="35">
        <f t="shared" si="6"/>
        <v>1966</v>
      </c>
      <c r="C26" s="35">
        <v>1</v>
      </c>
      <c r="D26" s="35">
        <v>1</v>
      </c>
      <c r="E26" s="35">
        <f t="shared" si="5"/>
        <v>10</v>
      </c>
      <c r="F26" s="35">
        <f t="shared" si="2"/>
        <v>10</v>
      </c>
      <c r="P26" s="35">
        <v>1</v>
      </c>
      <c r="R26" s="35">
        <v>17.3</v>
      </c>
      <c r="S26" s="35">
        <v>11.7</v>
      </c>
      <c r="T26" s="35">
        <v>20.2</v>
      </c>
      <c r="U26" s="35">
        <v>3.2</v>
      </c>
      <c r="V26" s="38">
        <f>R26*(1+S26)*原始运算表格!$P$2*原始运算表格!$Q$2</f>
        <v>219.71</v>
      </c>
      <c r="W26" s="38">
        <f>T26*(1+U26)*原始运算表格!$R$2*原始运算表格!$S$2</f>
        <v>424.20000000000005</v>
      </c>
      <c r="X26" s="38">
        <f t="shared" si="3"/>
        <v>2575.6400000000003</v>
      </c>
      <c r="Y26" s="38">
        <f t="shared" si="4"/>
        <v>3219.55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4</v>
      </c>
    </row>
    <row r="27" spans="1:26">
      <c r="A27" s="35">
        <v>1966</v>
      </c>
      <c r="B27" s="35">
        <f t="shared" si="6"/>
        <v>1967</v>
      </c>
      <c r="C27" s="35">
        <v>1</v>
      </c>
      <c r="D27" s="35">
        <v>1</v>
      </c>
      <c r="E27" s="35">
        <f t="shared" si="5"/>
        <v>11</v>
      </c>
      <c r="F27" s="35">
        <f t="shared" si="2"/>
        <v>11</v>
      </c>
      <c r="R27" s="35">
        <v>18.600000000000001</v>
      </c>
      <c r="S27" s="35">
        <v>12.2</v>
      </c>
      <c r="T27" s="35">
        <v>15.3</v>
      </c>
      <c r="U27" s="35">
        <v>0.7</v>
      </c>
      <c r="V27" s="38">
        <f>R27*(1+S27)*原始运算表格!$P$2*原始运算表格!$Q$2</f>
        <v>245.52</v>
      </c>
      <c r="W27" s="38">
        <f>T27*(1+U27)*原始运算表格!$R$2*原始运算表格!$S$2</f>
        <v>130.05000000000001</v>
      </c>
      <c r="X27" s="38">
        <f t="shared" si="3"/>
        <v>0</v>
      </c>
      <c r="Y27" s="38">
        <f t="shared" si="4"/>
        <v>375.57000000000005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1</v>
      </c>
      <c r="D28" s="35">
        <v>1</v>
      </c>
      <c r="E28" s="35">
        <f t="shared" si="5"/>
        <v>12</v>
      </c>
      <c r="F28" s="35">
        <f t="shared" si="2"/>
        <v>12</v>
      </c>
      <c r="P28" s="35">
        <v>1</v>
      </c>
      <c r="R28" s="35">
        <v>17</v>
      </c>
      <c r="S28" s="35">
        <v>8.1999999999999993</v>
      </c>
      <c r="T28" s="35">
        <v>16.7</v>
      </c>
      <c r="U28" s="35">
        <v>1.6</v>
      </c>
      <c r="V28" s="38">
        <f>R28*(1+S28)*原始运算表格!$P$2*原始运算表格!$Q$2</f>
        <v>156.39999999999998</v>
      </c>
      <c r="W28" s="38">
        <f>T28*(1+U28)*原始运算表格!$R$2*原始运算表格!$S$2</f>
        <v>217.10000000000002</v>
      </c>
      <c r="X28" s="38">
        <f t="shared" si="3"/>
        <v>1494</v>
      </c>
      <c r="Y28" s="38">
        <f t="shared" si="4"/>
        <v>1867.5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4</v>
      </c>
    </row>
    <row r="29" spans="1:26">
      <c r="A29" s="35">
        <v>1968</v>
      </c>
      <c r="B29" s="35">
        <f t="shared" si="6"/>
        <v>1969</v>
      </c>
      <c r="C29" s="35">
        <v>1</v>
      </c>
      <c r="D29" s="35">
        <v>1</v>
      </c>
      <c r="E29" s="35">
        <f t="shared" si="5"/>
        <v>13</v>
      </c>
      <c r="F29" s="35">
        <f t="shared" si="2"/>
        <v>13</v>
      </c>
      <c r="O29" s="35">
        <v>1</v>
      </c>
      <c r="P29" s="35">
        <v>1</v>
      </c>
      <c r="R29" s="35">
        <v>15.2</v>
      </c>
      <c r="S29" s="35">
        <v>10.9</v>
      </c>
      <c r="T29" s="35">
        <v>15.3</v>
      </c>
      <c r="U29" s="35">
        <v>1.4</v>
      </c>
      <c r="V29" s="38">
        <f>R29*(1+S29)*原始运算表格!$P$2*原始运算表格!$Q$2</f>
        <v>180.88</v>
      </c>
      <c r="W29" s="38">
        <f>T29*(1+U29)*原始运算表格!$R$2*原始运算表格!$S$2</f>
        <v>183.6</v>
      </c>
      <c r="X29" s="38">
        <f t="shared" si="3"/>
        <v>1822.4</v>
      </c>
      <c r="Y29" s="38">
        <f t="shared" si="4"/>
        <v>2186.88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5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13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13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13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13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13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13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13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13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13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13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13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13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13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13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13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0</v>
      </c>
      <c r="D45" s="35">
        <v>0</v>
      </c>
      <c r="E45" s="35">
        <f t="shared" si="5"/>
        <v>13</v>
      </c>
      <c r="F45" s="35">
        <f t="shared" si="2"/>
        <v>0</v>
      </c>
      <c r="V45" s="38">
        <f>R45*(1+S45)*原始运算表格!$P$2*原始运算表格!$Q$2</f>
        <v>0</v>
      </c>
      <c r="W45" s="38">
        <f>T45*(1+U45)*原始运算表格!$R$2*原始运算表格!$S$2</f>
        <v>0</v>
      </c>
      <c r="X45" s="38">
        <f>Y45-W45-V45</f>
        <v>0</v>
      </c>
      <c r="Y45" s="38">
        <f>(V45+W45)*(1+Z45)</f>
        <v>0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0</v>
      </c>
      <c r="D46" s="35">
        <v>0</v>
      </c>
      <c r="E46" s="35">
        <f t="shared" si="5"/>
        <v>13</v>
      </c>
      <c r="F46" s="35">
        <f t="shared" si="2"/>
        <v>0</v>
      </c>
      <c r="V46" s="38">
        <f>R46*(1+S46)*原始运算表格!$P$2*原始运算表格!$Q$2</f>
        <v>0</v>
      </c>
      <c r="W46" s="38">
        <f>T46*(1+U46)*原始运算表格!$R$2*原始运算表格!$S$2</f>
        <v>0</v>
      </c>
      <c r="X46" s="38">
        <f t="shared" ref="X46:X79" si="7">Y46-W46-V46</f>
        <v>0</v>
      </c>
      <c r="Y46" s="38">
        <f t="shared" ref="Y46:Y79" si="8">(V46+W46)*(1+Z46)</f>
        <v>0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0</v>
      </c>
      <c r="D47" s="35">
        <v>0</v>
      </c>
      <c r="E47" s="35">
        <f t="shared" si="5"/>
        <v>13</v>
      </c>
      <c r="F47" s="35">
        <f t="shared" si="2"/>
        <v>0</v>
      </c>
      <c r="V47" s="38">
        <f>R47*(1+S47)*原始运算表格!$P$2*原始运算表格!$Q$2</f>
        <v>0</v>
      </c>
      <c r="W47" s="38">
        <f>T47*(1+U47)*原始运算表格!$R$2*原始运算表格!$S$2</f>
        <v>0</v>
      </c>
      <c r="X47" s="38">
        <f t="shared" si="7"/>
        <v>0</v>
      </c>
      <c r="Y47" s="38">
        <f t="shared" si="8"/>
        <v>0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35">
        <v>1987</v>
      </c>
      <c r="B48" s="35">
        <f t="shared" si="6"/>
        <v>1988</v>
      </c>
      <c r="C48" s="35">
        <v>0</v>
      </c>
      <c r="D48" s="35">
        <v>0</v>
      </c>
      <c r="E48" s="35">
        <f t="shared" si="5"/>
        <v>13</v>
      </c>
      <c r="F48" s="35">
        <f t="shared" si="2"/>
        <v>0</v>
      </c>
      <c r="V48" s="38">
        <f>R48*(1+S48)*原始运算表格!$P$2*原始运算表格!$Q$2</f>
        <v>0</v>
      </c>
      <c r="W48" s="38">
        <f>T48*(1+U48)*原始运算表格!$R$2*原始运算表格!$S$2</f>
        <v>0</v>
      </c>
      <c r="X48" s="38">
        <f t="shared" si="7"/>
        <v>0</v>
      </c>
      <c r="Y48" s="38">
        <f t="shared" si="8"/>
        <v>0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35">
        <v>1988</v>
      </c>
      <c r="B49" s="35">
        <f t="shared" si="6"/>
        <v>1989</v>
      </c>
      <c r="C49" s="35">
        <v>0</v>
      </c>
      <c r="D49" s="35">
        <v>0</v>
      </c>
      <c r="E49" s="35">
        <f t="shared" si="5"/>
        <v>13</v>
      </c>
      <c r="F49" s="35">
        <f t="shared" si="2"/>
        <v>0</v>
      </c>
      <c r="V49" s="38">
        <f>R49*(1+S49)*原始运算表格!$P$2*原始运算表格!$Q$2</f>
        <v>0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0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13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13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13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13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13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13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13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13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0</v>
      </c>
      <c r="D58" s="35">
        <v>0</v>
      </c>
      <c r="E58" s="35">
        <f t="shared" si="5"/>
        <v>13</v>
      </c>
      <c r="F58" s="35">
        <f t="shared" si="2"/>
        <v>0</v>
      </c>
      <c r="V58" s="38">
        <f>R58*(1+S58)*原始运算表格!$P$2*原始运算表格!$Q$2</f>
        <v>0</v>
      </c>
      <c r="W58" s="38">
        <f>T58*(1+U58)*原始运算表格!$R$2*原始运算表格!$S$2</f>
        <v>0</v>
      </c>
      <c r="X58" s="38">
        <f t="shared" si="7"/>
        <v>0</v>
      </c>
      <c r="Y58" s="38">
        <f t="shared" si="8"/>
        <v>0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13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13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13</v>
      </c>
      <c r="F61" s="35">
        <f t="shared" si="2"/>
        <v>0</v>
      </c>
      <c r="V61" s="38">
        <f>R61*(1+S61)*原始运算表格!$P$2*原始运算表格!$Q$2</f>
        <v>0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0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0</v>
      </c>
      <c r="D62" s="35">
        <v>0</v>
      </c>
      <c r="E62" s="35">
        <f t="shared" si="5"/>
        <v>13</v>
      </c>
      <c r="F62" s="35">
        <f t="shared" si="2"/>
        <v>0</v>
      </c>
      <c r="I62" s="42"/>
      <c r="J62" s="42"/>
      <c r="K62" s="42"/>
      <c r="L62" s="42"/>
      <c r="M62" s="42"/>
      <c r="P62" s="42"/>
      <c r="V62" s="38">
        <f>R62*(1+S62)*原始运算表格!$P$2*原始运算表格!$Q$2</f>
        <v>0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0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13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13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13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13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13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13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13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13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13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13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13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13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13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13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13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13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13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79"/>
  <sheetViews>
    <sheetView zoomScale="55" zoomScaleNormal="55" workbookViewId="0">
      <pane ySplit="6" topLeftCell="A39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28</v>
      </c>
    </row>
    <row r="5" spans="1:26" s="39" customFormat="1">
      <c r="A5" s="39" t="s">
        <v>22</v>
      </c>
      <c r="B5" s="40"/>
      <c r="C5" s="39">
        <f>SUM(C12:C105)</f>
        <v>13</v>
      </c>
      <c r="D5" s="39">
        <f>SUM(D12:D105)</f>
        <v>13</v>
      </c>
      <c r="G5" s="39">
        <f>SUM(G12:G105)</f>
        <v>3</v>
      </c>
      <c r="H5" s="39">
        <f t="shared" ref="H5:Z5" si="0">SUM(H12:H105)</f>
        <v>0</v>
      </c>
      <c r="I5" s="39">
        <f t="shared" si="0"/>
        <v>0</v>
      </c>
      <c r="J5" s="39">
        <f t="shared" si="0"/>
        <v>0</v>
      </c>
      <c r="K5" s="39">
        <f t="shared" si="0"/>
        <v>4</v>
      </c>
      <c r="L5" s="39">
        <f t="shared" si="0"/>
        <v>2</v>
      </c>
      <c r="M5" s="39">
        <f t="shared" si="0"/>
        <v>0</v>
      </c>
      <c r="N5" s="39">
        <f t="shared" si="0"/>
        <v>9</v>
      </c>
      <c r="O5" s="39">
        <f t="shared" si="0"/>
        <v>0</v>
      </c>
      <c r="P5" s="39">
        <f t="shared" si="0"/>
        <v>5</v>
      </c>
      <c r="Q5" s="39">
        <f t="shared" si="0"/>
        <v>3</v>
      </c>
      <c r="R5" s="39">
        <f t="shared" si="0"/>
        <v>311.8</v>
      </c>
      <c r="S5" s="39">
        <f t="shared" si="0"/>
        <v>155.70000000000002</v>
      </c>
      <c r="T5" s="39">
        <f t="shared" si="0"/>
        <v>292.10000000000002</v>
      </c>
      <c r="U5" s="39">
        <f t="shared" si="0"/>
        <v>32.699999999999996</v>
      </c>
      <c r="V5" s="41">
        <f t="shared" si="0"/>
        <v>4106.63</v>
      </c>
      <c r="W5" s="41">
        <f t="shared" si="0"/>
        <v>5259.0999999999995</v>
      </c>
      <c r="X5" s="41">
        <f t="shared" si="0"/>
        <v>73765.11</v>
      </c>
      <c r="Y5" s="41">
        <f t="shared" si="0"/>
        <v>83130.84</v>
      </c>
      <c r="Z5" s="41">
        <f t="shared" si="0"/>
        <v>89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1</v>
      </c>
      <c r="D40" s="35">
        <v>1</v>
      </c>
      <c r="E40" s="35">
        <f t="shared" si="5"/>
        <v>1</v>
      </c>
      <c r="F40" s="35">
        <f t="shared" si="2"/>
        <v>1</v>
      </c>
      <c r="P40" s="35">
        <v>1</v>
      </c>
      <c r="Q40" s="35">
        <v>1</v>
      </c>
      <c r="R40" s="35">
        <v>20.6</v>
      </c>
      <c r="S40" s="35">
        <v>10.5</v>
      </c>
      <c r="T40" s="35">
        <v>22.1</v>
      </c>
      <c r="U40" s="35">
        <v>2.8</v>
      </c>
      <c r="V40" s="38">
        <f>R40*(1+S40)*原始运算表格!$P$2*原始运算表格!$Q$2</f>
        <v>236.9</v>
      </c>
      <c r="W40" s="38">
        <f>T40*(1+U40)*原始运算表格!$R$2*原始运算表格!$S$2</f>
        <v>419.90000000000003</v>
      </c>
      <c r="X40" s="38">
        <f t="shared" si="3"/>
        <v>7881.6000000000022</v>
      </c>
      <c r="Y40" s="38">
        <f t="shared" si="4"/>
        <v>8538.4000000000015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12</v>
      </c>
    </row>
    <row r="41" spans="1:26">
      <c r="A41" s="35">
        <v>1980</v>
      </c>
      <c r="B41" s="35">
        <f t="shared" si="6"/>
        <v>1981</v>
      </c>
      <c r="C41" s="35">
        <v>1</v>
      </c>
      <c r="D41" s="35">
        <v>1</v>
      </c>
      <c r="E41" s="35">
        <f t="shared" si="5"/>
        <v>2</v>
      </c>
      <c r="F41" s="35">
        <f t="shared" si="2"/>
        <v>2</v>
      </c>
      <c r="L41" s="35">
        <v>1</v>
      </c>
      <c r="R41" s="35">
        <v>25.7</v>
      </c>
      <c r="S41" s="35">
        <v>6.4</v>
      </c>
      <c r="T41" s="35">
        <v>17</v>
      </c>
      <c r="U41" s="35">
        <v>0.2</v>
      </c>
      <c r="V41" s="38">
        <f>R41*(1+S41)*原始运算表格!$P$2*原始运算表格!$Q$2</f>
        <v>190.18</v>
      </c>
      <c r="W41" s="38">
        <f>T41*(1+U41)*原始运算表格!$R$2*原始运算表格!$S$2</f>
        <v>102</v>
      </c>
      <c r="X41" s="38">
        <f t="shared" si="3"/>
        <v>584.3599999999999</v>
      </c>
      <c r="Y41" s="38">
        <f t="shared" si="4"/>
        <v>876.54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2</v>
      </c>
    </row>
    <row r="42" spans="1:26">
      <c r="A42" s="35">
        <v>1981</v>
      </c>
      <c r="B42" s="35">
        <f t="shared" si="6"/>
        <v>1982</v>
      </c>
      <c r="C42" s="35">
        <v>1</v>
      </c>
      <c r="D42" s="35">
        <v>1</v>
      </c>
      <c r="E42" s="35">
        <f t="shared" si="5"/>
        <v>3</v>
      </c>
      <c r="F42" s="35">
        <f t="shared" si="2"/>
        <v>3</v>
      </c>
      <c r="L42" s="35">
        <v>1</v>
      </c>
      <c r="P42" s="35">
        <v>1</v>
      </c>
      <c r="Q42" s="35">
        <v>1</v>
      </c>
      <c r="R42" s="35">
        <v>22.9</v>
      </c>
      <c r="S42" s="35">
        <v>12.9</v>
      </c>
      <c r="T42" s="35">
        <v>22.5</v>
      </c>
      <c r="U42" s="35">
        <v>2.7</v>
      </c>
      <c r="V42" s="38">
        <f>R42*(1+S42)*原始运算表格!$P$2*原始运算表格!$Q$2</f>
        <v>318.31</v>
      </c>
      <c r="W42" s="38">
        <f>T42*(1+U42)*原始运算表格!$R$2*原始运算表格!$S$2</f>
        <v>416.25</v>
      </c>
      <c r="X42" s="38">
        <f t="shared" si="3"/>
        <v>10283.84</v>
      </c>
      <c r="Y42" s="38">
        <f t="shared" si="4"/>
        <v>11018.4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14</v>
      </c>
    </row>
    <row r="43" spans="1:26">
      <c r="A43" s="35">
        <v>1982</v>
      </c>
      <c r="B43" s="35">
        <f t="shared" si="6"/>
        <v>1983</v>
      </c>
      <c r="C43" s="35">
        <v>1</v>
      </c>
      <c r="D43" s="35">
        <v>1</v>
      </c>
      <c r="E43" s="35">
        <f t="shared" si="5"/>
        <v>4</v>
      </c>
      <c r="F43" s="35">
        <f t="shared" si="2"/>
        <v>4</v>
      </c>
      <c r="K43" s="35">
        <v>1</v>
      </c>
      <c r="N43" s="35">
        <v>1</v>
      </c>
      <c r="R43" s="35">
        <v>23</v>
      </c>
      <c r="S43" s="35">
        <v>12.5</v>
      </c>
      <c r="T43" s="35">
        <v>20.6</v>
      </c>
      <c r="U43" s="35">
        <v>2.1</v>
      </c>
      <c r="V43" s="38">
        <f>R43*(1+S43)*原始运算表格!$P$2*原始运算表格!$Q$2</f>
        <v>310.5</v>
      </c>
      <c r="W43" s="38">
        <f>T43*(1+U43)*原始运算表格!$R$2*原始运算表格!$S$2</f>
        <v>319.3</v>
      </c>
      <c r="X43" s="38">
        <f t="shared" si="3"/>
        <v>1889.3999999999996</v>
      </c>
      <c r="Y43" s="38">
        <f t="shared" si="4"/>
        <v>2519.1999999999998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3</v>
      </c>
    </row>
    <row r="44" spans="1:26">
      <c r="A44" s="35">
        <v>1983</v>
      </c>
      <c r="B44" s="35">
        <f t="shared" si="6"/>
        <v>1984</v>
      </c>
      <c r="C44" s="35">
        <v>1</v>
      </c>
      <c r="D44" s="35">
        <v>1</v>
      </c>
      <c r="E44" s="35">
        <f t="shared" si="5"/>
        <v>5</v>
      </c>
      <c r="F44" s="35">
        <f t="shared" si="2"/>
        <v>5</v>
      </c>
      <c r="K44" s="35">
        <v>1</v>
      </c>
      <c r="N44" s="35">
        <v>1</v>
      </c>
      <c r="R44" s="35">
        <v>22.6</v>
      </c>
      <c r="S44" s="35">
        <v>10.199999999999999</v>
      </c>
      <c r="T44" s="35">
        <v>22.8</v>
      </c>
      <c r="U44" s="35">
        <v>3.5</v>
      </c>
      <c r="V44" s="38">
        <f>R44*(1+S44)*原始运算表格!$P$2*原始运算表格!$Q$2</f>
        <v>253.12</v>
      </c>
      <c r="W44" s="38">
        <f>T44*(1+U44)*原始运算表格!$R$2*原始运算表格!$S$2</f>
        <v>513</v>
      </c>
      <c r="X44" s="38">
        <f t="shared" si="3"/>
        <v>2298.36</v>
      </c>
      <c r="Y44" s="38">
        <f t="shared" si="4"/>
        <v>3064.48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3</v>
      </c>
    </row>
    <row r="45" spans="1:26">
      <c r="A45" s="35">
        <v>1984</v>
      </c>
      <c r="B45" s="35">
        <f t="shared" si="6"/>
        <v>1985</v>
      </c>
      <c r="C45" s="35">
        <v>1</v>
      </c>
      <c r="D45" s="35">
        <v>1</v>
      </c>
      <c r="E45" s="35">
        <f t="shared" si="5"/>
        <v>6</v>
      </c>
      <c r="F45" s="35">
        <f t="shared" si="2"/>
        <v>6</v>
      </c>
      <c r="N45" s="35">
        <v>1</v>
      </c>
      <c r="P45" s="35">
        <v>1</v>
      </c>
      <c r="R45" s="35">
        <v>23.2</v>
      </c>
      <c r="S45" s="35">
        <v>12.7</v>
      </c>
      <c r="T45" s="35">
        <v>22.3</v>
      </c>
      <c r="U45" s="35">
        <v>3</v>
      </c>
      <c r="V45" s="38">
        <f>R45*(1+S45)*原始运算表格!$P$2*原始运算表格!$Q$2</f>
        <v>317.83999999999997</v>
      </c>
      <c r="W45" s="38">
        <f>T45*(1+U45)*原始运算表格!$R$2*原始运算表格!$S$2</f>
        <v>446</v>
      </c>
      <c r="X45" s="38">
        <f>Y45-W45-V45</f>
        <v>3819.1999999999989</v>
      </c>
      <c r="Y45" s="38">
        <f>(V45+W45)*(1+Z45)</f>
        <v>4583.0399999999991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5</v>
      </c>
    </row>
    <row r="46" spans="1:26">
      <c r="A46" s="35">
        <v>1985</v>
      </c>
      <c r="B46" s="35">
        <f t="shared" si="6"/>
        <v>1986</v>
      </c>
      <c r="C46" s="35">
        <v>1</v>
      </c>
      <c r="D46" s="35">
        <v>1</v>
      </c>
      <c r="E46" s="35">
        <f t="shared" si="5"/>
        <v>7</v>
      </c>
      <c r="F46" s="35">
        <f t="shared" si="2"/>
        <v>7</v>
      </c>
      <c r="K46" s="35">
        <v>1</v>
      </c>
      <c r="N46" s="35">
        <v>1</v>
      </c>
      <c r="R46" s="35">
        <v>24</v>
      </c>
      <c r="S46" s="35">
        <v>12.1</v>
      </c>
      <c r="T46" s="35">
        <v>25.6</v>
      </c>
      <c r="U46" s="35">
        <v>3</v>
      </c>
      <c r="V46" s="38">
        <f>R46*(1+S46)*原始运算表格!$P$2*原始运算表格!$Q$2</f>
        <v>314.39999999999998</v>
      </c>
      <c r="W46" s="38">
        <f>T46*(1+U46)*原始运算表格!$R$2*原始运算表格!$S$2</f>
        <v>512</v>
      </c>
      <c r="X46" s="38">
        <f t="shared" ref="X46:X79" si="7">Y46-W46-V46</f>
        <v>2479.1999999999998</v>
      </c>
      <c r="Y46" s="38">
        <f t="shared" ref="Y46:Y79" si="8">(V46+W46)*(1+Z46)</f>
        <v>3305.6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3</v>
      </c>
    </row>
    <row r="47" spans="1:26">
      <c r="A47" s="35">
        <v>1986</v>
      </c>
      <c r="B47" s="35">
        <f t="shared" si="6"/>
        <v>1987</v>
      </c>
      <c r="C47" s="35">
        <v>1</v>
      </c>
      <c r="D47" s="35">
        <v>1</v>
      </c>
      <c r="E47" s="35">
        <f t="shared" si="5"/>
        <v>8</v>
      </c>
      <c r="F47" s="35">
        <f t="shared" si="2"/>
        <v>8</v>
      </c>
      <c r="G47" s="35">
        <v>1</v>
      </c>
      <c r="K47" s="35">
        <v>1</v>
      </c>
      <c r="N47" s="35">
        <v>1</v>
      </c>
      <c r="P47" s="35">
        <v>1</v>
      </c>
      <c r="Q47" s="35">
        <v>1</v>
      </c>
      <c r="R47" s="35">
        <v>27</v>
      </c>
      <c r="S47" s="35">
        <v>15.9</v>
      </c>
      <c r="T47" s="35">
        <v>26.2</v>
      </c>
      <c r="U47" s="35">
        <v>3.7</v>
      </c>
      <c r="V47" s="38">
        <f>R47*(1+S47)*原始运算表格!$P$2*原始运算表格!$Q$2</f>
        <v>456.29999999999995</v>
      </c>
      <c r="W47" s="38">
        <f>T47*(1+U47)*原始运算表格!$R$2*原始运算表格!$S$2</f>
        <v>615.70000000000005</v>
      </c>
      <c r="X47" s="38">
        <f t="shared" si="7"/>
        <v>24656</v>
      </c>
      <c r="Y47" s="38">
        <f t="shared" si="8"/>
        <v>25728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23</v>
      </c>
    </row>
    <row r="48" spans="1:26">
      <c r="A48" s="35">
        <v>1987</v>
      </c>
      <c r="B48" s="35">
        <f t="shared" si="6"/>
        <v>1988</v>
      </c>
      <c r="C48" s="35">
        <v>1</v>
      </c>
      <c r="D48" s="35">
        <v>1</v>
      </c>
      <c r="E48" s="35">
        <f t="shared" si="5"/>
        <v>9</v>
      </c>
      <c r="F48" s="35">
        <f t="shared" si="2"/>
        <v>9</v>
      </c>
      <c r="N48" s="35">
        <v>1</v>
      </c>
      <c r="P48" s="35">
        <v>1</v>
      </c>
      <c r="R48" s="35">
        <v>23.1</v>
      </c>
      <c r="S48" s="35">
        <v>10.9</v>
      </c>
      <c r="T48" s="35">
        <v>22.9</v>
      </c>
      <c r="U48" s="35">
        <v>4</v>
      </c>
      <c r="V48" s="38">
        <f>R48*(1+S48)*原始运算表格!$P$2*原始运算表格!$Q$2</f>
        <v>274.89000000000004</v>
      </c>
      <c r="W48" s="38">
        <f>T48*(1+U48)*原始运算表格!$R$2*原始运算表格!$S$2</f>
        <v>572.5</v>
      </c>
      <c r="X48" s="38">
        <f t="shared" si="7"/>
        <v>4236.95</v>
      </c>
      <c r="Y48" s="38">
        <f t="shared" si="8"/>
        <v>5084.34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5</v>
      </c>
    </row>
    <row r="49" spans="1:26">
      <c r="A49" s="35">
        <v>1988</v>
      </c>
      <c r="B49" s="35">
        <f t="shared" si="6"/>
        <v>1989</v>
      </c>
      <c r="C49" s="35">
        <v>1</v>
      </c>
      <c r="D49" s="35">
        <v>1</v>
      </c>
      <c r="E49" s="35">
        <f t="shared" si="5"/>
        <v>10</v>
      </c>
      <c r="F49" s="35">
        <f t="shared" si="2"/>
        <v>10</v>
      </c>
      <c r="G49" s="35">
        <v>1</v>
      </c>
      <c r="N49" s="35">
        <v>1</v>
      </c>
      <c r="R49" s="35">
        <v>26.9</v>
      </c>
      <c r="S49" s="35">
        <v>16.100000000000001</v>
      </c>
      <c r="T49" s="35">
        <v>23.4</v>
      </c>
      <c r="U49" s="35">
        <v>2.2000000000000002</v>
      </c>
      <c r="V49" s="38">
        <f>R49*(1+S49)*原始运算表格!$P$2*原始运算表格!$Q$2</f>
        <v>459.99</v>
      </c>
      <c r="W49" s="38">
        <f>T49*(1+U49)*原始运算表格!$R$2*原始运算表格!$S$2</f>
        <v>374.4</v>
      </c>
      <c r="X49" s="38">
        <f t="shared" si="7"/>
        <v>7509.51</v>
      </c>
      <c r="Y49" s="38">
        <f t="shared" si="8"/>
        <v>8343.9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9</v>
      </c>
    </row>
    <row r="50" spans="1:26">
      <c r="A50" s="35">
        <v>1989</v>
      </c>
      <c r="B50" s="35">
        <f t="shared" si="6"/>
        <v>1990</v>
      </c>
      <c r="C50" s="35">
        <v>1</v>
      </c>
      <c r="D50" s="35">
        <v>1</v>
      </c>
      <c r="E50" s="35">
        <f t="shared" si="5"/>
        <v>11</v>
      </c>
      <c r="F50" s="35">
        <f t="shared" si="2"/>
        <v>11</v>
      </c>
      <c r="G50" s="35">
        <v>1</v>
      </c>
      <c r="N50" s="35">
        <v>1</v>
      </c>
      <c r="R50" s="35">
        <v>26.6</v>
      </c>
      <c r="S50" s="35">
        <v>16.5</v>
      </c>
      <c r="T50" s="35">
        <v>25</v>
      </c>
      <c r="U50" s="35">
        <v>1.7</v>
      </c>
      <c r="V50" s="38">
        <f>R50*(1+S50)*原始运算表格!$P$2*原始运算表格!$Q$2</f>
        <v>465.5</v>
      </c>
      <c r="W50" s="38">
        <f>T50*(1+U50)*原始运算表格!$R$2*原始运算表格!$S$2</f>
        <v>337.5</v>
      </c>
      <c r="X50" s="38">
        <f t="shared" si="7"/>
        <v>7227</v>
      </c>
      <c r="Y50" s="38">
        <f t="shared" si="8"/>
        <v>8030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9</v>
      </c>
    </row>
    <row r="51" spans="1:26">
      <c r="A51" s="35">
        <v>1990</v>
      </c>
      <c r="B51" s="35">
        <f t="shared" si="6"/>
        <v>1991</v>
      </c>
      <c r="C51" s="35">
        <v>1</v>
      </c>
      <c r="D51" s="35">
        <v>1</v>
      </c>
      <c r="E51" s="35">
        <f t="shared" si="5"/>
        <v>12</v>
      </c>
      <c r="F51" s="35">
        <f t="shared" si="2"/>
        <v>12</v>
      </c>
      <c r="N51" s="35">
        <v>1</v>
      </c>
      <c r="R51" s="35">
        <v>25.1</v>
      </c>
      <c r="S51" s="35">
        <v>15.4</v>
      </c>
      <c r="T51" s="35">
        <v>22.7</v>
      </c>
      <c r="U51" s="35">
        <v>3.3</v>
      </c>
      <c r="V51" s="38">
        <f>R51*(1+S51)*原始运算表格!$P$2*原始运算表格!$Q$2</f>
        <v>411.64</v>
      </c>
      <c r="W51" s="38">
        <f>T51*(1+U51)*原始运算表格!$R$2*原始运算表格!$S$2</f>
        <v>488.05</v>
      </c>
      <c r="X51" s="38">
        <f t="shared" si="7"/>
        <v>899.69000000000017</v>
      </c>
      <c r="Y51" s="38">
        <f t="shared" si="8"/>
        <v>1799.38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1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12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12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12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12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1</v>
      </c>
      <c r="D56" s="35">
        <v>1</v>
      </c>
      <c r="E56" s="35">
        <f t="shared" si="5"/>
        <v>13</v>
      </c>
      <c r="F56" s="35">
        <f t="shared" si="2"/>
        <v>13</v>
      </c>
      <c r="R56" s="35">
        <v>21.1</v>
      </c>
      <c r="S56" s="35">
        <v>3.6</v>
      </c>
      <c r="T56" s="35">
        <v>19</v>
      </c>
      <c r="U56" s="35">
        <v>0.5</v>
      </c>
      <c r="V56" s="38">
        <f>R56*(1+S56)*原始运算表格!$P$2*原始运算表格!$Q$2</f>
        <v>97.06</v>
      </c>
      <c r="W56" s="38">
        <f>T56*(1+U56)*原始运算表格!$R$2*原始运算表格!$S$2</f>
        <v>142.5</v>
      </c>
      <c r="X56" s="38">
        <f t="shared" si="7"/>
        <v>0</v>
      </c>
      <c r="Y56" s="38">
        <f t="shared" si="8"/>
        <v>239.56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13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0</v>
      </c>
      <c r="D58" s="35">
        <v>0</v>
      </c>
      <c r="E58" s="35">
        <f t="shared" si="5"/>
        <v>13</v>
      </c>
      <c r="F58" s="35">
        <f t="shared" si="2"/>
        <v>0</v>
      </c>
      <c r="V58" s="38">
        <f>R58*(1+S58)*原始运算表格!$P$2*原始运算表格!$Q$2</f>
        <v>0</v>
      </c>
      <c r="W58" s="38">
        <f>T58*(1+U58)*原始运算表格!$R$2*原始运算表格!$S$2</f>
        <v>0</v>
      </c>
      <c r="X58" s="38">
        <f t="shared" si="7"/>
        <v>0</v>
      </c>
      <c r="Y58" s="38">
        <f t="shared" si="8"/>
        <v>0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13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13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13</v>
      </c>
      <c r="F61" s="35">
        <f t="shared" si="2"/>
        <v>0</v>
      </c>
      <c r="V61" s="38">
        <f>R61*(1+S61)*原始运算表格!$P$2*原始运算表格!$Q$2</f>
        <v>0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0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0</v>
      </c>
      <c r="D62" s="35">
        <v>0</v>
      </c>
      <c r="E62" s="35">
        <f t="shared" si="5"/>
        <v>13</v>
      </c>
      <c r="F62" s="35">
        <f t="shared" si="2"/>
        <v>0</v>
      </c>
      <c r="I62" s="42"/>
      <c r="J62" s="42"/>
      <c r="K62" s="42"/>
      <c r="L62" s="42"/>
      <c r="M62" s="42"/>
      <c r="P62" s="42"/>
      <c r="V62" s="38">
        <f>R62*(1+S62)*原始运算表格!$P$2*原始运算表格!$Q$2</f>
        <v>0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0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13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13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13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13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13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13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13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13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13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13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13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13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13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13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13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13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13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Z79"/>
  <sheetViews>
    <sheetView zoomScale="55" zoomScaleNormal="55" workbookViewId="0">
      <pane ySplit="6" topLeftCell="A55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29</v>
      </c>
    </row>
    <row r="5" spans="1:26" s="39" customFormat="1">
      <c r="A5" s="39" t="s">
        <v>22</v>
      </c>
      <c r="B5" s="40"/>
      <c r="C5" s="39">
        <f>SUM(C12:C105)</f>
        <v>19</v>
      </c>
      <c r="D5" s="39">
        <f>SUM(D12:D105)</f>
        <v>18</v>
      </c>
      <c r="G5" s="39">
        <f>SUM(G12:G105)</f>
        <v>2</v>
      </c>
      <c r="H5" s="39">
        <f t="shared" ref="H5:Z5" si="0">SUM(H12:H105)</f>
        <v>0</v>
      </c>
      <c r="I5" s="39">
        <f t="shared" si="0"/>
        <v>0</v>
      </c>
      <c r="J5" s="39">
        <f t="shared" si="0"/>
        <v>0</v>
      </c>
      <c r="K5" s="39">
        <f t="shared" si="0"/>
        <v>0</v>
      </c>
      <c r="L5" s="39">
        <f t="shared" si="0"/>
        <v>0</v>
      </c>
      <c r="M5" s="39">
        <f t="shared" si="0"/>
        <v>0</v>
      </c>
      <c r="N5" s="39">
        <f t="shared" si="0"/>
        <v>10</v>
      </c>
      <c r="O5" s="39">
        <f t="shared" si="0"/>
        <v>8</v>
      </c>
      <c r="P5" s="39">
        <f t="shared" si="0"/>
        <v>5</v>
      </c>
      <c r="Q5" s="39">
        <f t="shared" si="0"/>
        <v>3</v>
      </c>
      <c r="R5" s="39">
        <f t="shared" si="0"/>
        <v>454.69999999999987</v>
      </c>
      <c r="S5" s="39">
        <f t="shared" si="0"/>
        <v>206.29999999999998</v>
      </c>
      <c r="T5" s="39">
        <f t="shared" si="0"/>
        <v>423.40000000000003</v>
      </c>
      <c r="U5" s="39">
        <f t="shared" si="0"/>
        <v>37.900000000000013</v>
      </c>
      <c r="V5" s="41">
        <f t="shared" si="0"/>
        <v>5505.89</v>
      </c>
      <c r="W5" s="41">
        <f t="shared" si="0"/>
        <v>6895.4999999999991</v>
      </c>
      <c r="X5" s="41">
        <f t="shared" si="0"/>
        <v>78353.86</v>
      </c>
      <c r="Y5" s="41">
        <f t="shared" si="0"/>
        <v>90755.250000000015</v>
      </c>
      <c r="Z5" s="41">
        <f t="shared" si="0"/>
        <v>78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0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0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0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0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0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0</v>
      </c>
      <c r="D45" s="35">
        <v>0</v>
      </c>
      <c r="E45" s="35">
        <f t="shared" si="5"/>
        <v>0</v>
      </c>
      <c r="F45" s="35">
        <f t="shared" si="2"/>
        <v>0</v>
      </c>
      <c r="V45" s="38">
        <f>R45*(1+S45)*原始运算表格!$P$2*原始运算表格!$Q$2</f>
        <v>0</v>
      </c>
      <c r="W45" s="38">
        <f>T45*(1+U45)*原始运算表格!$R$2*原始运算表格!$S$2</f>
        <v>0</v>
      </c>
      <c r="X45" s="38">
        <f>Y45-W45-V45</f>
        <v>0</v>
      </c>
      <c r="Y45" s="38">
        <f>(V45+W45)*(1+Z45)</f>
        <v>0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0</v>
      </c>
      <c r="D46" s="35">
        <v>0</v>
      </c>
      <c r="E46" s="35">
        <f t="shared" si="5"/>
        <v>0</v>
      </c>
      <c r="F46" s="35">
        <f t="shared" si="2"/>
        <v>0</v>
      </c>
      <c r="V46" s="38">
        <f>R46*(1+S46)*原始运算表格!$P$2*原始运算表格!$Q$2</f>
        <v>0</v>
      </c>
      <c r="W46" s="38">
        <f>T46*(1+U46)*原始运算表格!$R$2*原始运算表格!$S$2</f>
        <v>0</v>
      </c>
      <c r="X46" s="38">
        <f t="shared" ref="X46:X79" si="7">Y46-W46-V46</f>
        <v>0</v>
      </c>
      <c r="Y46" s="38">
        <f t="shared" ref="Y46:Y79" si="8">(V46+W46)*(1+Z46)</f>
        <v>0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0</v>
      </c>
      <c r="D47" s="35">
        <v>0</v>
      </c>
      <c r="E47" s="35">
        <f t="shared" si="5"/>
        <v>0</v>
      </c>
      <c r="F47" s="35">
        <f t="shared" si="2"/>
        <v>0</v>
      </c>
      <c r="V47" s="38">
        <f>R47*(1+S47)*原始运算表格!$P$2*原始运算表格!$Q$2</f>
        <v>0</v>
      </c>
      <c r="W47" s="38">
        <f>T47*(1+U47)*原始运算表格!$R$2*原始运算表格!$S$2</f>
        <v>0</v>
      </c>
      <c r="X47" s="38">
        <f t="shared" si="7"/>
        <v>0</v>
      </c>
      <c r="Y47" s="38">
        <f t="shared" si="8"/>
        <v>0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35">
        <v>1987</v>
      </c>
      <c r="B48" s="35">
        <f t="shared" si="6"/>
        <v>1988</v>
      </c>
      <c r="C48" s="35">
        <v>0</v>
      </c>
      <c r="D48" s="35">
        <v>0</v>
      </c>
      <c r="E48" s="35">
        <f t="shared" si="5"/>
        <v>0</v>
      </c>
      <c r="F48" s="35">
        <f t="shared" si="2"/>
        <v>0</v>
      </c>
      <c r="V48" s="38">
        <f>R48*(1+S48)*原始运算表格!$P$2*原始运算表格!$Q$2</f>
        <v>0</v>
      </c>
      <c r="W48" s="38">
        <f>T48*(1+U48)*原始运算表格!$R$2*原始运算表格!$S$2</f>
        <v>0</v>
      </c>
      <c r="X48" s="38">
        <f t="shared" si="7"/>
        <v>0</v>
      </c>
      <c r="Y48" s="38">
        <f t="shared" si="8"/>
        <v>0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35">
        <v>1988</v>
      </c>
      <c r="B49" s="35">
        <f t="shared" si="6"/>
        <v>1989</v>
      </c>
      <c r="C49" s="35">
        <v>0</v>
      </c>
      <c r="D49" s="35">
        <v>0</v>
      </c>
      <c r="E49" s="35">
        <f t="shared" si="5"/>
        <v>0</v>
      </c>
      <c r="F49" s="35">
        <f t="shared" si="2"/>
        <v>0</v>
      </c>
      <c r="V49" s="38">
        <f>R49*(1+S49)*原始运算表格!$P$2*原始运算表格!$Q$2</f>
        <v>0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0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0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0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0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0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0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0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0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0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1</v>
      </c>
      <c r="D58" s="35">
        <v>1</v>
      </c>
      <c r="E58" s="35">
        <f t="shared" si="5"/>
        <v>1</v>
      </c>
      <c r="F58" s="35">
        <f t="shared" si="2"/>
        <v>1</v>
      </c>
      <c r="N58" s="35">
        <v>1</v>
      </c>
      <c r="R58" s="35">
        <v>22.6</v>
      </c>
      <c r="S58" s="35">
        <v>12.8</v>
      </c>
      <c r="T58" s="35">
        <v>20.399999999999999</v>
      </c>
      <c r="U58" s="35">
        <v>1.2</v>
      </c>
      <c r="V58" s="38">
        <f>R58*(1+S58)*原始运算表格!$P$2*原始运算表格!$Q$2</f>
        <v>311.88000000000005</v>
      </c>
      <c r="W58" s="38">
        <f>T58*(1+U58)*原始运算表格!$R$2*原始运算表格!$S$2</f>
        <v>224.4</v>
      </c>
      <c r="X58" s="38">
        <f t="shared" si="7"/>
        <v>536.2800000000002</v>
      </c>
      <c r="Y58" s="38">
        <f t="shared" si="8"/>
        <v>1072.5600000000002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1</v>
      </c>
    </row>
    <row r="59" spans="1:26">
      <c r="A59" s="35">
        <v>1998</v>
      </c>
      <c r="B59" s="35">
        <f t="shared" si="6"/>
        <v>1999</v>
      </c>
      <c r="C59" s="35">
        <v>1</v>
      </c>
      <c r="D59" s="35">
        <v>1</v>
      </c>
      <c r="E59" s="35">
        <f t="shared" si="5"/>
        <v>2</v>
      </c>
      <c r="F59" s="35">
        <f t="shared" si="2"/>
        <v>2</v>
      </c>
      <c r="N59" s="35">
        <v>1</v>
      </c>
      <c r="O59" s="35">
        <v>1</v>
      </c>
      <c r="P59" s="35">
        <v>1</v>
      </c>
      <c r="Q59" s="35">
        <v>1</v>
      </c>
      <c r="R59" s="35">
        <v>23.2</v>
      </c>
      <c r="S59" s="35">
        <v>8.6999999999999993</v>
      </c>
      <c r="T59" s="35">
        <v>25.1</v>
      </c>
      <c r="U59" s="35">
        <v>3.7</v>
      </c>
      <c r="V59" s="38">
        <f>R59*(1+S59)*原始运算表格!$P$2*原始运算表格!$Q$2</f>
        <v>225.03999999999996</v>
      </c>
      <c r="W59" s="38">
        <f>T59*(1+U59)*原始运算表格!$R$2*原始运算表格!$S$2</f>
        <v>589.85</v>
      </c>
      <c r="X59" s="38">
        <f t="shared" si="7"/>
        <v>11408.46</v>
      </c>
      <c r="Y59" s="38">
        <f t="shared" si="8"/>
        <v>12223.35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14</v>
      </c>
    </row>
    <row r="60" spans="1:26">
      <c r="A60" s="35">
        <v>1999</v>
      </c>
      <c r="B60" s="35">
        <f t="shared" si="6"/>
        <v>2000</v>
      </c>
      <c r="C60" s="35">
        <v>1</v>
      </c>
      <c r="D60" s="35">
        <v>0</v>
      </c>
      <c r="E60" s="35">
        <f t="shared" si="5"/>
        <v>3</v>
      </c>
      <c r="F60" s="35">
        <f t="shared" si="2"/>
        <v>3</v>
      </c>
      <c r="N60" s="35">
        <v>1</v>
      </c>
      <c r="O60" s="35">
        <v>1</v>
      </c>
      <c r="R60" s="35">
        <v>24.8</v>
      </c>
      <c r="S60" s="35">
        <v>13</v>
      </c>
      <c r="V60" s="38">
        <f>R60*(1+S60)*原始运算表格!$P$2*原始运算表格!$Q$2</f>
        <v>347.2</v>
      </c>
      <c r="W60" s="38">
        <f>T60*(1+U60)*原始运算表格!$R$2*原始运算表格!$S$2</f>
        <v>0</v>
      </c>
      <c r="X60" s="38">
        <f t="shared" si="7"/>
        <v>694.39999999999986</v>
      </c>
      <c r="Y60" s="38">
        <f t="shared" si="8"/>
        <v>1041.5999999999999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2</v>
      </c>
    </row>
    <row r="61" spans="1:26">
      <c r="A61" s="35">
        <v>2000</v>
      </c>
      <c r="B61" s="35">
        <f t="shared" si="6"/>
        <v>2001</v>
      </c>
      <c r="C61" s="35">
        <v>1</v>
      </c>
      <c r="D61" s="35">
        <v>1</v>
      </c>
      <c r="E61" s="35">
        <f t="shared" si="5"/>
        <v>4</v>
      </c>
      <c r="F61" s="35">
        <f t="shared" si="2"/>
        <v>4</v>
      </c>
      <c r="N61" s="35">
        <v>1</v>
      </c>
      <c r="O61" s="35">
        <v>1</v>
      </c>
      <c r="R61" s="35">
        <v>23.8</v>
      </c>
      <c r="S61" s="35">
        <v>13.2</v>
      </c>
      <c r="T61" s="35">
        <v>25.4</v>
      </c>
      <c r="U61" s="35">
        <v>1.9</v>
      </c>
      <c r="V61" s="38">
        <f>R61*(1+S61)*原始运算表格!$P$2*原始运算表格!$Q$2</f>
        <v>337.96</v>
      </c>
      <c r="W61" s="38">
        <f>T61*(1+U61)*原始运算表格!$R$2*原始运算表格!$S$2</f>
        <v>368.29999999999995</v>
      </c>
      <c r="X61" s="38">
        <f t="shared" si="7"/>
        <v>1412.5199999999998</v>
      </c>
      <c r="Y61" s="38">
        <f t="shared" si="8"/>
        <v>2118.7799999999997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2</v>
      </c>
    </row>
    <row r="62" spans="1:26">
      <c r="A62" s="35">
        <v>2001</v>
      </c>
      <c r="B62" s="35">
        <f t="shared" si="6"/>
        <v>2002</v>
      </c>
      <c r="C62" s="35">
        <v>1</v>
      </c>
      <c r="D62" s="35">
        <v>1</v>
      </c>
      <c r="E62" s="35">
        <f t="shared" si="5"/>
        <v>5</v>
      </c>
      <c r="F62" s="35">
        <f t="shared" si="2"/>
        <v>5</v>
      </c>
      <c r="G62" s="35">
        <v>1</v>
      </c>
      <c r="I62" s="42"/>
      <c r="J62" s="42"/>
      <c r="K62" s="42"/>
      <c r="L62" s="42"/>
      <c r="M62" s="42"/>
      <c r="N62" s="35">
        <v>1</v>
      </c>
      <c r="O62" s="35">
        <v>1</v>
      </c>
      <c r="P62" s="42"/>
      <c r="R62" s="35">
        <v>27</v>
      </c>
      <c r="S62" s="35">
        <v>17.8</v>
      </c>
      <c r="T62" s="35">
        <v>31.8</v>
      </c>
      <c r="U62" s="35">
        <v>2</v>
      </c>
      <c r="V62" s="38">
        <f>R62*(1+S62)*原始运算表格!$P$2*原始运算表格!$Q$2</f>
        <v>507.6</v>
      </c>
      <c r="W62" s="38">
        <f>T62*(1+U62)*原始运算表格!$R$2*原始运算表格!$S$2</f>
        <v>477</v>
      </c>
      <c r="X62" s="38">
        <f t="shared" si="7"/>
        <v>9846</v>
      </c>
      <c r="Y62" s="38">
        <f t="shared" si="8"/>
        <v>10830.6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10</v>
      </c>
    </row>
    <row r="63" spans="1:26">
      <c r="A63" s="35">
        <v>2002</v>
      </c>
      <c r="B63" s="35">
        <f t="shared" si="6"/>
        <v>2003</v>
      </c>
      <c r="C63" s="35">
        <v>1</v>
      </c>
      <c r="D63" s="35">
        <v>1</v>
      </c>
      <c r="E63" s="35">
        <f t="shared" si="5"/>
        <v>6</v>
      </c>
      <c r="F63" s="35">
        <f t="shared" si="2"/>
        <v>6</v>
      </c>
      <c r="G63" s="35">
        <v>1</v>
      </c>
      <c r="I63" s="42"/>
      <c r="J63" s="42"/>
      <c r="K63" s="42"/>
      <c r="L63" s="42"/>
      <c r="M63" s="42"/>
      <c r="N63" s="35">
        <v>1</v>
      </c>
      <c r="O63" s="35">
        <v>1</v>
      </c>
      <c r="P63" s="35">
        <v>1</v>
      </c>
      <c r="Q63" s="35">
        <v>1</v>
      </c>
      <c r="R63" s="35">
        <v>26.9</v>
      </c>
      <c r="S63" s="35">
        <v>16.5</v>
      </c>
      <c r="T63" s="35">
        <v>28.4</v>
      </c>
      <c r="U63" s="35">
        <v>5.9</v>
      </c>
      <c r="V63" s="38">
        <f>R63*(1+S63)*原始运算表格!$P$2*原始运算表格!$Q$2</f>
        <v>470.75</v>
      </c>
      <c r="W63" s="38">
        <f>T63*(1+U63)*原始运算表格!$R$2*原始运算表格!$S$2</f>
        <v>979.80000000000007</v>
      </c>
      <c r="X63" s="38">
        <f t="shared" si="7"/>
        <v>31912.100000000002</v>
      </c>
      <c r="Y63" s="38">
        <f t="shared" si="8"/>
        <v>33362.65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22</v>
      </c>
    </row>
    <row r="64" spans="1:26">
      <c r="A64" s="35">
        <v>2003</v>
      </c>
      <c r="B64" s="35">
        <f t="shared" si="6"/>
        <v>2004</v>
      </c>
      <c r="C64" s="35">
        <v>1</v>
      </c>
      <c r="D64" s="35">
        <v>1</v>
      </c>
      <c r="E64" s="35">
        <f t="shared" si="5"/>
        <v>7</v>
      </c>
      <c r="F64" s="35">
        <f t="shared" si="2"/>
        <v>7</v>
      </c>
      <c r="N64" s="35">
        <v>1</v>
      </c>
      <c r="R64" s="35">
        <v>27.1</v>
      </c>
      <c r="S64" s="35">
        <v>13.1</v>
      </c>
      <c r="T64" s="35">
        <v>24.1</v>
      </c>
      <c r="U64" s="35">
        <v>1.5</v>
      </c>
      <c r="V64" s="38">
        <f>R64*(1+S64)*原始运算表格!$P$2*原始运算表格!$Q$2</f>
        <v>382.11</v>
      </c>
      <c r="W64" s="38">
        <f>T64*(1+U64)*原始运算表格!$R$2*原始运算表格!$S$2</f>
        <v>301.25</v>
      </c>
      <c r="X64" s="38">
        <f t="shared" si="7"/>
        <v>683.36</v>
      </c>
      <c r="Y64" s="38">
        <f t="shared" si="8"/>
        <v>1366.72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1</v>
      </c>
    </row>
    <row r="65" spans="1:26">
      <c r="A65" s="35">
        <v>2004</v>
      </c>
      <c r="B65" s="35">
        <f t="shared" si="6"/>
        <v>2005</v>
      </c>
      <c r="C65" s="35">
        <v>1</v>
      </c>
      <c r="D65" s="35">
        <v>1</v>
      </c>
      <c r="E65" s="35">
        <f t="shared" si="5"/>
        <v>8</v>
      </c>
      <c r="F65" s="35">
        <f t="shared" si="2"/>
        <v>8</v>
      </c>
      <c r="N65" s="35">
        <v>1</v>
      </c>
      <c r="O65" s="35">
        <v>1</v>
      </c>
      <c r="P65" s="35">
        <v>1</v>
      </c>
      <c r="Q65" s="35">
        <v>1</v>
      </c>
      <c r="R65" s="35">
        <v>27</v>
      </c>
      <c r="S65" s="35">
        <v>11.2</v>
      </c>
      <c r="T65" s="35">
        <v>24.9</v>
      </c>
      <c r="U65" s="35">
        <v>3.5</v>
      </c>
      <c r="V65" s="38">
        <f>R65*(1+S65)*原始运算表格!$P$2*原始运算表格!$Q$2</f>
        <v>329.4</v>
      </c>
      <c r="W65" s="38">
        <f>T65*(1+U65)*原始运算表格!$R$2*原始运算表格!$S$2</f>
        <v>560.25</v>
      </c>
      <c r="X65" s="38">
        <f t="shared" si="7"/>
        <v>12455.1</v>
      </c>
      <c r="Y65" s="38">
        <f t="shared" si="8"/>
        <v>13344.75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14</v>
      </c>
    </row>
    <row r="66" spans="1:26">
      <c r="A66" s="35">
        <v>2005</v>
      </c>
      <c r="B66" s="35">
        <f t="shared" si="6"/>
        <v>2006</v>
      </c>
      <c r="C66" s="35">
        <v>1</v>
      </c>
      <c r="D66" s="35">
        <v>1</v>
      </c>
      <c r="E66" s="35">
        <f t="shared" si="5"/>
        <v>9</v>
      </c>
      <c r="F66" s="35">
        <f t="shared" si="2"/>
        <v>9</v>
      </c>
      <c r="R66" s="35">
        <v>23.1</v>
      </c>
      <c r="S66" s="35">
        <v>10.8</v>
      </c>
      <c r="T66" s="35">
        <v>30.4</v>
      </c>
      <c r="U66" s="35">
        <v>2.6</v>
      </c>
      <c r="V66" s="38">
        <f>R66*(1+S66)*原始运算表格!$P$2*原始运算表格!$Q$2</f>
        <v>272.58000000000004</v>
      </c>
      <c r="W66" s="38">
        <f>T66*(1+U66)*原始运算表格!$R$2*原始运算表格!$S$2</f>
        <v>547.20000000000005</v>
      </c>
      <c r="X66" s="38">
        <f t="shared" si="7"/>
        <v>0</v>
      </c>
      <c r="Y66" s="38">
        <f t="shared" si="8"/>
        <v>819.78000000000009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1</v>
      </c>
      <c r="D67" s="35">
        <v>1</v>
      </c>
      <c r="E67" s="35">
        <f t="shared" si="5"/>
        <v>10</v>
      </c>
      <c r="F67" s="35">
        <f t="shared" si="2"/>
        <v>10</v>
      </c>
      <c r="N67" s="35">
        <v>1</v>
      </c>
      <c r="O67" s="35">
        <v>1</v>
      </c>
      <c r="P67" s="35">
        <v>1</v>
      </c>
      <c r="R67" s="35">
        <v>26.1</v>
      </c>
      <c r="S67" s="35">
        <v>13</v>
      </c>
      <c r="T67" s="35">
        <v>27.4</v>
      </c>
      <c r="U67" s="35">
        <v>3.3</v>
      </c>
      <c r="V67" s="38">
        <f>R67*(1+S67)*原始运算表格!$P$2*原始运算表格!$Q$2</f>
        <v>365.40000000000003</v>
      </c>
      <c r="W67" s="38">
        <f>T67*(1+U67)*原始运算表格!$R$2*原始运算表格!$S$2</f>
        <v>589.09999999999991</v>
      </c>
      <c r="X67" s="38">
        <f t="shared" si="7"/>
        <v>5727</v>
      </c>
      <c r="Y67" s="38">
        <f t="shared" si="8"/>
        <v>6681.5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6</v>
      </c>
    </row>
    <row r="68" spans="1:26">
      <c r="A68" s="35">
        <v>2007</v>
      </c>
      <c r="B68" s="35">
        <f t="shared" si="6"/>
        <v>2008</v>
      </c>
      <c r="C68" s="35">
        <v>1</v>
      </c>
      <c r="D68" s="35">
        <v>1</v>
      </c>
      <c r="E68" s="35">
        <f t="shared" si="5"/>
        <v>11</v>
      </c>
      <c r="F68" s="35">
        <f t="shared" si="2"/>
        <v>11</v>
      </c>
      <c r="O68" s="35">
        <v>1</v>
      </c>
      <c r="R68" s="35">
        <v>24.4</v>
      </c>
      <c r="S68" s="35">
        <v>11.1</v>
      </c>
      <c r="T68" s="35">
        <v>21.9</v>
      </c>
      <c r="U68" s="35">
        <v>1.7</v>
      </c>
      <c r="V68" s="38">
        <f>R68*(1+S68)*原始运算表格!$P$2*原始运算表格!$Q$2</f>
        <v>295.23999999999995</v>
      </c>
      <c r="W68" s="38">
        <f>T68*(1+U68)*原始运算表格!$R$2*原始运算表格!$S$2</f>
        <v>295.65000000000003</v>
      </c>
      <c r="X68" s="38">
        <f t="shared" si="7"/>
        <v>590.88999999999987</v>
      </c>
      <c r="Y68" s="38">
        <f t="shared" si="8"/>
        <v>1181.78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1</v>
      </c>
    </row>
    <row r="69" spans="1:26">
      <c r="A69" s="35">
        <v>2008</v>
      </c>
      <c r="B69" s="35">
        <f t="shared" si="6"/>
        <v>2009</v>
      </c>
      <c r="C69" s="35">
        <v>1</v>
      </c>
      <c r="D69" s="35">
        <v>1</v>
      </c>
      <c r="E69" s="35">
        <f t="shared" si="5"/>
        <v>12</v>
      </c>
      <c r="F69" s="35">
        <f t="shared" si="2"/>
        <v>12</v>
      </c>
      <c r="R69" s="35">
        <v>24.4</v>
      </c>
      <c r="S69" s="35">
        <v>10.1</v>
      </c>
      <c r="T69" s="35">
        <v>27.3</v>
      </c>
      <c r="U69" s="35">
        <v>0.6</v>
      </c>
      <c r="V69" s="38">
        <f>R69*(1+S69)*原始运算表格!$P$2*原始运算表格!$Q$2</f>
        <v>270.83999999999997</v>
      </c>
      <c r="W69" s="38">
        <f>T69*(1+U69)*原始运算表格!$R$2*原始运算表格!$S$2</f>
        <v>218.40000000000003</v>
      </c>
      <c r="X69" s="38">
        <f t="shared" si="7"/>
        <v>0</v>
      </c>
      <c r="Y69" s="38">
        <f t="shared" si="8"/>
        <v>489.24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1</v>
      </c>
      <c r="D70" s="35">
        <v>1</v>
      </c>
      <c r="E70" s="35">
        <f t="shared" si="5"/>
        <v>13</v>
      </c>
      <c r="F70" s="35">
        <f t="shared" si="2"/>
        <v>13</v>
      </c>
      <c r="R70" s="35">
        <v>24.7</v>
      </c>
      <c r="S70" s="35">
        <v>10.9</v>
      </c>
      <c r="T70" s="35">
        <v>19.7</v>
      </c>
      <c r="U70" s="35">
        <v>0.7</v>
      </c>
      <c r="V70" s="38">
        <f>R70*(1+S70)*原始运算表格!$P$2*原始运算表格!$Q$2</f>
        <v>293.93</v>
      </c>
      <c r="W70" s="38">
        <f>T70*(1+U70)*原始运算表格!$R$2*原始运算表格!$S$2</f>
        <v>167.45</v>
      </c>
      <c r="X70" s="38">
        <f t="shared" si="7"/>
        <v>0</v>
      </c>
      <c r="Y70" s="38">
        <f t="shared" si="8"/>
        <v>461.38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1</v>
      </c>
      <c r="D71" s="35">
        <v>1</v>
      </c>
      <c r="E71" s="35">
        <f t="shared" si="5"/>
        <v>14</v>
      </c>
      <c r="F71" s="35">
        <f t="shared" ref="F71:F79" si="9">C71*E71</f>
        <v>14</v>
      </c>
      <c r="R71" s="35">
        <v>21.9</v>
      </c>
      <c r="S71" s="35">
        <v>7.7</v>
      </c>
      <c r="T71" s="35">
        <v>15.5</v>
      </c>
      <c r="U71" s="35">
        <v>0.2</v>
      </c>
      <c r="V71" s="38">
        <f>R71*(1+S71)*原始运算表格!$P$2*原始运算表格!$Q$2</f>
        <v>190.52999999999997</v>
      </c>
      <c r="W71" s="38">
        <f>T71*(1+U71)*原始运算表格!$R$2*原始运算表格!$S$2</f>
        <v>92.999999999999986</v>
      </c>
      <c r="X71" s="38">
        <f t="shared" si="7"/>
        <v>0</v>
      </c>
      <c r="Y71" s="38">
        <f t="shared" si="8"/>
        <v>283.52999999999997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1</v>
      </c>
      <c r="D72" s="35">
        <v>1</v>
      </c>
      <c r="E72" s="35">
        <f t="shared" si="5"/>
        <v>15</v>
      </c>
      <c r="F72" s="35">
        <f t="shared" si="9"/>
        <v>15</v>
      </c>
      <c r="R72" s="35">
        <v>22.5</v>
      </c>
      <c r="S72" s="35">
        <v>5.9</v>
      </c>
      <c r="T72" s="35">
        <v>22.9</v>
      </c>
      <c r="U72" s="35">
        <v>1.8</v>
      </c>
      <c r="V72" s="38">
        <f>R72*(1+S72)*原始运算表格!$P$2*原始运算表格!$Q$2</f>
        <v>155.25</v>
      </c>
      <c r="W72" s="38">
        <f>T72*(1+U72)*原始运算表格!$R$2*原始运算表格!$S$2</f>
        <v>320.59999999999997</v>
      </c>
      <c r="X72" s="38">
        <f t="shared" si="7"/>
        <v>0</v>
      </c>
      <c r="Y72" s="38">
        <f t="shared" si="8"/>
        <v>475.84999999999997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1</v>
      </c>
      <c r="D73" s="35">
        <v>1</v>
      </c>
      <c r="E73" s="35">
        <f t="shared" ref="E73:E79" si="10">E72+C73</f>
        <v>16</v>
      </c>
      <c r="F73" s="35">
        <f t="shared" si="9"/>
        <v>16</v>
      </c>
      <c r="N73" s="35">
        <v>1</v>
      </c>
      <c r="R73" s="35">
        <v>24.4</v>
      </c>
      <c r="S73" s="35">
        <v>8.3000000000000007</v>
      </c>
      <c r="T73" s="35">
        <v>21.3</v>
      </c>
      <c r="U73" s="35">
        <v>2.5</v>
      </c>
      <c r="V73" s="38">
        <f>R73*(1+S73)*原始运算表格!$P$2*原始运算表格!$Q$2</f>
        <v>226.92000000000002</v>
      </c>
      <c r="W73" s="38">
        <f>T73*(1+U73)*原始运算表格!$R$2*原始运算表格!$S$2</f>
        <v>372.75</v>
      </c>
      <c r="X73" s="38">
        <f t="shared" si="7"/>
        <v>599.67000000000007</v>
      </c>
      <c r="Y73" s="38">
        <f t="shared" si="8"/>
        <v>1199.3400000000001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1</v>
      </c>
    </row>
    <row r="74" spans="1:26">
      <c r="A74" s="35">
        <v>2013</v>
      </c>
      <c r="B74" s="35">
        <f t="shared" si="6"/>
        <v>2014</v>
      </c>
      <c r="C74" s="35">
        <v>1</v>
      </c>
      <c r="D74" s="35">
        <v>1</v>
      </c>
      <c r="E74" s="35">
        <f t="shared" si="10"/>
        <v>17</v>
      </c>
      <c r="F74" s="35">
        <f t="shared" si="9"/>
        <v>17</v>
      </c>
      <c r="P74" s="35">
        <v>1</v>
      </c>
      <c r="R74" s="35">
        <v>21.3</v>
      </c>
      <c r="S74" s="35">
        <v>7.4</v>
      </c>
      <c r="T74" s="35">
        <v>21.1</v>
      </c>
      <c r="U74" s="35">
        <v>3.2</v>
      </c>
      <c r="V74" s="38">
        <f>R74*(1+S74)*原始运算表格!$P$2*原始运算表格!$Q$2</f>
        <v>178.92000000000002</v>
      </c>
      <c r="W74" s="38">
        <f>T74*(1+U74)*原始运算表格!$R$2*原始运算表格!$S$2</f>
        <v>443.1</v>
      </c>
      <c r="X74" s="38">
        <f t="shared" si="7"/>
        <v>2488.08</v>
      </c>
      <c r="Y74" s="38">
        <f t="shared" si="8"/>
        <v>3110.1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4</v>
      </c>
    </row>
    <row r="75" spans="1:26">
      <c r="A75" s="35">
        <v>2014</v>
      </c>
      <c r="B75" s="35">
        <f t="shared" si="6"/>
        <v>2015</v>
      </c>
      <c r="C75" s="35">
        <v>1</v>
      </c>
      <c r="D75" s="35">
        <v>1</v>
      </c>
      <c r="E75" s="35">
        <f t="shared" si="10"/>
        <v>18</v>
      </c>
      <c r="F75" s="35">
        <f t="shared" si="9"/>
        <v>18</v>
      </c>
      <c r="R75" s="35">
        <v>22.6</v>
      </c>
      <c r="S75" s="35">
        <v>9.6</v>
      </c>
      <c r="T75" s="35">
        <v>24.2</v>
      </c>
      <c r="U75" s="35">
        <v>1.2</v>
      </c>
      <c r="V75" s="38">
        <f>R75*(1+S75)*原始运算表格!$P$2*原始运算表格!$Q$2</f>
        <v>239.56</v>
      </c>
      <c r="W75" s="38">
        <f>T75*(1+U75)*原始运算表格!$R$2*原始运算表格!$S$2</f>
        <v>266.2</v>
      </c>
      <c r="X75" s="38">
        <f t="shared" si="7"/>
        <v>0</v>
      </c>
      <c r="Y75" s="38">
        <f t="shared" si="8"/>
        <v>505.76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1</v>
      </c>
      <c r="D76" s="35">
        <v>1</v>
      </c>
      <c r="E76" s="35">
        <f t="shared" si="10"/>
        <v>19</v>
      </c>
      <c r="F76" s="35">
        <f t="shared" si="9"/>
        <v>19</v>
      </c>
      <c r="R76" s="35">
        <v>16.899999999999999</v>
      </c>
      <c r="S76" s="35">
        <v>5.2</v>
      </c>
      <c r="T76" s="35">
        <v>11.6</v>
      </c>
      <c r="U76" s="35">
        <v>0.4</v>
      </c>
      <c r="V76" s="38">
        <f>R76*(1+S76)*原始运算表格!$P$2*原始运算表格!$Q$2</f>
        <v>104.78</v>
      </c>
      <c r="W76" s="38">
        <f>T76*(1+U76)*原始运算表格!$R$2*原始运算表格!$S$2</f>
        <v>81.199999999999989</v>
      </c>
      <c r="X76" s="38">
        <f t="shared" si="7"/>
        <v>0</v>
      </c>
      <c r="Y76" s="38">
        <f t="shared" si="8"/>
        <v>185.98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E77" s="35">
        <f t="shared" si="10"/>
        <v>19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E78" s="35">
        <f t="shared" si="10"/>
        <v>19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E79" s="35">
        <f t="shared" si="10"/>
        <v>19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79"/>
  <sheetViews>
    <sheetView zoomScale="55" zoomScaleNormal="55" workbookViewId="0">
      <pane ySplit="6" topLeftCell="A43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30</v>
      </c>
    </row>
    <row r="5" spans="1:26" s="39" customFormat="1">
      <c r="A5" s="39" t="s">
        <v>22</v>
      </c>
      <c r="B5" s="40"/>
      <c r="C5" s="39">
        <f>SUM(C12:C105)</f>
        <v>19</v>
      </c>
      <c r="D5" s="39">
        <f>SUM(D12:D105)</f>
        <v>17</v>
      </c>
      <c r="G5" s="39">
        <f>SUM(G12:G105)</f>
        <v>1</v>
      </c>
      <c r="H5" s="39">
        <f t="shared" ref="H5:Z5" si="0">SUM(H12:H105)</f>
        <v>2</v>
      </c>
      <c r="I5" s="39">
        <f t="shared" si="0"/>
        <v>0</v>
      </c>
      <c r="J5" s="39">
        <f t="shared" si="0"/>
        <v>0</v>
      </c>
      <c r="K5" s="39">
        <f t="shared" si="0"/>
        <v>0</v>
      </c>
      <c r="L5" s="39">
        <f t="shared" si="0"/>
        <v>0</v>
      </c>
      <c r="M5" s="39">
        <f t="shared" si="0"/>
        <v>0</v>
      </c>
      <c r="N5" s="39">
        <f t="shared" si="0"/>
        <v>8</v>
      </c>
      <c r="O5" s="39">
        <f t="shared" si="0"/>
        <v>0</v>
      </c>
      <c r="P5" s="39">
        <f t="shared" si="0"/>
        <v>4</v>
      </c>
      <c r="Q5" s="39">
        <f t="shared" si="0"/>
        <v>3</v>
      </c>
      <c r="R5" s="39">
        <f t="shared" si="0"/>
        <v>485.09999999999991</v>
      </c>
      <c r="S5" s="39">
        <f t="shared" si="0"/>
        <v>181.60000000000002</v>
      </c>
      <c r="T5" s="39">
        <f t="shared" si="0"/>
        <v>399.59999999999997</v>
      </c>
      <c r="U5" s="39">
        <f t="shared" si="0"/>
        <v>31.2</v>
      </c>
      <c r="V5" s="41">
        <f t="shared" si="0"/>
        <v>5448.9</v>
      </c>
      <c r="W5" s="41">
        <f t="shared" si="0"/>
        <v>6269.5</v>
      </c>
      <c r="X5" s="41">
        <f t="shared" si="0"/>
        <v>70286.159999999989</v>
      </c>
      <c r="Y5" s="41">
        <f t="shared" si="0"/>
        <v>82004.560000000012</v>
      </c>
      <c r="Z5" s="41">
        <f t="shared" si="0"/>
        <v>60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0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0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0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0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0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0</v>
      </c>
      <c r="D45" s="35">
        <v>0</v>
      </c>
      <c r="E45" s="35">
        <f t="shared" si="5"/>
        <v>0</v>
      </c>
      <c r="F45" s="35">
        <f t="shared" si="2"/>
        <v>0</v>
      </c>
      <c r="V45" s="38">
        <f>R45*(1+S45)*原始运算表格!$P$2*原始运算表格!$Q$2</f>
        <v>0</v>
      </c>
      <c r="W45" s="38">
        <f>T45*(1+U45)*原始运算表格!$R$2*原始运算表格!$S$2</f>
        <v>0</v>
      </c>
      <c r="X45" s="38">
        <f>Y45-W45-V45</f>
        <v>0</v>
      </c>
      <c r="Y45" s="38">
        <f>(V45+W45)*(1+Z45)</f>
        <v>0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0</v>
      </c>
      <c r="D46" s="35">
        <v>0</v>
      </c>
      <c r="E46" s="35">
        <f t="shared" si="5"/>
        <v>0</v>
      </c>
      <c r="F46" s="35">
        <f t="shared" si="2"/>
        <v>0</v>
      </c>
      <c r="V46" s="38">
        <f>R46*(1+S46)*原始运算表格!$P$2*原始运算表格!$Q$2</f>
        <v>0</v>
      </c>
      <c r="W46" s="38">
        <f>T46*(1+U46)*原始运算表格!$R$2*原始运算表格!$S$2</f>
        <v>0</v>
      </c>
      <c r="X46" s="38">
        <f t="shared" ref="X46:X79" si="7">Y46-W46-V46</f>
        <v>0</v>
      </c>
      <c r="Y46" s="38">
        <f t="shared" ref="Y46:Y79" si="8">(V46+W46)*(1+Z46)</f>
        <v>0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0</v>
      </c>
      <c r="D47" s="35">
        <v>0</v>
      </c>
      <c r="E47" s="35">
        <f t="shared" si="5"/>
        <v>0</v>
      </c>
      <c r="F47" s="35">
        <f t="shared" si="2"/>
        <v>0</v>
      </c>
      <c r="V47" s="38">
        <f>R47*(1+S47)*原始运算表格!$P$2*原始运算表格!$Q$2</f>
        <v>0</v>
      </c>
      <c r="W47" s="38">
        <f>T47*(1+U47)*原始运算表格!$R$2*原始运算表格!$S$2</f>
        <v>0</v>
      </c>
      <c r="X47" s="38">
        <f t="shared" si="7"/>
        <v>0</v>
      </c>
      <c r="Y47" s="38">
        <f t="shared" si="8"/>
        <v>0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35">
        <v>1987</v>
      </c>
      <c r="B48" s="35">
        <f t="shared" si="6"/>
        <v>1988</v>
      </c>
      <c r="C48" s="35">
        <v>0</v>
      </c>
      <c r="D48" s="35">
        <v>0</v>
      </c>
      <c r="E48" s="35">
        <f t="shared" si="5"/>
        <v>0</v>
      </c>
      <c r="F48" s="35">
        <f t="shared" si="2"/>
        <v>0</v>
      </c>
      <c r="V48" s="38">
        <f>R48*(1+S48)*原始运算表格!$P$2*原始运算表格!$Q$2</f>
        <v>0</v>
      </c>
      <c r="W48" s="38">
        <f>T48*(1+U48)*原始运算表格!$R$2*原始运算表格!$S$2</f>
        <v>0</v>
      </c>
      <c r="X48" s="38">
        <f t="shared" si="7"/>
        <v>0</v>
      </c>
      <c r="Y48" s="38">
        <f t="shared" si="8"/>
        <v>0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35">
        <v>1988</v>
      </c>
      <c r="B49" s="35">
        <f t="shared" si="6"/>
        <v>1989</v>
      </c>
      <c r="C49" s="35">
        <v>0</v>
      </c>
      <c r="D49" s="35">
        <v>0</v>
      </c>
      <c r="E49" s="35">
        <f t="shared" si="5"/>
        <v>0</v>
      </c>
      <c r="F49" s="35">
        <f t="shared" si="2"/>
        <v>0</v>
      </c>
      <c r="V49" s="38">
        <f>R49*(1+S49)*原始运算表格!$P$2*原始运算表格!$Q$2</f>
        <v>0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0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0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0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0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1</v>
      </c>
      <c r="D53" s="35">
        <v>0</v>
      </c>
      <c r="E53" s="35">
        <f t="shared" si="5"/>
        <v>1</v>
      </c>
      <c r="F53" s="35">
        <f t="shared" si="2"/>
        <v>1</v>
      </c>
      <c r="R53" s="35">
        <v>22.9</v>
      </c>
      <c r="S53" s="35">
        <v>10.4</v>
      </c>
      <c r="V53" s="38">
        <f>R53*(1+S53)*原始运算表格!$P$2*原始运算表格!$Q$2</f>
        <v>261.06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261.06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1</v>
      </c>
      <c r="D54" s="35">
        <v>1</v>
      </c>
      <c r="E54" s="35">
        <f t="shared" si="5"/>
        <v>2</v>
      </c>
      <c r="F54" s="35">
        <f t="shared" si="2"/>
        <v>2</v>
      </c>
      <c r="R54" s="35">
        <v>28.5</v>
      </c>
      <c r="S54" s="35">
        <v>16.899999999999999</v>
      </c>
      <c r="T54" s="35">
        <v>20.100000000000001</v>
      </c>
      <c r="U54" s="35">
        <v>0.3</v>
      </c>
      <c r="V54" s="38">
        <f>R54*(1+S54)*原始运算表格!$P$2*原始运算表格!$Q$2</f>
        <v>510.15</v>
      </c>
      <c r="W54" s="38">
        <f>T54*(1+U54)*原始运算表格!$R$2*原始运算表格!$S$2</f>
        <v>130.65</v>
      </c>
      <c r="X54" s="38">
        <f t="shared" si="7"/>
        <v>0</v>
      </c>
      <c r="Y54" s="38">
        <f t="shared" si="8"/>
        <v>640.79999999999995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1</v>
      </c>
      <c r="D55" s="35">
        <v>1</v>
      </c>
      <c r="E55" s="35">
        <f t="shared" si="5"/>
        <v>3</v>
      </c>
      <c r="F55" s="35">
        <f t="shared" si="2"/>
        <v>3</v>
      </c>
      <c r="H55" s="35">
        <v>1</v>
      </c>
      <c r="R55" s="35">
        <v>28.6</v>
      </c>
      <c r="S55" s="35">
        <v>14</v>
      </c>
      <c r="T55" s="35">
        <v>26.1</v>
      </c>
      <c r="U55" s="35">
        <v>3</v>
      </c>
      <c r="V55" s="38">
        <f>R55*(1+S55)*原始运算表格!$P$2*原始运算表格!$Q$2</f>
        <v>429</v>
      </c>
      <c r="W55" s="38">
        <f>T55*(1+U55)*原始运算表格!$R$2*原始运算表格!$S$2</f>
        <v>522</v>
      </c>
      <c r="X55" s="38">
        <f t="shared" si="7"/>
        <v>1902</v>
      </c>
      <c r="Y55" s="38">
        <f t="shared" si="8"/>
        <v>2853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2</v>
      </c>
    </row>
    <row r="56" spans="1:26">
      <c r="A56" s="35">
        <v>1995</v>
      </c>
      <c r="B56" s="35">
        <f t="shared" si="6"/>
        <v>1996</v>
      </c>
      <c r="C56" s="35">
        <v>1</v>
      </c>
      <c r="D56" s="35">
        <v>1</v>
      </c>
      <c r="E56" s="35">
        <f t="shared" si="5"/>
        <v>4</v>
      </c>
      <c r="F56" s="35">
        <f t="shared" si="2"/>
        <v>4</v>
      </c>
      <c r="R56" s="35">
        <v>26.4</v>
      </c>
      <c r="S56" s="35">
        <v>6.9</v>
      </c>
      <c r="T56" s="35">
        <v>27.4</v>
      </c>
      <c r="U56" s="35">
        <v>1.5</v>
      </c>
      <c r="V56" s="38">
        <f>R56*(1+S56)*原始运算表格!$P$2*原始运算表格!$Q$2</f>
        <v>208.56</v>
      </c>
      <c r="W56" s="38">
        <f>T56*(1+U56)*原始运算表格!$R$2*原始运算表格!$S$2</f>
        <v>342.5</v>
      </c>
      <c r="X56" s="38">
        <f t="shared" si="7"/>
        <v>0</v>
      </c>
      <c r="Y56" s="38">
        <f t="shared" si="8"/>
        <v>551.05999999999995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1</v>
      </c>
      <c r="D57" s="35">
        <v>1</v>
      </c>
      <c r="E57" s="35">
        <f t="shared" si="5"/>
        <v>5</v>
      </c>
      <c r="F57" s="35">
        <f t="shared" si="2"/>
        <v>5</v>
      </c>
      <c r="R57" s="35">
        <v>27.1</v>
      </c>
      <c r="S57" s="35">
        <v>8</v>
      </c>
      <c r="T57" s="35">
        <v>29</v>
      </c>
      <c r="U57" s="35">
        <v>1.5</v>
      </c>
      <c r="V57" s="38">
        <f>R57*(1+S57)*原始运算表格!$P$2*原始运算表格!$Q$2</f>
        <v>243.9</v>
      </c>
      <c r="W57" s="38">
        <f>T57*(1+U57)*原始运算表格!$R$2*原始运算表格!$S$2</f>
        <v>362.5</v>
      </c>
      <c r="X57" s="38">
        <f t="shared" si="7"/>
        <v>0</v>
      </c>
      <c r="Y57" s="38">
        <f t="shared" si="8"/>
        <v>606.4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1</v>
      </c>
      <c r="D58" s="35">
        <v>1</v>
      </c>
      <c r="E58" s="35">
        <f t="shared" si="5"/>
        <v>6</v>
      </c>
      <c r="F58" s="35">
        <f t="shared" si="2"/>
        <v>6</v>
      </c>
      <c r="N58" s="35">
        <v>1</v>
      </c>
      <c r="R58" s="35">
        <v>28.8</v>
      </c>
      <c r="S58" s="35">
        <v>10.199999999999999</v>
      </c>
      <c r="T58" s="35">
        <v>31</v>
      </c>
      <c r="U58" s="35">
        <v>2.1</v>
      </c>
      <c r="V58" s="38">
        <f>R58*(1+S58)*原始运算表格!$P$2*原始运算表格!$Q$2</f>
        <v>322.56</v>
      </c>
      <c r="W58" s="38">
        <f>T58*(1+U58)*原始运算表格!$R$2*原始运算表格!$S$2</f>
        <v>480.50000000000006</v>
      </c>
      <c r="X58" s="38">
        <f t="shared" si="7"/>
        <v>803.06000000000017</v>
      </c>
      <c r="Y58" s="38">
        <f t="shared" si="8"/>
        <v>1606.1200000000001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1</v>
      </c>
    </row>
    <row r="59" spans="1:26">
      <c r="A59" s="35">
        <v>1998</v>
      </c>
      <c r="B59" s="35">
        <f t="shared" si="6"/>
        <v>1999</v>
      </c>
      <c r="C59" s="35">
        <v>1</v>
      </c>
      <c r="D59" s="35">
        <v>1</v>
      </c>
      <c r="E59" s="35">
        <f t="shared" si="5"/>
        <v>7</v>
      </c>
      <c r="F59" s="35">
        <f t="shared" si="2"/>
        <v>7</v>
      </c>
      <c r="R59" s="35">
        <v>30.6</v>
      </c>
      <c r="S59" s="35">
        <v>9</v>
      </c>
      <c r="T59" s="35">
        <v>28.8</v>
      </c>
      <c r="U59" s="35">
        <v>1.2</v>
      </c>
      <c r="V59" s="38">
        <f>R59*(1+S59)*原始运算表格!$P$2*原始运算表格!$Q$2</f>
        <v>306</v>
      </c>
      <c r="W59" s="38">
        <f>T59*(1+U59)*原始运算表格!$R$2*原始运算表格!$S$2</f>
        <v>316.8</v>
      </c>
      <c r="X59" s="38">
        <f t="shared" si="7"/>
        <v>0</v>
      </c>
      <c r="Y59" s="38">
        <f t="shared" si="8"/>
        <v>622.79999999999995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1</v>
      </c>
      <c r="D60" s="35">
        <v>1</v>
      </c>
      <c r="E60" s="35">
        <f t="shared" si="5"/>
        <v>8</v>
      </c>
      <c r="F60" s="35">
        <f t="shared" si="2"/>
        <v>8</v>
      </c>
      <c r="G60" s="35">
        <v>1</v>
      </c>
      <c r="H60" s="35">
        <v>1</v>
      </c>
      <c r="N60" s="35">
        <v>1</v>
      </c>
      <c r="P60" s="35">
        <v>1</v>
      </c>
      <c r="Q60" s="35">
        <v>1</v>
      </c>
      <c r="R60" s="35">
        <v>30.6</v>
      </c>
      <c r="S60" s="35">
        <v>18.600000000000001</v>
      </c>
      <c r="T60" s="35">
        <v>30.5</v>
      </c>
      <c r="U60" s="35">
        <v>4.7</v>
      </c>
      <c r="V60" s="38">
        <f>R60*(1+S60)*原始运算表格!$P$2*原始运算表格!$Q$2</f>
        <v>599.7600000000001</v>
      </c>
      <c r="W60" s="38">
        <f>T60*(1+U60)*原始运算表格!$R$2*原始运算表格!$S$2</f>
        <v>869.25</v>
      </c>
      <c r="X60" s="38">
        <f t="shared" si="7"/>
        <v>33787.230000000003</v>
      </c>
      <c r="Y60" s="38">
        <f t="shared" si="8"/>
        <v>35256.240000000005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23</v>
      </c>
    </row>
    <row r="61" spans="1:26">
      <c r="A61" s="35">
        <v>2000</v>
      </c>
      <c r="B61" s="35">
        <f t="shared" si="6"/>
        <v>2001</v>
      </c>
      <c r="C61" s="35">
        <v>1</v>
      </c>
      <c r="D61" s="35">
        <v>1</v>
      </c>
      <c r="E61" s="35">
        <f t="shared" si="5"/>
        <v>9</v>
      </c>
      <c r="F61" s="35">
        <f t="shared" si="2"/>
        <v>9</v>
      </c>
      <c r="N61" s="35">
        <v>1</v>
      </c>
      <c r="P61" s="35">
        <v>1</v>
      </c>
      <c r="Q61" s="35">
        <v>1</v>
      </c>
      <c r="R61" s="35">
        <v>30.2</v>
      </c>
      <c r="S61" s="35">
        <v>14.9</v>
      </c>
      <c r="T61" s="35">
        <v>28.7</v>
      </c>
      <c r="U61" s="35">
        <v>3.7</v>
      </c>
      <c r="V61" s="38">
        <f>R61*(1+S61)*原始运算表格!$P$2*原始运算表格!$Q$2</f>
        <v>480.18</v>
      </c>
      <c r="W61" s="38">
        <f>T61*(1+U61)*原始运算表格!$R$2*原始运算表格!$S$2</f>
        <v>674.45</v>
      </c>
      <c r="X61" s="38">
        <f t="shared" si="7"/>
        <v>15010.19</v>
      </c>
      <c r="Y61" s="38">
        <f t="shared" si="8"/>
        <v>16164.820000000002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13</v>
      </c>
    </row>
    <row r="62" spans="1:26">
      <c r="A62" s="35">
        <v>2001</v>
      </c>
      <c r="B62" s="35">
        <f t="shared" si="6"/>
        <v>2002</v>
      </c>
      <c r="C62" s="35">
        <v>1</v>
      </c>
      <c r="D62" s="35">
        <v>1</v>
      </c>
      <c r="E62" s="35">
        <f t="shared" si="5"/>
        <v>10</v>
      </c>
      <c r="F62" s="35">
        <f t="shared" si="2"/>
        <v>10</v>
      </c>
      <c r="I62" s="42"/>
      <c r="J62" s="42"/>
      <c r="K62" s="42"/>
      <c r="L62" s="42"/>
      <c r="M62" s="42"/>
      <c r="N62" s="35">
        <v>1</v>
      </c>
      <c r="P62" s="35">
        <v>1</v>
      </c>
      <c r="Q62" s="35">
        <v>1</v>
      </c>
      <c r="R62" s="35">
        <v>29.7</v>
      </c>
      <c r="S62" s="35">
        <v>13.2</v>
      </c>
      <c r="T62" s="35">
        <v>28.3</v>
      </c>
      <c r="U62" s="35">
        <v>3.8</v>
      </c>
      <c r="V62" s="38">
        <f>R62*(1+S62)*原始运算表格!$P$2*原始运算表格!$Q$2</f>
        <v>421.73999999999995</v>
      </c>
      <c r="W62" s="38">
        <f>T62*(1+U62)*原始运算表格!$R$2*原始运算表格!$S$2</f>
        <v>679.2</v>
      </c>
      <c r="X62" s="38">
        <f t="shared" si="7"/>
        <v>14312.22</v>
      </c>
      <c r="Y62" s="38">
        <f t="shared" si="8"/>
        <v>15413.16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13</v>
      </c>
    </row>
    <row r="63" spans="1:26">
      <c r="A63" s="35">
        <v>2002</v>
      </c>
      <c r="B63" s="35">
        <f t="shared" si="6"/>
        <v>2003</v>
      </c>
      <c r="C63" s="35">
        <v>1</v>
      </c>
      <c r="D63" s="35">
        <v>1</v>
      </c>
      <c r="E63" s="35">
        <f t="shared" si="5"/>
        <v>11</v>
      </c>
      <c r="F63" s="35">
        <f t="shared" si="2"/>
        <v>11</v>
      </c>
      <c r="I63" s="42"/>
      <c r="J63" s="42"/>
      <c r="K63" s="42"/>
      <c r="L63" s="42"/>
      <c r="M63" s="42"/>
      <c r="N63" s="35">
        <v>1</v>
      </c>
      <c r="P63" s="42"/>
      <c r="R63" s="35">
        <v>29.5</v>
      </c>
      <c r="S63" s="35">
        <v>13.2</v>
      </c>
      <c r="T63" s="35">
        <v>30.6</v>
      </c>
      <c r="U63" s="35">
        <v>2.4</v>
      </c>
      <c r="V63" s="38">
        <f>R63*(1+S63)*原始运算表格!$P$2*原始运算表格!$Q$2</f>
        <v>418.9</v>
      </c>
      <c r="W63" s="38">
        <f>T63*(1+U63)*原始运算表格!$R$2*原始运算表格!$S$2</f>
        <v>520.20000000000005</v>
      </c>
      <c r="X63" s="38">
        <f t="shared" si="7"/>
        <v>939.1</v>
      </c>
      <c r="Y63" s="38">
        <f t="shared" si="8"/>
        <v>1878.2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1</v>
      </c>
    </row>
    <row r="64" spans="1:26">
      <c r="A64" s="35">
        <v>2003</v>
      </c>
      <c r="B64" s="35">
        <f t="shared" si="6"/>
        <v>2004</v>
      </c>
      <c r="C64" s="35">
        <v>1</v>
      </c>
      <c r="D64" s="35">
        <v>1</v>
      </c>
      <c r="E64" s="35">
        <f t="shared" si="5"/>
        <v>12</v>
      </c>
      <c r="F64" s="35">
        <f t="shared" si="2"/>
        <v>12</v>
      </c>
      <c r="N64" s="35">
        <v>1</v>
      </c>
      <c r="R64" s="35">
        <v>24.4</v>
      </c>
      <c r="S64" s="35">
        <v>9.9</v>
      </c>
      <c r="T64" s="35">
        <v>24.8</v>
      </c>
      <c r="U64" s="35">
        <v>3.9</v>
      </c>
      <c r="V64" s="38">
        <f>R64*(1+S64)*原始运算表格!$P$2*原始运算表格!$Q$2</f>
        <v>265.95999999999998</v>
      </c>
      <c r="W64" s="38">
        <f>T64*(1+U64)*原始运算表格!$R$2*原始运算表格!$S$2</f>
        <v>607.6</v>
      </c>
      <c r="X64" s="38">
        <f t="shared" si="7"/>
        <v>873.56</v>
      </c>
      <c r="Y64" s="38">
        <f t="shared" si="8"/>
        <v>1747.12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1</v>
      </c>
    </row>
    <row r="65" spans="1:26">
      <c r="A65" s="35">
        <v>2004</v>
      </c>
      <c r="B65" s="35">
        <f t="shared" si="6"/>
        <v>2005</v>
      </c>
      <c r="C65" s="35">
        <v>1</v>
      </c>
      <c r="D65" s="35">
        <v>1</v>
      </c>
      <c r="E65" s="35">
        <f t="shared" si="5"/>
        <v>13</v>
      </c>
      <c r="F65" s="35">
        <f t="shared" si="2"/>
        <v>13</v>
      </c>
      <c r="N65" s="35">
        <v>1</v>
      </c>
      <c r="R65" s="35">
        <v>27</v>
      </c>
      <c r="S65" s="35">
        <v>11</v>
      </c>
      <c r="T65" s="35">
        <v>18.100000000000001</v>
      </c>
      <c r="U65" s="35">
        <v>0.8</v>
      </c>
      <c r="V65" s="38">
        <f>R65*(1+S65)*原始运算表格!$P$2*原始运算表格!$Q$2</f>
        <v>324</v>
      </c>
      <c r="W65" s="38">
        <f>T65*(1+U65)*原始运算表格!$R$2*原始运算表格!$S$2</f>
        <v>162.90000000000003</v>
      </c>
      <c r="X65" s="38">
        <f t="shared" si="7"/>
        <v>486.90000000000009</v>
      </c>
      <c r="Y65" s="38">
        <f t="shared" si="8"/>
        <v>973.80000000000007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1</v>
      </c>
    </row>
    <row r="66" spans="1:26">
      <c r="A66" s="35">
        <v>2005</v>
      </c>
      <c r="B66" s="35">
        <f t="shared" si="6"/>
        <v>2006</v>
      </c>
      <c r="C66" s="35">
        <v>1</v>
      </c>
      <c r="D66" s="35">
        <v>1</v>
      </c>
      <c r="E66" s="35">
        <f t="shared" si="5"/>
        <v>14</v>
      </c>
      <c r="F66" s="35">
        <f t="shared" si="2"/>
        <v>14</v>
      </c>
      <c r="N66" s="35">
        <v>1</v>
      </c>
      <c r="P66" s="35">
        <v>1</v>
      </c>
      <c r="R66" s="35">
        <v>24.4</v>
      </c>
      <c r="S66" s="35">
        <v>6.2</v>
      </c>
      <c r="T66" s="35">
        <v>19.899999999999999</v>
      </c>
      <c r="U66" s="35">
        <v>1.6</v>
      </c>
      <c r="V66" s="38">
        <f>R66*(1+S66)*原始运算表格!$P$2*原始运算表格!$Q$2</f>
        <v>175.68</v>
      </c>
      <c r="W66" s="38">
        <f>T66*(1+U66)*原始运算表格!$R$2*原始运算表格!$S$2</f>
        <v>258.7</v>
      </c>
      <c r="X66" s="38">
        <f t="shared" si="7"/>
        <v>2171.9</v>
      </c>
      <c r="Y66" s="38">
        <f t="shared" si="8"/>
        <v>2606.2799999999997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5</v>
      </c>
    </row>
    <row r="67" spans="1:26">
      <c r="A67" s="35">
        <v>2006</v>
      </c>
      <c r="B67" s="35">
        <f t="shared" si="6"/>
        <v>2007</v>
      </c>
      <c r="C67" s="35">
        <v>1</v>
      </c>
      <c r="D67" s="35">
        <v>1</v>
      </c>
      <c r="E67" s="35">
        <f t="shared" si="5"/>
        <v>15</v>
      </c>
      <c r="F67" s="35">
        <f t="shared" si="2"/>
        <v>15</v>
      </c>
      <c r="R67" s="35">
        <v>21.7</v>
      </c>
      <c r="S67" s="35">
        <v>2.8</v>
      </c>
      <c r="T67" s="35">
        <v>19.899999999999999</v>
      </c>
      <c r="U67" s="35">
        <v>0</v>
      </c>
      <c r="V67" s="38">
        <f>R67*(1+S67)*原始运算表格!$P$2*原始运算表格!$Q$2</f>
        <v>82.46</v>
      </c>
      <c r="W67" s="38">
        <f>T67*(1+U67)*原始运算表格!$R$2*原始运算表格!$S$2</f>
        <v>99.5</v>
      </c>
      <c r="X67" s="38">
        <f t="shared" si="7"/>
        <v>0</v>
      </c>
      <c r="Y67" s="38">
        <f t="shared" si="8"/>
        <v>181.95999999999998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1</v>
      </c>
      <c r="D68" s="35">
        <v>1</v>
      </c>
      <c r="E68" s="35">
        <f t="shared" si="5"/>
        <v>16</v>
      </c>
      <c r="F68" s="35">
        <f t="shared" si="2"/>
        <v>16</v>
      </c>
      <c r="R68" s="35">
        <v>17.100000000000001</v>
      </c>
      <c r="S68" s="35">
        <v>2.8</v>
      </c>
      <c r="T68" s="35">
        <v>18.899999999999999</v>
      </c>
      <c r="U68" s="35">
        <v>0.3</v>
      </c>
      <c r="V68" s="38">
        <f>R68*(1+S68)*原始运算表格!$P$2*原始运算表格!$Q$2</f>
        <v>64.98</v>
      </c>
      <c r="W68" s="38">
        <f>T68*(1+U68)*原始运算表格!$R$2*原始运算表格!$S$2</f>
        <v>122.85</v>
      </c>
      <c r="X68" s="38">
        <f t="shared" si="7"/>
        <v>0</v>
      </c>
      <c r="Y68" s="38">
        <f t="shared" si="8"/>
        <v>187.82999999999998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1</v>
      </c>
      <c r="D69" s="35">
        <v>0</v>
      </c>
      <c r="E69" s="35">
        <f t="shared" si="5"/>
        <v>17</v>
      </c>
      <c r="F69" s="35">
        <f t="shared" si="2"/>
        <v>17</v>
      </c>
      <c r="R69" s="35">
        <v>22.3</v>
      </c>
      <c r="S69" s="35">
        <v>7.8</v>
      </c>
      <c r="V69" s="38">
        <f>R69*(1+S69)*原始运算表格!$P$2*原始运算表格!$Q$2</f>
        <v>196.24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196.24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1</v>
      </c>
      <c r="D70" s="35">
        <v>1</v>
      </c>
      <c r="E70" s="35">
        <f t="shared" si="5"/>
        <v>18</v>
      </c>
      <c r="F70" s="35">
        <f t="shared" si="2"/>
        <v>18</v>
      </c>
      <c r="R70" s="35">
        <v>17.899999999999999</v>
      </c>
      <c r="S70" s="35">
        <v>3.1</v>
      </c>
      <c r="T70" s="35">
        <v>16.2</v>
      </c>
      <c r="U70" s="35">
        <v>0.4</v>
      </c>
      <c r="V70" s="38">
        <f>R70*(1+S70)*原始运算表格!$P$2*原始运算表格!$Q$2</f>
        <v>73.389999999999986</v>
      </c>
      <c r="W70" s="38">
        <f>T70*(1+U70)*原始运算表格!$R$2*原始运算表格!$S$2</f>
        <v>113.39999999999998</v>
      </c>
      <c r="X70" s="38">
        <f t="shared" si="7"/>
        <v>0</v>
      </c>
      <c r="Y70" s="38">
        <f t="shared" si="8"/>
        <v>186.78999999999996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1</v>
      </c>
      <c r="D71" s="35">
        <v>1</v>
      </c>
      <c r="E71" s="35">
        <f t="shared" si="5"/>
        <v>19</v>
      </c>
      <c r="F71" s="35">
        <f t="shared" ref="F71:F79" si="9">C71*E71</f>
        <v>19</v>
      </c>
      <c r="R71" s="35">
        <v>17.399999999999999</v>
      </c>
      <c r="S71" s="35">
        <v>2.7</v>
      </c>
      <c r="T71" s="35">
        <v>1.3</v>
      </c>
      <c r="U71" s="35">
        <v>0</v>
      </c>
      <c r="V71" s="38">
        <f>R71*(1+S71)*原始运算表格!$P$2*原始运算表格!$Q$2</f>
        <v>64.38</v>
      </c>
      <c r="W71" s="38">
        <f>T71*(1+U71)*原始运算表格!$R$2*原始运算表格!$S$2</f>
        <v>6.5</v>
      </c>
      <c r="X71" s="38">
        <f t="shared" si="7"/>
        <v>0</v>
      </c>
      <c r="Y71" s="38">
        <f t="shared" si="8"/>
        <v>70.88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19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19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19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19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19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19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19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19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Z79"/>
  <sheetViews>
    <sheetView zoomScale="55" zoomScaleNormal="55" workbookViewId="0">
      <pane ySplit="6" topLeftCell="A31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53</v>
      </c>
    </row>
    <row r="5" spans="1:26" s="39" customFormat="1">
      <c r="A5" s="39" t="s">
        <v>22</v>
      </c>
      <c r="B5" s="40"/>
      <c r="C5" s="39">
        <f>SUM(C12:C105)</f>
        <v>13</v>
      </c>
      <c r="D5" s="39">
        <f>SUM(D12:D105)</f>
        <v>12</v>
      </c>
      <c r="G5" s="39">
        <f>SUM(G12:G105)</f>
        <v>3</v>
      </c>
      <c r="H5" s="39">
        <f t="shared" ref="H5:Z5" si="0">SUM(H12:H105)</f>
        <v>0</v>
      </c>
      <c r="I5" s="39">
        <f t="shared" si="0"/>
        <v>0</v>
      </c>
      <c r="J5" s="39">
        <f t="shared" si="0"/>
        <v>0</v>
      </c>
      <c r="K5" s="39">
        <f t="shared" si="0"/>
        <v>0</v>
      </c>
      <c r="L5" s="39">
        <f t="shared" si="0"/>
        <v>0</v>
      </c>
      <c r="M5" s="39">
        <f t="shared" si="0"/>
        <v>0</v>
      </c>
      <c r="N5" s="39">
        <f t="shared" si="0"/>
        <v>9</v>
      </c>
      <c r="O5" s="39">
        <f t="shared" si="0"/>
        <v>0</v>
      </c>
      <c r="P5" s="39">
        <f t="shared" si="0"/>
        <v>3</v>
      </c>
      <c r="Q5" s="39">
        <f t="shared" si="0"/>
        <v>2</v>
      </c>
      <c r="R5" s="39">
        <f t="shared" si="0"/>
        <v>300</v>
      </c>
      <c r="S5" s="39">
        <f t="shared" si="0"/>
        <v>145.9</v>
      </c>
      <c r="T5" s="39">
        <f t="shared" si="0"/>
        <v>244.3</v>
      </c>
      <c r="U5" s="39">
        <f t="shared" si="0"/>
        <v>24.799999999999997</v>
      </c>
      <c r="V5" s="41">
        <f t="shared" si="0"/>
        <v>3795.8199999999993</v>
      </c>
      <c r="W5" s="41">
        <f t="shared" si="0"/>
        <v>3962.3500000000004</v>
      </c>
      <c r="X5" s="41">
        <f t="shared" si="0"/>
        <v>59206.48</v>
      </c>
      <c r="Y5" s="41">
        <f t="shared" si="0"/>
        <v>66964.649999999994</v>
      </c>
      <c r="Z5" s="41">
        <f t="shared" si="0"/>
        <v>61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1</v>
      </c>
      <c r="D40" s="35">
        <v>1</v>
      </c>
      <c r="E40" s="35">
        <f t="shared" si="5"/>
        <v>1</v>
      </c>
      <c r="F40" s="35">
        <f t="shared" si="2"/>
        <v>1</v>
      </c>
      <c r="N40" s="35">
        <v>1</v>
      </c>
      <c r="R40" s="35">
        <v>20.5</v>
      </c>
      <c r="S40" s="35">
        <v>11.2</v>
      </c>
      <c r="T40" s="35">
        <v>18.3</v>
      </c>
      <c r="U40" s="35">
        <v>1.1000000000000001</v>
      </c>
      <c r="V40" s="38">
        <f>R40*(1+S40)*原始运算表格!$P$2*原始运算表格!$Q$2</f>
        <v>250.1</v>
      </c>
      <c r="W40" s="38">
        <f>T40*(1+U40)*原始运算表格!$R$2*原始运算表格!$S$2</f>
        <v>192.15</v>
      </c>
      <c r="X40" s="38">
        <f t="shared" si="3"/>
        <v>442.25</v>
      </c>
      <c r="Y40" s="38">
        <f t="shared" si="4"/>
        <v>884.5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1</v>
      </c>
    </row>
    <row r="41" spans="1:26">
      <c r="A41" s="35">
        <v>1980</v>
      </c>
      <c r="B41" s="35">
        <f t="shared" si="6"/>
        <v>1981</v>
      </c>
      <c r="C41" s="35">
        <v>1</v>
      </c>
      <c r="D41" s="35">
        <v>1</v>
      </c>
      <c r="E41" s="35">
        <f t="shared" si="5"/>
        <v>2</v>
      </c>
      <c r="F41" s="35">
        <f t="shared" si="2"/>
        <v>2</v>
      </c>
      <c r="N41" s="35">
        <v>1</v>
      </c>
      <c r="P41" s="35">
        <v>1</v>
      </c>
      <c r="R41" s="35">
        <v>19.899999999999999</v>
      </c>
      <c r="S41" s="35">
        <v>10.8</v>
      </c>
      <c r="T41" s="35">
        <v>21.8</v>
      </c>
      <c r="U41" s="35">
        <v>3.1</v>
      </c>
      <c r="V41" s="38">
        <f>R41*(1+S41)*原始运算表格!$P$2*原始运算表格!$Q$2</f>
        <v>234.82</v>
      </c>
      <c r="W41" s="38">
        <f>T41*(1+U41)*原始运算表格!$R$2*原始运算表格!$S$2</f>
        <v>446.9</v>
      </c>
      <c r="X41" s="38">
        <f t="shared" si="3"/>
        <v>3408.6</v>
      </c>
      <c r="Y41" s="38">
        <f t="shared" si="4"/>
        <v>4090.32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5</v>
      </c>
    </row>
    <row r="42" spans="1:26">
      <c r="A42" s="35">
        <v>1981</v>
      </c>
      <c r="B42" s="35">
        <f t="shared" si="6"/>
        <v>1982</v>
      </c>
      <c r="C42" s="35">
        <v>1</v>
      </c>
      <c r="D42" s="35">
        <v>1</v>
      </c>
      <c r="E42" s="35">
        <f t="shared" si="5"/>
        <v>3</v>
      </c>
      <c r="F42" s="35">
        <f t="shared" si="2"/>
        <v>3</v>
      </c>
      <c r="N42" s="35">
        <v>1</v>
      </c>
      <c r="R42" s="35">
        <v>22.6</v>
      </c>
      <c r="S42" s="35">
        <v>12.5</v>
      </c>
      <c r="T42" s="35">
        <v>17.899999999999999</v>
      </c>
      <c r="U42" s="35">
        <v>1.6</v>
      </c>
      <c r="V42" s="38">
        <f>R42*(1+S42)*原始运算表格!$P$2*原始运算表格!$Q$2</f>
        <v>305.10000000000002</v>
      </c>
      <c r="W42" s="38">
        <f>T42*(1+U42)*原始运算表格!$R$2*原始运算表格!$S$2</f>
        <v>232.7</v>
      </c>
      <c r="X42" s="38">
        <f t="shared" si="3"/>
        <v>537.79999999999984</v>
      </c>
      <c r="Y42" s="38">
        <f t="shared" si="4"/>
        <v>1075.5999999999999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1</v>
      </c>
    </row>
    <row r="43" spans="1:26">
      <c r="A43" s="35">
        <v>1982</v>
      </c>
      <c r="B43" s="35">
        <f t="shared" si="6"/>
        <v>1983</v>
      </c>
      <c r="C43" s="35">
        <v>1</v>
      </c>
      <c r="D43" s="35">
        <v>1</v>
      </c>
      <c r="E43" s="35">
        <f t="shared" si="5"/>
        <v>4</v>
      </c>
      <c r="F43" s="35">
        <f t="shared" si="2"/>
        <v>4</v>
      </c>
      <c r="N43" s="35">
        <v>1</v>
      </c>
      <c r="R43" s="35">
        <v>24.1</v>
      </c>
      <c r="S43" s="35">
        <v>14</v>
      </c>
      <c r="T43" s="35">
        <v>20.3</v>
      </c>
      <c r="U43" s="35">
        <v>0.7</v>
      </c>
      <c r="V43" s="38">
        <f>R43*(1+S43)*原始运算表格!$P$2*原始运算表格!$Q$2</f>
        <v>361.5</v>
      </c>
      <c r="W43" s="38">
        <f>T43*(1+U43)*原始运算表格!$R$2*原始运算表格!$S$2</f>
        <v>172.54999999999998</v>
      </c>
      <c r="X43" s="38">
        <f t="shared" si="3"/>
        <v>534.04999999999995</v>
      </c>
      <c r="Y43" s="38">
        <f t="shared" si="4"/>
        <v>1068.0999999999999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1</v>
      </c>
    </row>
    <row r="44" spans="1:26">
      <c r="A44" s="35">
        <v>1983</v>
      </c>
      <c r="B44" s="35">
        <f t="shared" si="6"/>
        <v>1984</v>
      </c>
      <c r="C44" s="35">
        <v>1</v>
      </c>
      <c r="D44" s="35">
        <v>1</v>
      </c>
      <c r="E44" s="35">
        <f t="shared" si="5"/>
        <v>5</v>
      </c>
      <c r="F44" s="35">
        <f t="shared" si="2"/>
        <v>5</v>
      </c>
      <c r="G44" s="35">
        <v>1</v>
      </c>
      <c r="N44" s="35">
        <v>1</v>
      </c>
      <c r="P44" s="35">
        <v>1</v>
      </c>
      <c r="Q44" s="35">
        <v>1</v>
      </c>
      <c r="R44" s="35">
        <v>24.2</v>
      </c>
      <c r="S44" s="35">
        <v>13.6</v>
      </c>
      <c r="T44" s="35">
        <v>26.3</v>
      </c>
      <c r="U44" s="35">
        <v>4.7</v>
      </c>
      <c r="V44" s="38">
        <f>R44*(1+S44)*原始运算表格!$P$2*原始运算表格!$Q$2</f>
        <v>353.32</v>
      </c>
      <c r="W44" s="38">
        <f>T44*(1+U44)*原始运算表格!$R$2*原始运算表格!$S$2</f>
        <v>749.55</v>
      </c>
      <c r="X44" s="38">
        <f t="shared" si="3"/>
        <v>23160.27</v>
      </c>
      <c r="Y44" s="38">
        <f t="shared" si="4"/>
        <v>24263.14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21</v>
      </c>
    </row>
    <row r="45" spans="1:26">
      <c r="A45" s="35">
        <v>1984</v>
      </c>
      <c r="B45" s="35">
        <f t="shared" si="6"/>
        <v>1985</v>
      </c>
      <c r="C45" s="35">
        <v>1</v>
      </c>
      <c r="D45" s="35">
        <v>1</v>
      </c>
      <c r="E45" s="35">
        <f t="shared" si="5"/>
        <v>6</v>
      </c>
      <c r="F45" s="35">
        <f t="shared" si="2"/>
        <v>6</v>
      </c>
      <c r="G45" s="35">
        <v>1</v>
      </c>
      <c r="N45" s="35">
        <v>1</v>
      </c>
      <c r="R45" s="35">
        <v>26.5</v>
      </c>
      <c r="S45" s="35">
        <v>15.7</v>
      </c>
      <c r="T45" s="35">
        <v>20.9</v>
      </c>
      <c r="U45" s="35">
        <v>2.6</v>
      </c>
      <c r="V45" s="38">
        <f>R45*(1+S45)*原始运算表格!$P$2*原始运算表格!$Q$2</f>
        <v>442.54999999999995</v>
      </c>
      <c r="W45" s="38">
        <f>T45*(1+U45)*原始运算表格!$R$2*原始运算表格!$S$2</f>
        <v>376.2</v>
      </c>
      <c r="X45" s="38">
        <f>Y45-W45-V45</f>
        <v>7368.75</v>
      </c>
      <c r="Y45" s="38">
        <f>(V45+W45)*(1+Z45)</f>
        <v>8187.5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9</v>
      </c>
    </row>
    <row r="46" spans="1:26">
      <c r="A46" s="35">
        <v>1985</v>
      </c>
      <c r="B46" s="35">
        <f t="shared" si="6"/>
        <v>1986</v>
      </c>
      <c r="C46" s="35">
        <v>1</v>
      </c>
      <c r="D46" s="35">
        <v>1</v>
      </c>
      <c r="E46" s="35">
        <f t="shared" si="5"/>
        <v>7</v>
      </c>
      <c r="F46" s="35">
        <f t="shared" si="2"/>
        <v>7</v>
      </c>
      <c r="G46" s="35">
        <v>1</v>
      </c>
      <c r="N46" s="35">
        <v>1</v>
      </c>
      <c r="P46" s="35">
        <v>1</v>
      </c>
      <c r="Q46" s="35">
        <v>1</v>
      </c>
      <c r="R46" s="35">
        <v>25.6</v>
      </c>
      <c r="S46" s="35">
        <v>15.8</v>
      </c>
      <c r="T46" s="35">
        <v>23.9</v>
      </c>
      <c r="U46" s="35">
        <v>4.2</v>
      </c>
      <c r="V46" s="38">
        <f>R46*(1+S46)*原始运算表格!$P$2*原始运算表格!$Q$2</f>
        <v>430.08000000000004</v>
      </c>
      <c r="W46" s="38">
        <f>T46*(1+U46)*原始运算表格!$R$2*原始运算表格!$S$2</f>
        <v>621.4</v>
      </c>
      <c r="X46" s="38">
        <f t="shared" ref="X46:X79" si="7">Y46-W46-V46</f>
        <v>22081.079999999998</v>
      </c>
      <c r="Y46" s="38">
        <f t="shared" ref="Y46:Y79" si="8">(V46+W46)*(1+Z46)</f>
        <v>23132.560000000001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21</v>
      </c>
    </row>
    <row r="47" spans="1:26">
      <c r="A47" s="35">
        <v>1986</v>
      </c>
      <c r="B47" s="35">
        <f t="shared" si="6"/>
        <v>1987</v>
      </c>
      <c r="C47" s="35">
        <v>1</v>
      </c>
      <c r="D47" s="35">
        <v>1</v>
      </c>
      <c r="E47" s="35">
        <f t="shared" si="5"/>
        <v>8</v>
      </c>
      <c r="F47" s="35">
        <f t="shared" si="2"/>
        <v>8</v>
      </c>
      <c r="N47" s="35">
        <v>1</v>
      </c>
      <c r="R47" s="35">
        <v>26.4</v>
      </c>
      <c r="S47" s="35">
        <v>15.2</v>
      </c>
      <c r="T47" s="35">
        <v>21.8</v>
      </c>
      <c r="U47" s="35">
        <v>3.2</v>
      </c>
      <c r="V47" s="38">
        <f>R47*(1+S47)*原始运算表格!$P$2*原始运算表格!$Q$2</f>
        <v>427.67999999999995</v>
      </c>
      <c r="W47" s="38">
        <f>T47*(1+U47)*原始运算表格!$R$2*原始运算表格!$S$2</f>
        <v>457.8</v>
      </c>
      <c r="X47" s="38">
        <f t="shared" si="7"/>
        <v>885.48000000000013</v>
      </c>
      <c r="Y47" s="38">
        <f t="shared" si="8"/>
        <v>1770.96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1</v>
      </c>
    </row>
    <row r="48" spans="1:26">
      <c r="A48" s="35">
        <v>1987</v>
      </c>
      <c r="B48" s="35">
        <f t="shared" si="6"/>
        <v>1988</v>
      </c>
      <c r="C48" s="35">
        <v>1</v>
      </c>
      <c r="D48" s="35">
        <v>1</v>
      </c>
      <c r="E48" s="35">
        <f t="shared" si="5"/>
        <v>9</v>
      </c>
      <c r="F48" s="35">
        <f t="shared" si="2"/>
        <v>9</v>
      </c>
      <c r="N48" s="35">
        <v>1</v>
      </c>
      <c r="R48" s="35">
        <v>27.8</v>
      </c>
      <c r="S48" s="35">
        <v>15</v>
      </c>
      <c r="T48" s="35">
        <v>20.2</v>
      </c>
      <c r="U48" s="35">
        <v>2.4</v>
      </c>
      <c r="V48" s="38">
        <f>R48*(1+S48)*原始运算表格!$P$2*原始运算表格!$Q$2</f>
        <v>444.8</v>
      </c>
      <c r="W48" s="38">
        <f>T48*(1+U48)*原始运算表格!$R$2*原始运算表格!$S$2</f>
        <v>343.4</v>
      </c>
      <c r="X48" s="38">
        <f t="shared" si="7"/>
        <v>788.2</v>
      </c>
      <c r="Y48" s="38">
        <f t="shared" si="8"/>
        <v>1576.4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1</v>
      </c>
    </row>
    <row r="49" spans="1:26">
      <c r="A49" s="35">
        <v>1988</v>
      </c>
      <c r="B49" s="35">
        <f t="shared" si="6"/>
        <v>1989</v>
      </c>
      <c r="C49" s="35">
        <v>1</v>
      </c>
      <c r="D49" s="35">
        <v>0</v>
      </c>
      <c r="E49" s="35">
        <f t="shared" si="5"/>
        <v>10</v>
      </c>
      <c r="F49" s="35">
        <f t="shared" si="2"/>
        <v>10</v>
      </c>
      <c r="R49" s="35">
        <v>19.8</v>
      </c>
      <c r="S49" s="35">
        <v>0.5</v>
      </c>
      <c r="V49" s="38">
        <f>R49*(1+S49)*原始运算表格!$P$2*原始运算表格!$Q$2</f>
        <v>29.700000000000003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29.700000000000003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1</v>
      </c>
      <c r="D50" s="35">
        <v>1</v>
      </c>
      <c r="E50" s="35">
        <f t="shared" si="5"/>
        <v>11</v>
      </c>
      <c r="F50" s="35">
        <f t="shared" si="2"/>
        <v>11</v>
      </c>
      <c r="R50" s="35">
        <v>21.9</v>
      </c>
      <c r="S50" s="35">
        <v>9.5</v>
      </c>
      <c r="T50" s="35">
        <v>20.7</v>
      </c>
      <c r="U50" s="35">
        <v>0.4</v>
      </c>
      <c r="V50" s="38">
        <f>R50*(1+S50)*原始运算表格!$P$2*原始运算表格!$Q$2</f>
        <v>229.95</v>
      </c>
      <c r="W50" s="38">
        <f>T50*(1+U50)*原始运算表格!$R$2*原始运算表格!$S$2</f>
        <v>144.89999999999998</v>
      </c>
      <c r="X50" s="38">
        <f t="shared" si="7"/>
        <v>0</v>
      </c>
      <c r="Y50" s="38">
        <f t="shared" si="8"/>
        <v>374.84999999999997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1</v>
      </c>
      <c r="D51" s="35">
        <v>1</v>
      </c>
      <c r="E51" s="35">
        <f t="shared" si="5"/>
        <v>12</v>
      </c>
      <c r="F51" s="35">
        <f t="shared" si="2"/>
        <v>12</v>
      </c>
      <c r="R51" s="35">
        <v>19.7</v>
      </c>
      <c r="S51" s="35">
        <v>6.6</v>
      </c>
      <c r="T51" s="35">
        <v>15.8</v>
      </c>
      <c r="U51" s="35">
        <v>0.6</v>
      </c>
      <c r="V51" s="38">
        <f>R51*(1+S51)*原始运算表格!$P$2*原始运算表格!$Q$2</f>
        <v>149.72</v>
      </c>
      <c r="W51" s="38">
        <f>T51*(1+U51)*原始运算表格!$R$2*原始运算表格!$S$2</f>
        <v>126.4</v>
      </c>
      <c r="X51" s="38">
        <f t="shared" si="7"/>
        <v>0</v>
      </c>
      <c r="Y51" s="38">
        <f t="shared" si="8"/>
        <v>276.12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1</v>
      </c>
      <c r="D52" s="35">
        <v>1</v>
      </c>
      <c r="E52" s="35">
        <f t="shared" si="5"/>
        <v>13</v>
      </c>
      <c r="F52" s="35">
        <f t="shared" si="2"/>
        <v>13</v>
      </c>
      <c r="R52" s="35">
        <v>21</v>
      </c>
      <c r="S52" s="35">
        <v>5.5</v>
      </c>
      <c r="T52" s="35">
        <v>16.399999999999999</v>
      </c>
      <c r="U52" s="35">
        <v>0.2</v>
      </c>
      <c r="V52" s="38">
        <f>R52*(1+S52)*原始运算表格!$P$2*原始运算表格!$Q$2</f>
        <v>136.5</v>
      </c>
      <c r="W52" s="38">
        <f>T52*(1+U52)*原始运算表格!$R$2*原始运算表格!$S$2</f>
        <v>98.399999999999977</v>
      </c>
      <c r="X52" s="38">
        <f t="shared" si="7"/>
        <v>0</v>
      </c>
      <c r="Y52" s="38">
        <f t="shared" si="8"/>
        <v>234.89999999999998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13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13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13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13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13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0</v>
      </c>
      <c r="D58" s="35">
        <v>0</v>
      </c>
      <c r="E58" s="35">
        <f t="shared" si="5"/>
        <v>13</v>
      </c>
      <c r="F58" s="35">
        <f t="shared" si="2"/>
        <v>0</v>
      </c>
      <c r="V58" s="38">
        <f>R58*(1+S58)*原始运算表格!$P$2*原始运算表格!$Q$2</f>
        <v>0</v>
      </c>
      <c r="W58" s="38">
        <f>T58*(1+U58)*原始运算表格!$R$2*原始运算表格!$S$2</f>
        <v>0</v>
      </c>
      <c r="X58" s="38">
        <f t="shared" si="7"/>
        <v>0</v>
      </c>
      <c r="Y58" s="38">
        <f t="shared" si="8"/>
        <v>0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13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13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13</v>
      </c>
      <c r="F61" s="35">
        <f t="shared" si="2"/>
        <v>0</v>
      </c>
      <c r="V61" s="38">
        <f>R61*(1+S61)*原始运算表格!$P$2*原始运算表格!$Q$2</f>
        <v>0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0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0</v>
      </c>
      <c r="D62" s="35">
        <v>0</v>
      </c>
      <c r="E62" s="35">
        <f t="shared" si="5"/>
        <v>13</v>
      </c>
      <c r="F62" s="35">
        <f t="shared" si="2"/>
        <v>0</v>
      </c>
      <c r="I62" s="42"/>
      <c r="J62" s="42"/>
      <c r="K62" s="42"/>
      <c r="L62" s="42"/>
      <c r="M62" s="42"/>
      <c r="P62" s="42"/>
      <c r="V62" s="38">
        <f>R62*(1+S62)*原始运算表格!$P$2*原始运算表格!$Q$2</f>
        <v>0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0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13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13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13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13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13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13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13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13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13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13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13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13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13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13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13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13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13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79"/>
  <sheetViews>
    <sheetView zoomScale="55" zoomScaleNormal="55" workbookViewId="0">
      <pane ySplit="6" topLeftCell="A38" activePane="bottomLeft" state="frozen"/>
      <selection pane="bottomLeft" activeCell="B2" sqref="B2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54</v>
      </c>
    </row>
    <row r="5" spans="1:26" s="39" customFormat="1">
      <c r="A5" s="39" t="s">
        <v>22</v>
      </c>
      <c r="B5" s="40"/>
      <c r="C5" s="39">
        <f>SUM(C12:C105)</f>
        <v>20</v>
      </c>
      <c r="D5" s="39">
        <f>SUM(D12:D105)</f>
        <v>15</v>
      </c>
      <c r="G5" s="39">
        <f>SUM(G12:G105)</f>
        <v>1</v>
      </c>
      <c r="H5" s="39">
        <f t="shared" ref="H5:Z5" si="0">SUM(H12:H105)</f>
        <v>2</v>
      </c>
      <c r="I5" s="39">
        <f t="shared" si="0"/>
        <v>0</v>
      </c>
      <c r="J5" s="39">
        <f t="shared" si="0"/>
        <v>0</v>
      </c>
      <c r="K5" s="39">
        <f t="shared" si="0"/>
        <v>0</v>
      </c>
      <c r="L5" s="39">
        <f t="shared" si="0"/>
        <v>0</v>
      </c>
      <c r="M5" s="39">
        <f t="shared" si="0"/>
        <v>0</v>
      </c>
      <c r="N5" s="39">
        <f t="shared" si="0"/>
        <v>11</v>
      </c>
      <c r="O5" s="39">
        <f t="shared" si="0"/>
        <v>9</v>
      </c>
      <c r="P5" s="39">
        <f t="shared" si="0"/>
        <v>5</v>
      </c>
      <c r="Q5" s="39">
        <f t="shared" si="0"/>
        <v>2</v>
      </c>
      <c r="R5" s="39">
        <f t="shared" si="0"/>
        <v>430.99999999999989</v>
      </c>
      <c r="S5" s="39">
        <f t="shared" si="0"/>
        <v>172.59999999999997</v>
      </c>
      <c r="T5" s="39">
        <f t="shared" si="0"/>
        <v>317.90000000000003</v>
      </c>
      <c r="U5" s="39">
        <f t="shared" si="0"/>
        <v>28.299999999999997</v>
      </c>
      <c r="V5" s="41">
        <f t="shared" si="0"/>
        <v>4549.29</v>
      </c>
      <c r="W5" s="41">
        <f t="shared" si="0"/>
        <v>4899.1500000000005</v>
      </c>
      <c r="X5" s="41">
        <f t="shared" si="0"/>
        <v>54163.969999999994</v>
      </c>
      <c r="Y5" s="41">
        <f t="shared" si="0"/>
        <v>63612.41</v>
      </c>
      <c r="Z5" s="41">
        <f t="shared" si="0"/>
        <v>68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0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0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0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0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0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0</v>
      </c>
      <c r="D45" s="35">
        <v>0</v>
      </c>
      <c r="E45" s="35">
        <f t="shared" si="5"/>
        <v>0</v>
      </c>
      <c r="F45" s="35">
        <f t="shared" si="2"/>
        <v>0</v>
      </c>
      <c r="V45" s="38">
        <f>R45*(1+S45)*原始运算表格!$P$2*原始运算表格!$Q$2</f>
        <v>0</v>
      </c>
      <c r="W45" s="38">
        <f>T45*(1+U45)*原始运算表格!$R$2*原始运算表格!$S$2</f>
        <v>0</v>
      </c>
      <c r="X45" s="38">
        <f>Y45-W45-V45</f>
        <v>0</v>
      </c>
      <c r="Y45" s="38">
        <f>(V45+W45)*(1+Z45)</f>
        <v>0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0</v>
      </c>
      <c r="D46" s="35">
        <v>0</v>
      </c>
      <c r="E46" s="35">
        <f t="shared" si="5"/>
        <v>0</v>
      </c>
      <c r="F46" s="35">
        <f t="shared" si="2"/>
        <v>0</v>
      </c>
      <c r="V46" s="38">
        <f>R46*(1+S46)*原始运算表格!$P$2*原始运算表格!$Q$2</f>
        <v>0</v>
      </c>
      <c r="W46" s="38">
        <f>T46*(1+U46)*原始运算表格!$R$2*原始运算表格!$S$2</f>
        <v>0</v>
      </c>
      <c r="X46" s="38">
        <f t="shared" ref="X46:X79" si="7">Y46-W46-V46</f>
        <v>0</v>
      </c>
      <c r="Y46" s="38">
        <f t="shared" ref="Y46:Y79" si="8">(V46+W46)*(1+Z46)</f>
        <v>0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0</v>
      </c>
      <c r="D47" s="35">
        <v>0</v>
      </c>
      <c r="E47" s="35">
        <f t="shared" si="5"/>
        <v>0</v>
      </c>
      <c r="F47" s="35">
        <f t="shared" si="2"/>
        <v>0</v>
      </c>
      <c r="V47" s="38">
        <f>R47*(1+S47)*原始运算表格!$P$2*原始运算表格!$Q$2</f>
        <v>0</v>
      </c>
      <c r="W47" s="38">
        <f>T47*(1+U47)*原始运算表格!$R$2*原始运算表格!$S$2</f>
        <v>0</v>
      </c>
      <c r="X47" s="38">
        <f t="shared" si="7"/>
        <v>0</v>
      </c>
      <c r="Y47" s="38">
        <f t="shared" si="8"/>
        <v>0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35">
        <v>1987</v>
      </c>
      <c r="B48" s="35">
        <f t="shared" si="6"/>
        <v>1988</v>
      </c>
      <c r="C48" s="35">
        <v>0</v>
      </c>
      <c r="D48" s="35">
        <v>0</v>
      </c>
      <c r="E48" s="35">
        <f t="shared" si="5"/>
        <v>0</v>
      </c>
      <c r="F48" s="35">
        <f t="shared" si="2"/>
        <v>0</v>
      </c>
      <c r="V48" s="38">
        <f>R48*(1+S48)*原始运算表格!$P$2*原始运算表格!$Q$2</f>
        <v>0</v>
      </c>
      <c r="W48" s="38">
        <f>T48*(1+U48)*原始运算表格!$R$2*原始运算表格!$S$2</f>
        <v>0</v>
      </c>
      <c r="X48" s="38">
        <f t="shared" si="7"/>
        <v>0</v>
      </c>
      <c r="Y48" s="38">
        <f t="shared" si="8"/>
        <v>0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35">
        <v>1988</v>
      </c>
      <c r="B49" s="35">
        <f t="shared" si="6"/>
        <v>1989</v>
      </c>
      <c r="C49" s="35">
        <v>0</v>
      </c>
      <c r="D49" s="35">
        <v>0</v>
      </c>
      <c r="E49" s="35">
        <f t="shared" si="5"/>
        <v>0</v>
      </c>
      <c r="F49" s="35">
        <f t="shared" si="2"/>
        <v>0</v>
      </c>
      <c r="V49" s="38">
        <f>R49*(1+S49)*原始运算表格!$P$2*原始运算表格!$Q$2</f>
        <v>0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0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0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0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0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0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0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0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0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1</v>
      </c>
      <c r="D57" s="35">
        <v>1</v>
      </c>
      <c r="E57" s="35">
        <f t="shared" si="5"/>
        <v>1</v>
      </c>
      <c r="F57" s="35">
        <f t="shared" si="2"/>
        <v>1</v>
      </c>
      <c r="R57" s="35">
        <v>14.4</v>
      </c>
      <c r="S57" s="35">
        <v>1.8</v>
      </c>
      <c r="T57" s="35">
        <v>12.5</v>
      </c>
      <c r="U57" s="35">
        <v>0.1</v>
      </c>
      <c r="V57" s="38">
        <f>R57*(1+S57)*原始运算表格!$P$2*原始运算表格!$Q$2</f>
        <v>40.32</v>
      </c>
      <c r="W57" s="38">
        <f>T57*(1+U57)*原始运算表格!$R$2*原始运算表格!$S$2</f>
        <v>68.750000000000014</v>
      </c>
      <c r="X57" s="38">
        <f t="shared" si="7"/>
        <v>0</v>
      </c>
      <c r="Y57" s="38">
        <f t="shared" si="8"/>
        <v>109.07000000000002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1</v>
      </c>
      <c r="D58" s="35">
        <v>1</v>
      </c>
      <c r="E58" s="35">
        <f t="shared" si="5"/>
        <v>2</v>
      </c>
      <c r="F58" s="35">
        <f t="shared" si="2"/>
        <v>2</v>
      </c>
      <c r="R58" s="35">
        <v>18.5</v>
      </c>
      <c r="S58" s="35">
        <v>6.3</v>
      </c>
      <c r="T58" s="35">
        <v>12.8</v>
      </c>
      <c r="U58" s="35">
        <v>0.2</v>
      </c>
      <c r="V58" s="38">
        <f>R58*(1+S58)*原始运算表格!$P$2*原始运算表格!$Q$2</f>
        <v>135.04999999999998</v>
      </c>
      <c r="W58" s="38">
        <f>T58*(1+U58)*原始运算表格!$R$2*原始运算表格!$S$2</f>
        <v>76.8</v>
      </c>
      <c r="X58" s="38">
        <f t="shared" si="7"/>
        <v>0</v>
      </c>
      <c r="Y58" s="38">
        <f t="shared" si="8"/>
        <v>211.84999999999997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1</v>
      </c>
      <c r="D59" s="35">
        <v>1</v>
      </c>
      <c r="E59" s="35">
        <f t="shared" si="5"/>
        <v>3</v>
      </c>
      <c r="F59" s="35">
        <f t="shared" si="2"/>
        <v>3</v>
      </c>
      <c r="R59" s="35">
        <v>18.899999999999999</v>
      </c>
      <c r="S59" s="35">
        <v>5.2</v>
      </c>
      <c r="T59" s="35">
        <v>19.100000000000001</v>
      </c>
      <c r="U59" s="35">
        <v>0.4</v>
      </c>
      <c r="V59" s="38">
        <f>R59*(1+S59)*原始运算表格!$P$2*原始运算表格!$Q$2</f>
        <v>117.17999999999999</v>
      </c>
      <c r="W59" s="38">
        <f>T59*(1+U59)*原始运算表格!$R$2*原始运算表格!$S$2</f>
        <v>133.70000000000002</v>
      </c>
      <c r="X59" s="38">
        <f t="shared" si="7"/>
        <v>0</v>
      </c>
      <c r="Y59" s="38">
        <f t="shared" si="8"/>
        <v>250.88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1</v>
      </c>
      <c r="D60" s="35">
        <v>1</v>
      </c>
      <c r="E60" s="35">
        <f t="shared" si="5"/>
        <v>4</v>
      </c>
      <c r="F60" s="35">
        <f t="shared" si="2"/>
        <v>4</v>
      </c>
      <c r="O60" s="35">
        <v>1</v>
      </c>
      <c r="P60" s="35">
        <v>1</v>
      </c>
      <c r="R60" s="35">
        <v>21.7</v>
      </c>
      <c r="S60" s="35">
        <v>10.6</v>
      </c>
      <c r="T60" s="35">
        <v>19.3</v>
      </c>
      <c r="U60" s="35">
        <v>2.1</v>
      </c>
      <c r="V60" s="38">
        <f>R60*(1+S60)*原始运算表格!$P$2*原始运算表格!$Q$2</f>
        <v>251.71999999999997</v>
      </c>
      <c r="W60" s="38">
        <f>T60*(1+U60)*原始运算表格!$R$2*原始运算表格!$S$2</f>
        <v>299.15000000000003</v>
      </c>
      <c r="X60" s="38">
        <f t="shared" si="7"/>
        <v>2754.3500000000004</v>
      </c>
      <c r="Y60" s="38">
        <f t="shared" si="8"/>
        <v>3305.2200000000003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5</v>
      </c>
    </row>
    <row r="61" spans="1:26">
      <c r="A61" s="35">
        <v>2000</v>
      </c>
      <c r="B61" s="35">
        <f t="shared" si="6"/>
        <v>2001</v>
      </c>
      <c r="C61" s="35">
        <v>1</v>
      </c>
      <c r="D61" s="35">
        <v>1</v>
      </c>
      <c r="E61" s="35">
        <f t="shared" si="5"/>
        <v>5</v>
      </c>
      <c r="F61" s="35">
        <f t="shared" si="2"/>
        <v>5</v>
      </c>
      <c r="P61" s="35">
        <v>1</v>
      </c>
      <c r="R61" s="35">
        <v>24.5</v>
      </c>
      <c r="S61" s="35">
        <v>11.3</v>
      </c>
      <c r="T61" s="35">
        <v>25</v>
      </c>
      <c r="U61" s="35">
        <v>3.8</v>
      </c>
      <c r="V61" s="38">
        <f>R61*(1+S61)*原始运算表格!$P$2*原始运算表格!$Q$2</f>
        <v>301.35000000000002</v>
      </c>
      <c r="W61" s="38">
        <f>T61*(1+U61)*原始运算表格!$R$2*原始运算表格!$S$2</f>
        <v>600</v>
      </c>
      <c r="X61" s="38">
        <f t="shared" si="7"/>
        <v>3605.4</v>
      </c>
      <c r="Y61" s="38">
        <f t="shared" si="8"/>
        <v>4506.75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4</v>
      </c>
    </row>
    <row r="62" spans="1:26">
      <c r="A62" s="35">
        <v>2001</v>
      </c>
      <c r="B62" s="35">
        <f t="shared" si="6"/>
        <v>2002</v>
      </c>
      <c r="C62" s="35">
        <v>1</v>
      </c>
      <c r="D62" s="35">
        <v>1</v>
      </c>
      <c r="E62" s="35">
        <f t="shared" si="5"/>
        <v>6</v>
      </c>
      <c r="F62" s="35">
        <f t="shared" si="2"/>
        <v>6</v>
      </c>
      <c r="I62" s="42"/>
      <c r="J62" s="42"/>
      <c r="K62" s="42"/>
      <c r="L62" s="42"/>
      <c r="M62" s="42"/>
      <c r="N62" s="35">
        <v>1</v>
      </c>
      <c r="P62" s="35">
        <v>1</v>
      </c>
      <c r="R62" s="35">
        <v>23.2</v>
      </c>
      <c r="S62" s="35">
        <v>12.7</v>
      </c>
      <c r="T62" s="35">
        <v>20.5</v>
      </c>
      <c r="U62" s="35">
        <v>2.6</v>
      </c>
      <c r="V62" s="38">
        <f>R62*(1+S62)*原始运算表格!$P$2*原始运算表格!$Q$2</f>
        <v>317.83999999999997</v>
      </c>
      <c r="W62" s="38">
        <f>T62*(1+U62)*原始运算表格!$R$2*原始运算表格!$S$2</f>
        <v>369</v>
      </c>
      <c r="X62" s="38">
        <f t="shared" si="7"/>
        <v>3434.1999999999989</v>
      </c>
      <c r="Y62" s="38">
        <f t="shared" si="8"/>
        <v>4121.0399999999991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5</v>
      </c>
    </row>
    <row r="63" spans="1:26">
      <c r="A63" s="35">
        <v>2002</v>
      </c>
      <c r="B63" s="35">
        <f t="shared" si="6"/>
        <v>2003</v>
      </c>
      <c r="C63" s="35">
        <v>1</v>
      </c>
      <c r="D63" s="35">
        <v>1</v>
      </c>
      <c r="E63" s="35">
        <f t="shared" si="5"/>
        <v>7</v>
      </c>
      <c r="F63" s="35">
        <f t="shared" si="2"/>
        <v>7</v>
      </c>
      <c r="I63" s="42"/>
      <c r="J63" s="42"/>
      <c r="K63" s="42"/>
      <c r="L63" s="42"/>
      <c r="M63" s="42"/>
      <c r="N63" s="35">
        <v>1</v>
      </c>
      <c r="O63" s="35">
        <v>1</v>
      </c>
      <c r="P63" s="42"/>
      <c r="R63" s="35">
        <v>26.2</v>
      </c>
      <c r="S63" s="35">
        <v>14.9</v>
      </c>
      <c r="T63" s="35">
        <v>22.2</v>
      </c>
      <c r="U63" s="35">
        <v>1.5</v>
      </c>
      <c r="V63" s="38">
        <f>R63*(1+S63)*原始运算表格!$P$2*原始运算表格!$Q$2</f>
        <v>416.58</v>
      </c>
      <c r="W63" s="38">
        <f>T63*(1+U63)*原始运算表格!$R$2*原始运算表格!$S$2</f>
        <v>277.5</v>
      </c>
      <c r="X63" s="38">
        <f t="shared" si="7"/>
        <v>1388.1599999999999</v>
      </c>
      <c r="Y63" s="38">
        <f t="shared" si="8"/>
        <v>2082.2399999999998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2</v>
      </c>
    </row>
    <row r="64" spans="1:26">
      <c r="A64" s="35">
        <v>2003</v>
      </c>
      <c r="B64" s="35">
        <f t="shared" si="6"/>
        <v>2004</v>
      </c>
      <c r="C64" s="35">
        <v>1</v>
      </c>
      <c r="D64" s="35">
        <v>1</v>
      </c>
      <c r="E64" s="35">
        <f t="shared" si="5"/>
        <v>8</v>
      </c>
      <c r="F64" s="35">
        <f t="shared" si="2"/>
        <v>8</v>
      </c>
      <c r="N64" s="35">
        <v>1</v>
      </c>
      <c r="O64" s="35">
        <v>1</v>
      </c>
      <c r="R64" s="35">
        <v>23.7</v>
      </c>
      <c r="S64" s="35">
        <v>10.7</v>
      </c>
      <c r="T64" s="35">
        <v>21</v>
      </c>
      <c r="U64" s="35">
        <v>2.9</v>
      </c>
      <c r="V64" s="38">
        <f>R64*(1+S64)*原始运算表格!$P$2*原始运算表格!$Q$2</f>
        <v>277.28999999999996</v>
      </c>
      <c r="W64" s="38">
        <f>T64*(1+U64)*原始运算表格!$R$2*原始运算表格!$S$2</f>
        <v>409.49999999999994</v>
      </c>
      <c r="X64" s="38">
        <f t="shared" si="7"/>
        <v>1373.58</v>
      </c>
      <c r="Y64" s="38">
        <f t="shared" si="8"/>
        <v>2060.37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2</v>
      </c>
    </row>
    <row r="65" spans="1:26">
      <c r="A65" s="35">
        <v>2004</v>
      </c>
      <c r="B65" s="35">
        <f t="shared" si="6"/>
        <v>2005</v>
      </c>
      <c r="C65" s="35">
        <v>1</v>
      </c>
      <c r="D65" s="35">
        <v>0</v>
      </c>
      <c r="E65" s="35">
        <f t="shared" si="5"/>
        <v>9</v>
      </c>
      <c r="F65" s="35">
        <f t="shared" si="2"/>
        <v>9</v>
      </c>
      <c r="R65" s="35">
        <v>23.3</v>
      </c>
      <c r="S65" s="35">
        <v>8.1</v>
      </c>
      <c r="V65" s="38">
        <f>R65*(1+S65)*原始运算表格!$P$2*原始运算表格!$Q$2</f>
        <v>212.03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212.03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1</v>
      </c>
      <c r="D66" s="35">
        <v>1</v>
      </c>
      <c r="E66" s="35">
        <f t="shared" si="5"/>
        <v>10</v>
      </c>
      <c r="F66" s="35">
        <f t="shared" si="2"/>
        <v>10</v>
      </c>
      <c r="H66" s="35">
        <v>1</v>
      </c>
      <c r="N66" s="35">
        <v>1</v>
      </c>
      <c r="O66" s="35">
        <v>1</v>
      </c>
      <c r="R66" s="35">
        <v>28</v>
      </c>
      <c r="S66" s="35">
        <v>15.3</v>
      </c>
      <c r="T66" s="35">
        <v>19.899999999999999</v>
      </c>
      <c r="U66" s="35">
        <v>0.6</v>
      </c>
      <c r="V66" s="38">
        <f>R66*(1+S66)*原始运算表格!$P$2*原始运算表格!$Q$2</f>
        <v>456.40000000000003</v>
      </c>
      <c r="W66" s="38">
        <f>T66*(1+U66)*原始运算表格!$R$2*原始运算表格!$S$2</f>
        <v>159.19999999999999</v>
      </c>
      <c r="X66" s="38">
        <f t="shared" si="7"/>
        <v>2462.4</v>
      </c>
      <c r="Y66" s="38">
        <f t="shared" si="8"/>
        <v>3078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4</v>
      </c>
    </row>
    <row r="67" spans="1:26">
      <c r="A67" s="35">
        <v>2006</v>
      </c>
      <c r="B67" s="35">
        <f t="shared" si="6"/>
        <v>2007</v>
      </c>
      <c r="C67" s="35">
        <v>1</v>
      </c>
      <c r="D67" s="35">
        <v>1</v>
      </c>
      <c r="E67" s="35">
        <f t="shared" si="5"/>
        <v>11</v>
      </c>
      <c r="F67" s="35">
        <f t="shared" si="2"/>
        <v>11</v>
      </c>
      <c r="H67" s="35">
        <v>1</v>
      </c>
      <c r="N67" s="35">
        <v>1</v>
      </c>
      <c r="O67" s="35">
        <v>1</v>
      </c>
      <c r="R67" s="35">
        <v>26.1</v>
      </c>
      <c r="S67" s="35">
        <v>13</v>
      </c>
      <c r="T67" s="35">
        <v>24.1</v>
      </c>
      <c r="U67" s="35">
        <v>0.5</v>
      </c>
      <c r="V67" s="38">
        <f>R67*(1+S67)*原始运算表格!$P$2*原始运算表格!$Q$2</f>
        <v>365.40000000000003</v>
      </c>
      <c r="W67" s="38">
        <f>T67*(1+U67)*原始运算表格!$R$2*原始运算表格!$S$2</f>
        <v>180.75000000000003</v>
      </c>
      <c r="X67" s="38">
        <f t="shared" si="7"/>
        <v>2184.6000000000004</v>
      </c>
      <c r="Y67" s="38">
        <f t="shared" si="8"/>
        <v>2730.7500000000005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4</v>
      </c>
    </row>
    <row r="68" spans="1:26">
      <c r="A68" s="35">
        <v>2007</v>
      </c>
      <c r="B68" s="35">
        <f t="shared" si="6"/>
        <v>2008</v>
      </c>
      <c r="C68" s="35">
        <v>1</v>
      </c>
      <c r="D68" s="35">
        <v>1</v>
      </c>
      <c r="E68" s="35">
        <f t="shared" si="5"/>
        <v>12</v>
      </c>
      <c r="F68" s="35">
        <f t="shared" si="2"/>
        <v>12</v>
      </c>
      <c r="G68" s="35">
        <v>1</v>
      </c>
      <c r="N68" s="35">
        <v>1</v>
      </c>
      <c r="O68" s="35">
        <v>1</v>
      </c>
      <c r="R68" s="35">
        <v>24.2</v>
      </c>
      <c r="S68" s="35">
        <v>13.8</v>
      </c>
      <c r="T68" s="35">
        <v>25</v>
      </c>
      <c r="U68" s="35">
        <v>3.2</v>
      </c>
      <c r="V68" s="38">
        <f>R68*(1+S68)*原始运算表格!$P$2*原始运算表格!$Q$2</f>
        <v>358.16</v>
      </c>
      <c r="W68" s="38">
        <f>T68*(1+U68)*原始运算表格!$R$2*原始运算表格!$S$2</f>
        <v>525</v>
      </c>
      <c r="X68" s="38">
        <f t="shared" si="7"/>
        <v>8831.6</v>
      </c>
      <c r="Y68" s="38">
        <f t="shared" si="8"/>
        <v>9714.76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10</v>
      </c>
    </row>
    <row r="69" spans="1:26">
      <c r="A69" s="35">
        <v>2008</v>
      </c>
      <c r="B69" s="35">
        <f t="shared" si="6"/>
        <v>2009</v>
      </c>
      <c r="C69" s="35">
        <v>1</v>
      </c>
      <c r="D69" s="35">
        <v>1</v>
      </c>
      <c r="E69" s="35">
        <f t="shared" si="5"/>
        <v>13</v>
      </c>
      <c r="F69" s="35">
        <f t="shared" si="2"/>
        <v>13</v>
      </c>
      <c r="N69" s="35">
        <v>1</v>
      </c>
      <c r="O69" s="35">
        <v>1</v>
      </c>
      <c r="P69" s="35">
        <v>1</v>
      </c>
      <c r="Q69" s="35">
        <v>1</v>
      </c>
      <c r="R69" s="35">
        <v>24.4</v>
      </c>
      <c r="S69" s="35">
        <v>12.7</v>
      </c>
      <c r="T69" s="35">
        <v>26.8</v>
      </c>
      <c r="U69" s="35">
        <v>4.7</v>
      </c>
      <c r="V69" s="38">
        <f>R69*(1+S69)*原始运算表格!$P$2*原始运算表格!$Q$2</f>
        <v>334.28</v>
      </c>
      <c r="W69" s="38">
        <f>T69*(1+U69)*原始运算表格!$R$2*原始运算表格!$S$2</f>
        <v>763.80000000000007</v>
      </c>
      <c r="X69" s="38">
        <f t="shared" si="7"/>
        <v>15373.119999999997</v>
      </c>
      <c r="Y69" s="38">
        <f t="shared" si="8"/>
        <v>16471.199999999997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14</v>
      </c>
    </row>
    <row r="70" spans="1:26">
      <c r="A70" s="35">
        <v>2009</v>
      </c>
      <c r="B70" s="35">
        <f t="shared" si="6"/>
        <v>2010</v>
      </c>
      <c r="C70" s="35">
        <v>1</v>
      </c>
      <c r="D70" s="35">
        <v>1</v>
      </c>
      <c r="E70" s="35">
        <f t="shared" si="5"/>
        <v>14</v>
      </c>
      <c r="F70" s="35">
        <f t="shared" si="2"/>
        <v>14</v>
      </c>
      <c r="N70" s="35">
        <v>1</v>
      </c>
      <c r="O70" s="35">
        <v>1</v>
      </c>
      <c r="P70" s="35">
        <v>1</v>
      </c>
      <c r="Q70" s="35">
        <v>1</v>
      </c>
      <c r="R70" s="35">
        <v>21.9</v>
      </c>
      <c r="S70" s="35">
        <v>9.4</v>
      </c>
      <c r="T70" s="35">
        <v>24.7</v>
      </c>
      <c r="U70" s="35">
        <v>3.6</v>
      </c>
      <c r="V70" s="38">
        <f>R70*(1+S70)*原始运算表格!$P$2*原始运算表格!$Q$2</f>
        <v>227.76</v>
      </c>
      <c r="W70" s="38">
        <f>T70*(1+U70)*原始运算表格!$R$2*原始运算表格!$S$2</f>
        <v>568.09999999999991</v>
      </c>
      <c r="X70" s="38">
        <f t="shared" si="7"/>
        <v>11142.039999999997</v>
      </c>
      <c r="Y70" s="38">
        <f t="shared" si="8"/>
        <v>11937.899999999998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14</v>
      </c>
    </row>
    <row r="71" spans="1:26">
      <c r="A71" s="35">
        <v>2010</v>
      </c>
      <c r="B71" s="35">
        <f t="shared" si="6"/>
        <v>2011</v>
      </c>
      <c r="C71" s="35">
        <v>1</v>
      </c>
      <c r="D71" s="35">
        <v>1</v>
      </c>
      <c r="E71" s="35">
        <f t="shared" si="5"/>
        <v>15</v>
      </c>
      <c r="F71" s="35">
        <f t="shared" ref="F71:F79" si="9">C71*E71</f>
        <v>15</v>
      </c>
      <c r="N71" s="35">
        <v>1</v>
      </c>
      <c r="O71" s="35">
        <v>1</v>
      </c>
      <c r="R71" s="35">
        <v>23.9</v>
      </c>
      <c r="S71" s="35">
        <v>10.3</v>
      </c>
      <c r="T71" s="35">
        <v>20.6</v>
      </c>
      <c r="U71" s="35">
        <v>0.7</v>
      </c>
      <c r="V71" s="38">
        <f>R71*(1+S71)*原始运算表格!$P$2*原始运算表格!$Q$2</f>
        <v>270.07</v>
      </c>
      <c r="W71" s="38">
        <f>T71*(1+U71)*原始运算表格!$R$2*原始运算表格!$S$2</f>
        <v>175.10000000000002</v>
      </c>
      <c r="X71" s="38">
        <f t="shared" si="7"/>
        <v>890.33999999999992</v>
      </c>
      <c r="Y71" s="38">
        <f t="shared" si="8"/>
        <v>1335.51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2</v>
      </c>
    </row>
    <row r="72" spans="1:26">
      <c r="A72" s="35">
        <v>2011</v>
      </c>
      <c r="B72" s="35">
        <f t="shared" si="6"/>
        <v>2012</v>
      </c>
      <c r="C72" s="35">
        <v>1</v>
      </c>
      <c r="D72" s="35">
        <v>1</v>
      </c>
      <c r="E72" s="35">
        <f t="shared" si="5"/>
        <v>16</v>
      </c>
      <c r="F72" s="35">
        <f t="shared" si="9"/>
        <v>16</v>
      </c>
      <c r="N72" s="35">
        <v>1</v>
      </c>
      <c r="R72" s="35">
        <v>21.9</v>
      </c>
      <c r="S72" s="35">
        <v>6.2</v>
      </c>
      <c r="T72" s="35">
        <v>24.4</v>
      </c>
      <c r="U72" s="35">
        <v>1.4</v>
      </c>
      <c r="V72" s="38">
        <f>R72*(1+S72)*原始运算表格!$P$2*原始运算表格!$Q$2</f>
        <v>157.68</v>
      </c>
      <c r="W72" s="38">
        <f>T72*(1+U72)*原始运算表格!$R$2*原始运算表格!$S$2</f>
        <v>292.79999999999995</v>
      </c>
      <c r="X72" s="38">
        <f t="shared" si="7"/>
        <v>450.47999999999996</v>
      </c>
      <c r="Y72" s="38">
        <f t="shared" si="8"/>
        <v>900.95999999999992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1</v>
      </c>
    </row>
    <row r="73" spans="1:26">
      <c r="A73" s="35">
        <v>2012</v>
      </c>
      <c r="B73" s="35">
        <f t="shared" si="6"/>
        <v>2013</v>
      </c>
      <c r="C73" s="35">
        <v>1</v>
      </c>
      <c r="D73" s="35">
        <v>0</v>
      </c>
      <c r="E73" s="35">
        <f t="shared" ref="E73:E79" si="10">E72+C73</f>
        <v>17</v>
      </c>
      <c r="F73" s="35">
        <f t="shared" si="9"/>
        <v>17</v>
      </c>
      <c r="N73" s="35">
        <v>1</v>
      </c>
      <c r="R73" s="35">
        <v>23</v>
      </c>
      <c r="S73" s="35">
        <v>10.9</v>
      </c>
      <c r="V73" s="38">
        <f>R73*(1+S73)*原始运算表格!$P$2*原始运算表格!$Q$2</f>
        <v>273.7</v>
      </c>
      <c r="W73" s="38">
        <f>T73*(1+U73)*原始运算表格!$R$2*原始运算表格!$S$2</f>
        <v>0</v>
      </c>
      <c r="X73" s="38">
        <f t="shared" si="7"/>
        <v>273.7</v>
      </c>
      <c r="Y73" s="38">
        <f t="shared" si="8"/>
        <v>547.4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1</v>
      </c>
    </row>
    <row r="74" spans="1:26">
      <c r="A74" s="35">
        <v>2013</v>
      </c>
      <c r="B74" s="35">
        <f t="shared" si="6"/>
        <v>2014</v>
      </c>
      <c r="C74" s="35">
        <v>1</v>
      </c>
      <c r="D74" s="35">
        <v>0</v>
      </c>
      <c r="E74" s="35">
        <f t="shared" si="10"/>
        <v>18</v>
      </c>
      <c r="F74" s="35">
        <f t="shared" si="9"/>
        <v>18</v>
      </c>
      <c r="R74" s="35">
        <v>10.7</v>
      </c>
      <c r="S74" s="35">
        <v>-0.4</v>
      </c>
      <c r="V74" s="38">
        <f>R74*(1+S74)*原始运算表格!$P$2*原始运算表格!$Q$2</f>
        <v>6.419999999999999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6.419999999999999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1</v>
      </c>
      <c r="D75" s="35">
        <v>0</v>
      </c>
      <c r="E75" s="35">
        <f t="shared" si="10"/>
        <v>19</v>
      </c>
      <c r="F75" s="35">
        <f t="shared" si="9"/>
        <v>19</v>
      </c>
      <c r="R75" s="35">
        <v>17.600000000000001</v>
      </c>
      <c r="S75" s="35">
        <v>0.2</v>
      </c>
      <c r="V75" s="38">
        <f>R75*(1+S75)*原始运算表格!$P$2*原始运算表格!$Q$2</f>
        <v>21.12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21.12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1</v>
      </c>
      <c r="D76" s="35">
        <v>0</v>
      </c>
      <c r="E76" s="35">
        <f t="shared" si="10"/>
        <v>20</v>
      </c>
      <c r="F76" s="35">
        <f t="shared" si="9"/>
        <v>20</v>
      </c>
      <c r="R76" s="35">
        <v>14.9</v>
      </c>
      <c r="S76" s="35">
        <v>-0.4</v>
      </c>
      <c r="V76" s="38">
        <f>R76*(1+S76)*原始运算表格!$P$2*原始运算表格!$Q$2</f>
        <v>8.94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8.94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20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20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20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79"/>
  <sheetViews>
    <sheetView zoomScale="55" zoomScaleNormal="55" workbookViewId="0">
      <pane ySplit="6" topLeftCell="A46" activePane="bottomLeft" state="frozen"/>
      <selection pane="bottomLeft" sqref="A1:XFD1048576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56</v>
      </c>
    </row>
    <row r="5" spans="1:26" s="39" customFormat="1">
      <c r="A5" s="39" t="s">
        <v>22</v>
      </c>
      <c r="B5" s="40"/>
      <c r="C5" s="39">
        <f>SUM(C12:C105)</f>
        <v>18</v>
      </c>
      <c r="D5" s="39">
        <f>SUM(D12:D105)</f>
        <v>15</v>
      </c>
      <c r="G5" s="39">
        <f>SUM(G12:G105)</f>
        <v>1</v>
      </c>
      <c r="H5" s="39">
        <f t="shared" ref="H5:Z5" si="0">SUM(H12:H105)</f>
        <v>0</v>
      </c>
      <c r="I5" s="39">
        <f t="shared" si="0"/>
        <v>2</v>
      </c>
      <c r="J5" s="39">
        <f t="shared" si="0"/>
        <v>2</v>
      </c>
      <c r="K5" s="39">
        <f t="shared" si="0"/>
        <v>0</v>
      </c>
      <c r="L5" s="39">
        <f t="shared" si="0"/>
        <v>0</v>
      </c>
      <c r="M5" s="39">
        <f t="shared" si="0"/>
        <v>3</v>
      </c>
      <c r="N5" s="39">
        <f t="shared" si="0"/>
        <v>6</v>
      </c>
      <c r="O5" s="39">
        <f t="shared" si="0"/>
        <v>5</v>
      </c>
      <c r="P5" s="39">
        <f t="shared" si="0"/>
        <v>2</v>
      </c>
      <c r="Q5" s="39">
        <f t="shared" si="0"/>
        <v>2</v>
      </c>
      <c r="R5" s="39">
        <f t="shared" si="0"/>
        <v>412.3</v>
      </c>
      <c r="S5" s="39">
        <f t="shared" si="0"/>
        <v>162.59999999999997</v>
      </c>
      <c r="T5" s="39">
        <f t="shared" si="0"/>
        <v>360.00000000000006</v>
      </c>
      <c r="U5" s="39">
        <f t="shared" si="0"/>
        <v>22.5</v>
      </c>
      <c r="V5" s="41">
        <f t="shared" si="0"/>
        <v>4320.32</v>
      </c>
      <c r="W5" s="41">
        <f t="shared" si="0"/>
        <v>4829.8</v>
      </c>
      <c r="X5" s="41">
        <f t="shared" si="0"/>
        <v>50310.219999999994</v>
      </c>
      <c r="Y5" s="41">
        <f t="shared" si="0"/>
        <v>59460.339999999982</v>
      </c>
      <c r="Z5" s="41">
        <f t="shared" si="0"/>
        <v>57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0</v>
      </c>
      <c r="D21" s="35">
        <v>0</v>
      </c>
      <c r="E21" s="35">
        <f t="shared" si="5"/>
        <v>0</v>
      </c>
      <c r="F21" s="35">
        <f t="shared" si="2"/>
        <v>0</v>
      </c>
      <c r="V21" s="38">
        <f>R21*(1+S21)*原始运算表格!$P$2*原始运算表格!$Q$2</f>
        <v>0</v>
      </c>
      <c r="W21" s="38">
        <f>T21*(1+U21)*原始运算表格!$R$2*原始运算表格!$S$2</f>
        <v>0</v>
      </c>
      <c r="X21" s="38">
        <f t="shared" si="3"/>
        <v>0</v>
      </c>
      <c r="Y21" s="38">
        <f t="shared" si="4"/>
        <v>0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0</v>
      </c>
      <c r="D22" s="35">
        <v>0</v>
      </c>
      <c r="E22" s="35">
        <f t="shared" si="5"/>
        <v>0</v>
      </c>
      <c r="F22" s="35">
        <f t="shared" si="2"/>
        <v>0</v>
      </c>
      <c r="V22" s="38">
        <f>R22*(1+S22)*原始运算表格!$P$2*原始运算表格!$Q$2</f>
        <v>0</v>
      </c>
      <c r="W22" s="38">
        <f>T22*(1+U22)*原始运算表格!$R$2*原始运算表格!$S$2</f>
        <v>0</v>
      </c>
      <c r="X22" s="38">
        <f t="shared" si="3"/>
        <v>0</v>
      </c>
      <c r="Y22" s="38">
        <f t="shared" si="4"/>
        <v>0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35">
        <v>1962</v>
      </c>
      <c r="B23" s="35">
        <f t="shared" si="6"/>
        <v>1963</v>
      </c>
      <c r="C23" s="35">
        <v>0</v>
      </c>
      <c r="D23" s="35">
        <v>0</v>
      </c>
      <c r="E23" s="35">
        <f t="shared" si="5"/>
        <v>0</v>
      </c>
      <c r="F23" s="35">
        <f t="shared" si="2"/>
        <v>0</v>
      </c>
      <c r="V23" s="38">
        <f>R23*(1+S23)*原始运算表格!$P$2*原始运算表格!$Q$2</f>
        <v>0</v>
      </c>
      <c r="W23" s="38">
        <f>T23*(1+U23)*原始运算表格!$R$2*原始运算表格!$S$2</f>
        <v>0</v>
      </c>
      <c r="X23" s="38">
        <f t="shared" si="3"/>
        <v>0</v>
      </c>
      <c r="Y23" s="38">
        <f t="shared" si="4"/>
        <v>0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35">
        <v>1963</v>
      </c>
      <c r="B24" s="35">
        <f t="shared" si="6"/>
        <v>1964</v>
      </c>
      <c r="C24" s="35">
        <v>0</v>
      </c>
      <c r="D24" s="35">
        <v>0</v>
      </c>
      <c r="E24" s="35">
        <f t="shared" si="5"/>
        <v>0</v>
      </c>
      <c r="F24" s="35">
        <f t="shared" si="2"/>
        <v>0</v>
      </c>
      <c r="V24" s="38">
        <f>R24*(1+S24)*原始运算表格!$P$2*原始运算表格!$Q$2</f>
        <v>0</v>
      </c>
      <c r="W24" s="38">
        <f>T24*(1+U24)*原始运算表格!$R$2*原始运算表格!$S$2</f>
        <v>0</v>
      </c>
      <c r="X24" s="38">
        <f t="shared" si="3"/>
        <v>0</v>
      </c>
      <c r="Y24" s="38">
        <f t="shared" si="4"/>
        <v>0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35">
        <v>1964</v>
      </c>
      <c r="B25" s="35">
        <f t="shared" si="6"/>
        <v>1965</v>
      </c>
      <c r="C25" s="35">
        <v>0</v>
      </c>
      <c r="D25" s="35">
        <v>0</v>
      </c>
      <c r="E25" s="35">
        <f t="shared" si="5"/>
        <v>0</v>
      </c>
      <c r="F25" s="35">
        <f t="shared" si="2"/>
        <v>0</v>
      </c>
      <c r="V25" s="38">
        <f>R25*(1+S25)*原始运算表格!$P$2*原始运算表格!$Q$2</f>
        <v>0</v>
      </c>
      <c r="W25" s="38">
        <f>T25*(1+U25)*原始运算表格!$R$2*原始运算表格!$S$2</f>
        <v>0</v>
      </c>
      <c r="X25" s="38">
        <f t="shared" si="3"/>
        <v>0</v>
      </c>
      <c r="Y25" s="38">
        <f t="shared" si="4"/>
        <v>0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35">
        <v>1965</v>
      </c>
      <c r="B26" s="35">
        <f t="shared" si="6"/>
        <v>1966</v>
      </c>
      <c r="C26" s="35">
        <v>0</v>
      </c>
      <c r="D26" s="35">
        <v>0</v>
      </c>
      <c r="E26" s="35">
        <f t="shared" si="5"/>
        <v>0</v>
      </c>
      <c r="F26" s="35">
        <f t="shared" si="2"/>
        <v>0</v>
      </c>
      <c r="V26" s="38">
        <f>R26*(1+S26)*原始运算表格!$P$2*原始运算表格!$Q$2</f>
        <v>0</v>
      </c>
      <c r="W26" s="38">
        <f>T26*(1+U26)*原始运算表格!$R$2*原始运算表格!$S$2</f>
        <v>0</v>
      </c>
      <c r="X26" s="38">
        <f t="shared" si="3"/>
        <v>0</v>
      </c>
      <c r="Y26" s="38">
        <f t="shared" si="4"/>
        <v>0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35">
        <v>1966</v>
      </c>
      <c r="B27" s="35">
        <f t="shared" si="6"/>
        <v>1967</v>
      </c>
      <c r="C27" s="35">
        <v>0</v>
      </c>
      <c r="D27" s="35">
        <v>0</v>
      </c>
      <c r="E27" s="35">
        <f t="shared" si="5"/>
        <v>0</v>
      </c>
      <c r="F27" s="35">
        <f t="shared" si="2"/>
        <v>0</v>
      </c>
      <c r="V27" s="38">
        <f>R27*(1+S27)*原始运算表格!$P$2*原始运算表格!$Q$2</f>
        <v>0</v>
      </c>
      <c r="W27" s="38">
        <f>T27*(1+U27)*原始运算表格!$R$2*原始运算表格!$S$2</f>
        <v>0</v>
      </c>
      <c r="X27" s="38">
        <f t="shared" si="3"/>
        <v>0</v>
      </c>
      <c r="Y27" s="38">
        <f t="shared" si="4"/>
        <v>0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35">
        <v>1967</v>
      </c>
      <c r="B28" s="35">
        <f t="shared" si="6"/>
        <v>1968</v>
      </c>
      <c r="C28" s="35">
        <v>0</v>
      </c>
      <c r="D28" s="35">
        <v>0</v>
      </c>
      <c r="E28" s="35">
        <f t="shared" si="5"/>
        <v>0</v>
      </c>
      <c r="F28" s="35">
        <f t="shared" si="2"/>
        <v>0</v>
      </c>
      <c r="V28" s="38">
        <f>R28*(1+S28)*原始运算表格!$P$2*原始运算表格!$Q$2</f>
        <v>0</v>
      </c>
      <c r="W28" s="38">
        <f>T28*(1+U28)*原始运算表格!$R$2*原始运算表格!$S$2</f>
        <v>0</v>
      </c>
      <c r="X28" s="38">
        <f t="shared" si="3"/>
        <v>0</v>
      </c>
      <c r="Y28" s="38">
        <f t="shared" si="4"/>
        <v>0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0</v>
      </c>
      <c r="D29" s="35">
        <v>0</v>
      </c>
      <c r="E29" s="35">
        <f t="shared" si="5"/>
        <v>0</v>
      </c>
      <c r="F29" s="35">
        <f t="shared" si="2"/>
        <v>0</v>
      </c>
      <c r="V29" s="38">
        <f>R29*(1+S29)*原始运算表格!$P$2*原始运算表格!$Q$2</f>
        <v>0</v>
      </c>
      <c r="W29" s="38">
        <f>T29*(1+U29)*原始运算表格!$R$2*原始运算表格!$S$2</f>
        <v>0</v>
      </c>
      <c r="X29" s="38">
        <f t="shared" si="3"/>
        <v>0</v>
      </c>
      <c r="Y29" s="38">
        <f t="shared" si="4"/>
        <v>0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35">
        <v>1969</v>
      </c>
      <c r="B30" s="35">
        <f t="shared" si="6"/>
        <v>1970</v>
      </c>
      <c r="C30" s="35">
        <v>0</v>
      </c>
      <c r="D30" s="35">
        <v>0</v>
      </c>
      <c r="E30" s="35">
        <f t="shared" si="5"/>
        <v>0</v>
      </c>
      <c r="F30" s="35">
        <f t="shared" si="2"/>
        <v>0</v>
      </c>
      <c r="V30" s="38">
        <f>R30*(1+S30)*原始运算表格!$P$2*原始运算表格!$Q$2</f>
        <v>0</v>
      </c>
      <c r="W30" s="38">
        <f>T30*(1+U30)*原始运算表格!$R$2*原始运算表格!$S$2</f>
        <v>0</v>
      </c>
      <c r="X30" s="38">
        <f t="shared" si="3"/>
        <v>0</v>
      </c>
      <c r="Y30" s="38">
        <f t="shared" si="4"/>
        <v>0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35">
        <v>1970</v>
      </c>
      <c r="B31" s="35">
        <f t="shared" si="6"/>
        <v>1971</v>
      </c>
      <c r="C31" s="35">
        <v>0</v>
      </c>
      <c r="D31" s="35">
        <v>0</v>
      </c>
      <c r="E31" s="35">
        <f t="shared" si="5"/>
        <v>0</v>
      </c>
      <c r="F31" s="35">
        <f t="shared" si="2"/>
        <v>0</v>
      </c>
      <c r="V31" s="38">
        <f>R31*(1+S31)*原始运算表格!$P$2*原始运算表格!$Q$2</f>
        <v>0</v>
      </c>
      <c r="W31" s="38">
        <f>T31*(1+U31)*原始运算表格!$R$2*原始运算表格!$S$2</f>
        <v>0</v>
      </c>
      <c r="X31" s="38">
        <f t="shared" si="3"/>
        <v>0</v>
      </c>
      <c r="Y31" s="38">
        <f t="shared" si="4"/>
        <v>0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35">
        <v>1971</v>
      </c>
      <c r="B32" s="35">
        <f t="shared" si="6"/>
        <v>1972</v>
      </c>
      <c r="C32" s="35">
        <v>0</v>
      </c>
      <c r="D32" s="35">
        <v>0</v>
      </c>
      <c r="E32" s="35">
        <f t="shared" si="5"/>
        <v>0</v>
      </c>
      <c r="F32" s="35">
        <f t="shared" si="2"/>
        <v>0</v>
      </c>
      <c r="V32" s="38">
        <f>R32*(1+S32)*原始运算表格!$P$2*原始运算表格!$Q$2</f>
        <v>0</v>
      </c>
      <c r="W32" s="38">
        <f>T32*(1+U32)*原始运算表格!$R$2*原始运算表格!$S$2</f>
        <v>0</v>
      </c>
      <c r="X32" s="38">
        <f t="shared" si="3"/>
        <v>0</v>
      </c>
      <c r="Y32" s="38">
        <f t="shared" si="4"/>
        <v>0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35">
        <v>1972</v>
      </c>
      <c r="B33" s="35">
        <f t="shared" si="6"/>
        <v>1973</v>
      </c>
      <c r="C33" s="35">
        <v>0</v>
      </c>
      <c r="D33" s="35">
        <v>0</v>
      </c>
      <c r="E33" s="35">
        <f t="shared" si="5"/>
        <v>0</v>
      </c>
      <c r="F33" s="35">
        <f t="shared" si="2"/>
        <v>0</v>
      </c>
      <c r="V33" s="38">
        <f>R33*(1+S33)*原始运算表格!$P$2*原始运算表格!$Q$2</f>
        <v>0</v>
      </c>
      <c r="W33" s="38">
        <f>T33*(1+U33)*原始运算表格!$R$2*原始运算表格!$S$2</f>
        <v>0</v>
      </c>
      <c r="X33" s="38">
        <f t="shared" si="3"/>
        <v>0</v>
      </c>
      <c r="Y33" s="38">
        <f t="shared" si="4"/>
        <v>0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35">
        <v>1973</v>
      </c>
      <c r="B34" s="35">
        <f t="shared" si="6"/>
        <v>1974</v>
      </c>
      <c r="C34" s="35">
        <v>0</v>
      </c>
      <c r="D34" s="35">
        <v>0</v>
      </c>
      <c r="E34" s="35">
        <f t="shared" si="5"/>
        <v>0</v>
      </c>
      <c r="F34" s="35">
        <f t="shared" si="2"/>
        <v>0</v>
      </c>
      <c r="V34" s="38">
        <f>R34*(1+S34)*原始运算表格!$P$2*原始运算表格!$Q$2</f>
        <v>0</v>
      </c>
      <c r="W34" s="38">
        <f>T34*(1+U34)*原始运算表格!$R$2*原始运算表格!$S$2</f>
        <v>0</v>
      </c>
      <c r="X34" s="38">
        <f t="shared" si="3"/>
        <v>0</v>
      </c>
      <c r="Y34" s="38">
        <f t="shared" si="4"/>
        <v>0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0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0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0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0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0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0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0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0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0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0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1</v>
      </c>
      <c r="D45" s="35">
        <v>1</v>
      </c>
      <c r="E45" s="35">
        <f t="shared" si="5"/>
        <v>1</v>
      </c>
      <c r="F45" s="35">
        <f t="shared" si="2"/>
        <v>1</v>
      </c>
      <c r="R45" s="35">
        <v>21.1</v>
      </c>
      <c r="S45" s="35">
        <v>10.199999999999999</v>
      </c>
      <c r="T45" s="35">
        <v>19.7</v>
      </c>
      <c r="U45" s="35">
        <v>0.6</v>
      </c>
      <c r="V45" s="38">
        <f>R45*(1+S45)*原始运算表格!$P$2*原始运算表格!$Q$2</f>
        <v>236.32</v>
      </c>
      <c r="W45" s="38">
        <f>T45*(1+U45)*原始运算表格!$R$2*原始运算表格!$S$2</f>
        <v>157.6</v>
      </c>
      <c r="X45" s="38">
        <f>Y45-W45-V45</f>
        <v>0</v>
      </c>
      <c r="Y45" s="38">
        <f>(V45+W45)*(1+Z45)</f>
        <v>393.91999999999996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1</v>
      </c>
      <c r="D46" s="35">
        <v>1</v>
      </c>
      <c r="E46" s="35">
        <f t="shared" si="5"/>
        <v>2</v>
      </c>
      <c r="F46" s="35">
        <f t="shared" si="2"/>
        <v>2</v>
      </c>
      <c r="R46" s="35">
        <v>24.2</v>
      </c>
      <c r="S46" s="35">
        <v>9.5</v>
      </c>
      <c r="T46" s="35">
        <v>25.6</v>
      </c>
      <c r="U46" s="35">
        <v>3.7</v>
      </c>
      <c r="V46" s="38">
        <f>R46*(1+S46)*原始运算表格!$P$2*原始运算表格!$Q$2</f>
        <v>254.1</v>
      </c>
      <c r="W46" s="38">
        <f>T46*(1+U46)*原始运算表格!$R$2*原始运算表格!$S$2</f>
        <v>601.6</v>
      </c>
      <c r="X46" s="38">
        <f t="shared" ref="X46:X79" si="7">Y46-W46-V46</f>
        <v>0</v>
      </c>
      <c r="Y46" s="38">
        <f t="shared" ref="Y46:Y79" si="8">(V46+W46)*(1+Z46)</f>
        <v>855.7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1</v>
      </c>
      <c r="D47" s="35">
        <v>1</v>
      </c>
      <c r="E47" s="35">
        <f t="shared" si="5"/>
        <v>3</v>
      </c>
      <c r="F47" s="35">
        <f t="shared" si="2"/>
        <v>3</v>
      </c>
      <c r="N47" s="35">
        <v>1</v>
      </c>
      <c r="O47" s="35">
        <v>1</v>
      </c>
      <c r="R47" s="35">
        <v>23.8</v>
      </c>
      <c r="S47" s="35">
        <v>10.9</v>
      </c>
      <c r="T47" s="35">
        <v>28.5</v>
      </c>
      <c r="U47" s="35">
        <v>2</v>
      </c>
      <c r="V47" s="38">
        <f>R47*(1+S47)*原始运算表格!$P$2*原始运算表格!$Q$2</f>
        <v>283.22000000000003</v>
      </c>
      <c r="W47" s="38">
        <f>T47*(1+U47)*原始运算表格!$R$2*原始运算表格!$S$2</f>
        <v>427.5</v>
      </c>
      <c r="X47" s="38">
        <f t="shared" si="7"/>
        <v>1421.4399999999998</v>
      </c>
      <c r="Y47" s="38">
        <f t="shared" si="8"/>
        <v>2132.16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2</v>
      </c>
    </row>
    <row r="48" spans="1:26">
      <c r="A48" s="35">
        <v>1987</v>
      </c>
      <c r="B48" s="35">
        <f t="shared" si="6"/>
        <v>1988</v>
      </c>
      <c r="C48" s="35">
        <v>1</v>
      </c>
      <c r="D48" s="35">
        <v>1</v>
      </c>
      <c r="E48" s="35">
        <f t="shared" si="5"/>
        <v>4</v>
      </c>
      <c r="F48" s="35">
        <f t="shared" si="2"/>
        <v>4</v>
      </c>
      <c r="N48" s="35">
        <v>1</v>
      </c>
      <c r="O48" s="35">
        <v>1</v>
      </c>
      <c r="R48" s="35">
        <v>23.4</v>
      </c>
      <c r="S48" s="35">
        <v>10.7</v>
      </c>
      <c r="T48" s="35">
        <v>39</v>
      </c>
      <c r="U48" s="35">
        <v>1.3</v>
      </c>
      <c r="V48" s="38">
        <f>R48*(1+S48)*原始运算表格!$P$2*原始运算表格!$Q$2</f>
        <v>273.77999999999997</v>
      </c>
      <c r="W48" s="38">
        <f>T48*(1+U48)*原始运算表格!$R$2*原始运算表格!$S$2</f>
        <v>448.49999999999994</v>
      </c>
      <c r="X48" s="38">
        <f t="shared" si="7"/>
        <v>1444.5600000000002</v>
      </c>
      <c r="Y48" s="38">
        <f t="shared" si="8"/>
        <v>2166.84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2</v>
      </c>
    </row>
    <row r="49" spans="1:26">
      <c r="A49" s="35">
        <v>1988</v>
      </c>
      <c r="B49" s="35">
        <f t="shared" si="6"/>
        <v>1989</v>
      </c>
      <c r="C49" s="35">
        <v>1</v>
      </c>
      <c r="D49" s="35">
        <v>1</v>
      </c>
      <c r="E49" s="35">
        <f t="shared" si="5"/>
        <v>5</v>
      </c>
      <c r="F49" s="35">
        <f t="shared" si="2"/>
        <v>5</v>
      </c>
      <c r="J49" s="35">
        <v>1</v>
      </c>
      <c r="N49" s="35">
        <v>1</v>
      </c>
      <c r="R49" s="35">
        <v>25.2</v>
      </c>
      <c r="S49" s="35">
        <v>12.4</v>
      </c>
      <c r="T49" s="35">
        <v>24.1</v>
      </c>
      <c r="U49" s="35">
        <v>0.6</v>
      </c>
      <c r="V49" s="38">
        <f>R49*(1+S49)*原始运算表格!$P$2*原始运算表格!$Q$2</f>
        <v>337.68</v>
      </c>
      <c r="W49" s="38">
        <f>T49*(1+U49)*原始运算表格!$R$2*原始运算表格!$S$2</f>
        <v>192.8</v>
      </c>
      <c r="X49" s="38">
        <f t="shared" si="7"/>
        <v>1591.44</v>
      </c>
      <c r="Y49" s="38">
        <f t="shared" si="8"/>
        <v>2121.92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3</v>
      </c>
    </row>
    <row r="50" spans="1:26">
      <c r="A50" s="35">
        <v>1989</v>
      </c>
      <c r="B50" s="35">
        <f t="shared" si="6"/>
        <v>1990</v>
      </c>
      <c r="C50" s="35">
        <v>1</v>
      </c>
      <c r="D50" s="35">
        <v>1</v>
      </c>
      <c r="E50" s="35">
        <f t="shared" si="5"/>
        <v>6</v>
      </c>
      <c r="F50" s="35">
        <f t="shared" si="2"/>
        <v>6</v>
      </c>
      <c r="J50" s="35">
        <v>1</v>
      </c>
      <c r="M50" s="35">
        <v>1</v>
      </c>
      <c r="O50" s="35">
        <v>1</v>
      </c>
      <c r="R50" s="35">
        <v>24.1</v>
      </c>
      <c r="S50" s="35">
        <v>11.2</v>
      </c>
      <c r="T50" s="35">
        <v>20.5</v>
      </c>
      <c r="U50" s="35">
        <v>0.3</v>
      </c>
      <c r="V50" s="38">
        <f>R50*(1+S50)*原始运算表格!$P$2*原始运算表格!$Q$2</f>
        <v>294.02</v>
      </c>
      <c r="W50" s="38">
        <f>T50*(1+U50)*原始运算表格!$R$2*原始运算表格!$S$2</f>
        <v>133.25</v>
      </c>
      <c r="X50" s="38">
        <f t="shared" si="7"/>
        <v>2136.35</v>
      </c>
      <c r="Y50" s="38">
        <f t="shared" si="8"/>
        <v>2563.62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5</v>
      </c>
    </row>
    <row r="51" spans="1:26">
      <c r="A51" s="35">
        <v>1990</v>
      </c>
      <c r="B51" s="35">
        <f t="shared" si="6"/>
        <v>1991</v>
      </c>
      <c r="C51" s="35">
        <v>1</v>
      </c>
      <c r="D51" s="35">
        <v>1</v>
      </c>
      <c r="E51" s="35">
        <f t="shared" si="5"/>
        <v>7</v>
      </c>
      <c r="F51" s="35">
        <f t="shared" si="2"/>
        <v>7</v>
      </c>
      <c r="M51" s="35">
        <v>1</v>
      </c>
      <c r="R51" s="35">
        <v>24.3</v>
      </c>
      <c r="S51" s="35">
        <v>8.6</v>
      </c>
      <c r="T51" s="35">
        <v>23.2</v>
      </c>
      <c r="U51" s="35">
        <v>0.5</v>
      </c>
      <c r="V51" s="38">
        <f>R51*(1+S51)*原始运算表格!$P$2*原始运算表格!$Q$2</f>
        <v>233.28</v>
      </c>
      <c r="W51" s="38">
        <f>T51*(1+U51)*原始运算表格!$R$2*原始运算表格!$S$2</f>
        <v>174</v>
      </c>
      <c r="X51" s="38">
        <f t="shared" si="7"/>
        <v>814.56</v>
      </c>
      <c r="Y51" s="38">
        <f t="shared" si="8"/>
        <v>1221.8399999999999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2</v>
      </c>
    </row>
    <row r="52" spans="1:26">
      <c r="A52" s="35">
        <v>1991</v>
      </c>
      <c r="B52" s="35">
        <f t="shared" si="6"/>
        <v>1992</v>
      </c>
      <c r="C52" s="35">
        <v>1</v>
      </c>
      <c r="D52" s="35">
        <v>0</v>
      </c>
      <c r="E52" s="35">
        <f t="shared" si="5"/>
        <v>8</v>
      </c>
      <c r="F52" s="35">
        <f t="shared" si="2"/>
        <v>8</v>
      </c>
      <c r="R52" s="35">
        <v>23.7</v>
      </c>
      <c r="S52" s="35">
        <v>9.8000000000000007</v>
      </c>
      <c r="V52" s="38">
        <f>R52*(1+S52)*原始运算表格!$P$2*原始运算表格!$Q$2</f>
        <v>255.96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255.96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1</v>
      </c>
      <c r="D53" s="35">
        <v>1</v>
      </c>
      <c r="E53" s="35">
        <f t="shared" si="5"/>
        <v>9</v>
      </c>
      <c r="F53" s="35">
        <f t="shared" si="2"/>
        <v>9</v>
      </c>
      <c r="I53" s="35">
        <v>1</v>
      </c>
      <c r="M53" s="35">
        <v>1</v>
      </c>
      <c r="N53" s="35">
        <v>1</v>
      </c>
      <c r="O53" s="35">
        <v>1</v>
      </c>
      <c r="R53" s="35">
        <v>27.3</v>
      </c>
      <c r="S53" s="35">
        <v>15.8</v>
      </c>
      <c r="T53" s="35">
        <v>26.7</v>
      </c>
      <c r="U53" s="35">
        <v>2.4</v>
      </c>
      <c r="V53" s="38">
        <f>R53*(1+S53)*原始运算表格!$P$2*原始运算表格!$Q$2</f>
        <v>458.64000000000004</v>
      </c>
      <c r="W53" s="38">
        <f>T53*(1+U53)*原始运算表格!$R$2*原始运算表格!$S$2</f>
        <v>453.9</v>
      </c>
      <c r="X53" s="38">
        <f t="shared" si="7"/>
        <v>5475.24</v>
      </c>
      <c r="Y53" s="38">
        <f t="shared" si="8"/>
        <v>6387.78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6</v>
      </c>
    </row>
    <row r="54" spans="1:26">
      <c r="A54" s="35">
        <v>1993</v>
      </c>
      <c r="B54" s="35">
        <f t="shared" si="6"/>
        <v>1994</v>
      </c>
      <c r="C54" s="35">
        <v>1</v>
      </c>
      <c r="D54" s="35">
        <v>1</v>
      </c>
      <c r="E54" s="35">
        <f t="shared" si="5"/>
        <v>10</v>
      </c>
      <c r="F54" s="35">
        <f t="shared" si="2"/>
        <v>10</v>
      </c>
      <c r="G54" s="35">
        <v>1</v>
      </c>
      <c r="I54" s="35">
        <v>1</v>
      </c>
      <c r="N54" s="35">
        <v>1</v>
      </c>
      <c r="O54" s="35">
        <v>1</v>
      </c>
      <c r="P54" s="35">
        <v>1</v>
      </c>
      <c r="Q54" s="35">
        <v>1</v>
      </c>
      <c r="R54" s="35">
        <v>25.3</v>
      </c>
      <c r="S54" s="35">
        <v>14.3</v>
      </c>
      <c r="T54" s="35">
        <v>27.7</v>
      </c>
      <c r="U54" s="35">
        <v>4.3</v>
      </c>
      <c r="V54" s="38">
        <f>R54*(1+S54)*原始运算表格!$P$2*原始运算表格!$Q$2</f>
        <v>387.09000000000003</v>
      </c>
      <c r="W54" s="38">
        <f>T54*(1+U54)*原始运算表格!$R$2*原始运算表格!$S$2</f>
        <v>734.05</v>
      </c>
      <c r="X54" s="38">
        <f t="shared" si="7"/>
        <v>26907.359999999997</v>
      </c>
      <c r="Y54" s="38">
        <f t="shared" si="8"/>
        <v>28028.499999999996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24</v>
      </c>
    </row>
    <row r="55" spans="1:26">
      <c r="A55" s="35">
        <v>1994</v>
      </c>
      <c r="B55" s="35">
        <f t="shared" si="6"/>
        <v>1995</v>
      </c>
      <c r="C55" s="35">
        <v>1</v>
      </c>
      <c r="D55" s="35">
        <v>1</v>
      </c>
      <c r="E55" s="35">
        <f t="shared" si="5"/>
        <v>11</v>
      </c>
      <c r="F55" s="35">
        <f t="shared" si="2"/>
        <v>11</v>
      </c>
      <c r="P55" s="35">
        <v>1</v>
      </c>
      <c r="Q55" s="35">
        <v>1</v>
      </c>
      <c r="R55" s="35">
        <v>26</v>
      </c>
      <c r="S55" s="35">
        <v>10.7</v>
      </c>
      <c r="T55" s="35">
        <v>26.7</v>
      </c>
      <c r="U55" s="35">
        <v>2.8</v>
      </c>
      <c r="V55" s="38">
        <f>R55*(1+S55)*原始运算表格!$P$2*原始运算表格!$Q$2</f>
        <v>304.2</v>
      </c>
      <c r="W55" s="38">
        <f>T55*(1+U55)*原始运算表格!$R$2*原始运算表格!$S$2</f>
        <v>507.29999999999995</v>
      </c>
      <c r="X55" s="38">
        <f t="shared" si="7"/>
        <v>9738</v>
      </c>
      <c r="Y55" s="38">
        <f t="shared" si="8"/>
        <v>10549.5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12</v>
      </c>
    </row>
    <row r="56" spans="1:26">
      <c r="A56" s="35">
        <v>1995</v>
      </c>
      <c r="B56" s="35">
        <f t="shared" si="6"/>
        <v>1996</v>
      </c>
      <c r="C56" s="35">
        <v>1</v>
      </c>
      <c r="D56" s="35">
        <v>1</v>
      </c>
      <c r="E56" s="35">
        <f t="shared" si="5"/>
        <v>12</v>
      </c>
      <c r="F56" s="35">
        <f t="shared" si="2"/>
        <v>12</v>
      </c>
      <c r="R56" s="35">
        <v>25.5</v>
      </c>
      <c r="S56" s="35">
        <v>9.6999999999999993</v>
      </c>
      <c r="T56" s="35">
        <v>20</v>
      </c>
      <c r="U56" s="35">
        <v>0.5</v>
      </c>
      <c r="V56" s="38">
        <f>R56*(1+S56)*原始运算表格!$P$2*原始运算表格!$Q$2</f>
        <v>272.84999999999997</v>
      </c>
      <c r="W56" s="38">
        <f>T56*(1+U56)*原始运算表格!$R$2*原始运算表格!$S$2</f>
        <v>150</v>
      </c>
      <c r="X56" s="38">
        <f t="shared" si="7"/>
        <v>0</v>
      </c>
      <c r="Y56" s="38">
        <f t="shared" si="8"/>
        <v>422.84999999999997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1</v>
      </c>
      <c r="D57" s="35">
        <v>1</v>
      </c>
      <c r="E57" s="35">
        <f t="shared" si="5"/>
        <v>13</v>
      </c>
      <c r="F57" s="35">
        <f t="shared" si="2"/>
        <v>13</v>
      </c>
      <c r="N57" s="35">
        <v>1</v>
      </c>
      <c r="R57" s="35">
        <v>22.7</v>
      </c>
      <c r="S57" s="35">
        <v>9.1</v>
      </c>
      <c r="T57" s="35">
        <v>27.6</v>
      </c>
      <c r="U57" s="35">
        <v>3</v>
      </c>
      <c r="V57" s="38">
        <f>R57*(1+S57)*原始运算表格!$P$2*原始运算表格!$Q$2</f>
        <v>229.26999999999998</v>
      </c>
      <c r="W57" s="38">
        <f>T57*(1+U57)*原始运算表格!$R$2*原始运算表格!$S$2</f>
        <v>552</v>
      </c>
      <c r="X57" s="38">
        <f t="shared" si="7"/>
        <v>781.27</v>
      </c>
      <c r="Y57" s="38">
        <f t="shared" si="8"/>
        <v>1562.54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1</v>
      </c>
    </row>
    <row r="58" spans="1:26">
      <c r="A58" s="35">
        <v>1997</v>
      </c>
      <c r="B58" s="35">
        <f t="shared" si="6"/>
        <v>1998</v>
      </c>
      <c r="C58" s="35">
        <v>1</v>
      </c>
      <c r="D58" s="35">
        <v>1</v>
      </c>
      <c r="E58" s="35">
        <f t="shared" si="5"/>
        <v>14</v>
      </c>
      <c r="F58" s="35">
        <f t="shared" si="2"/>
        <v>14</v>
      </c>
      <c r="R58" s="35">
        <v>20.8</v>
      </c>
      <c r="S58" s="35">
        <v>4.5</v>
      </c>
      <c r="T58" s="35">
        <v>18.8</v>
      </c>
      <c r="U58" s="35">
        <v>0.2</v>
      </c>
      <c r="V58" s="38">
        <f>R58*(1+S58)*原始运算表格!$P$2*原始运算表格!$Q$2</f>
        <v>114.4</v>
      </c>
      <c r="W58" s="38">
        <f>T58*(1+U58)*原始运算表格!$R$2*原始运算表格!$S$2</f>
        <v>112.8</v>
      </c>
      <c r="X58" s="38">
        <f t="shared" si="7"/>
        <v>0</v>
      </c>
      <c r="Y58" s="38">
        <f t="shared" si="8"/>
        <v>227.2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1</v>
      </c>
      <c r="D59" s="35">
        <v>1</v>
      </c>
      <c r="E59" s="35">
        <f t="shared" si="5"/>
        <v>15</v>
      </c>
      <c r="F59" s="35">
        <f t="shared" si="2"/>
        <v>15</v>
      </c>
      <c r="R59" s="35">
        <v>23.1</v>
      </c>
      <c r="S59" s="35">
        <v>6.5</v>
      </c>
      <c r="T59" s="35">
        <v>13.8</v>
      </c>
      <c r="U59" s="35">
        <v>0.1</v>
      </c>
      <c r="V59" s="38">
        <f>R59*(1+S59)*原始运算表格!$P$2*原始运算表格!$Q$2</f>
        <v>173.25</v>
      </c>
      <c r="W59" s="38">
        <f>T59*(1+U59)*原始运算表格!$R$2*原始运算表格!$S$2</f>
        <v>75.900000000000006</v>
      </c>
      <c r="X59" s="38">
        <f t="shared" si="7"/>
        <v>0</v>
      </c>
      <c r="Y59" s="38">
        <f t="shared" si="8"/>
        <v>249.15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1</v>
      </c>
      <c r="D60" s="35">
        <v>0</v>
      </c>
      <c r="E60" s="35">
        <f t="shared" si="5"/>
        <v>16</v>
      </c>
      <c r="F60" s="35">
        <f t="shared" si="2"/>
        <v>16</v>
      </c>
      <c r="R60" s="35">
        <v>16.7</v>
      </c>
      <c r="S60" s="35">
        <v>1.6</v>
      </c>
      <c r="V60" s="38">
        <f>R60*(1+S60)*原始运算表格!$P$2*原始运算表格!$Q$2</f>
        <v>43.42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43.42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1</v>
      </c>
      <c r="D61" s="35">
        <v>0</v>
      </c>
      <c r="E61" s="35">
        <f t="shared" si="5"/>
        <v>17</v>
      </c>
      <c r="F61" s="35">
        <f t="shared" si="2"/>
        <v>17</v>
      </c>
      <c r="R61" s="35">
        <v>20.7</v>
      </c>
      <c r="S61" s="35">
        <v>5</v>
      </c>
      <c r="V61" s="38">
        <f>R61*(1+S61)*原始运算表格!$P$2*原始运算表格!$Q$2</f>
        <v>124.19999999999999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124.19999999999999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1</v>
      </c>
      <c r="D62" s="35">
        <v>1</v>
      </c>
      <c r="E62" s="35">
        <f t="shared" si="5"/>
        <v>18</v>
      </c>
      <c r="F62" s="35">
        <f t="shared" si="2"/>
        <v>18</v>
      </c>
      <c r="I62" s="42"/>
      <c r="J62" s="42"/>
      <c r="K62" s="42"/>
      <c r="L62" s="42"/>
      <c r="M62" s="42"/>
      <c r="P62" s="42"/>
      <c r="R62" s="35">
        <v>14.4</v>
      </c>
      <c r="S62" s="35">
        <v>2.1</v>
      </c>
      <c r="T62" s="35">
        <v>18.100000000000001</v>
      </c>
      <c r="U62" s="35">
        <v>0.2</v>
      </c>
      <c r="V62" s="38">
        <f>R62*(1+S62)*原始运算表格!$P$2*原始运算表格!$Q$2</f>
        <v>44.64</v>
      </c>
      <c r="W62" s="38">
        <f>T62*(1+U62)*原始运算表格!$R$2*原始运算表格!$S$2</f>
        <v>108.60000000000001</v>
      </c>
      <c r="X62" s="38">
        <f t="shared" si="7"/>
        <v>0</v>
      </c>
      <c r="Y62" s="38">
        <f t="shared" si="8"/>
        <v>153.24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18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18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18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18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18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18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18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18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18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18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18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18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18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18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18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18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18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Z79"/>
  <sheetViews>
    <sheetView zoomScale="55" zoomScaleNormal="55" workbookViewId="0">
      <pane ySplit="6" topLeftCell="A16" activePane="bottomLeft" state="frozen"/>
      <selection pane="bottomLeft" sqref="A1:XFD1048576"/>
    </sheetView>
  </sheetViews>
  <sheetFormatPr defaultColWidth="9.25" defaultRowHeight="16"/>
  <cols>
    <col min="1" max="1" width="7.25" style="35" customWidth="1"/>
    <col min="2" max="2" width="11.5" style="35" customWidth="1"/>
    <col min="3" max="3" width="7.83203125" style="35" customWidth="1"/>
    <col min="4" max="4" width="11.25" style="35" customWidth="1"/>
    <col min="5" max="5" width="8.25" style="35" customWidth="1"/>
    <col min="6" max="6" width="11.5" style="35" customWidth="1"/>
    <col min="7" max="13" width="9.25" style="35"/>
    <col min="14" max="14" width="11.33203125" style="35" customWidth="1"/>
    <col min="15" max="16" width="9.25" style="35"/>
    <col min="17" max="17" width="10.58203125" style="35" customWidth="1"/>
    <col min="18" max="21" width="9.25" style="35"/>
    <col min="22" max="22" width="11.9140625" style="38" customWidth="1"/>
    <col min="23" max="23" width="11.08203125" style="38" customWidth="1"/>
    <col min="24" max="24" width="11.1640625" style="38" customWidth="1"/>
    <col min="25" max="26" width="9.25" style="38"/>
    <col min="27" max="16384" width="9.25" style="35"/>
  </cols>
  <sheetData>
    <row r="1" spans="1:26">
      <c r="A1" s="34"/>
      <c r="C1" s="34"/>
      <c r="D1" s="34"/>
      <c r="G1" s="36"/>
      <c r="H1" s="36"/>
      <c r="I1" s="36"/>
      <c r="J1" s="36"/>
      <c r="K1" s="36"/>
      <c r="L1" s="36"/>
      <c r="M1" s="36"/>
      <c r="N1" s="36"/>
      <c r="O1" s="36"/>
      <c r="P1" s="37"/>
      <c r="Q1" s="37"/>
      <c r="R1" s="36"/>
      <c r="S1" s="36"/>
      <c r="T1" s="37"/>
      <c r="U1" s="37"/>
    </row>
    <row r="2" spans="1:26">
      <c r="A2" s="39" t="s">
        <v>3</v>
      </c>
      <c r="B2" s="40" t="s">
        <v>57</v>
      </c>
    </row>
    <row r="5" spans="1:26" s="39" customFormat="1">
      <c r="A5" s="39" t="s">
        <v>22</v>
      </c>
      <c r="B5" s="40"/>
      <c r="C5" s="39">
        <f>SUM(C12:C105)</f>
        <v>14</v>
      </c>
      <c r="D5" s="39">
        <f>SUM(D12:D105)</f>
        <v>13</v>
      </c>
      <c r="G5" s="39">
        <f>SUM(G12:G105)</f>
        <v>0</v>
      </c>
      <c r="H5" s="39">
        <f t="shared" ref="H5:Z5" si="0">SUM(H12:H105)</f>
        <v>1</v>
      </c>
      <c r="I5" s="39">
        <f t="shared" si="0"/>
        <v>0</v>
      </c>
      <c r="J5" s="39">
        <f t="shared" si="0"/>
        <v>0</v>
      </c>
      <c r="K5" s="39">
        <f t="shared" si="0"/>
        <v>1</v>
      </c>
      <c r="L5" s="39">
        <f t="shared" si="0"/>
        <v>0</v>
      </c>
      <c r="M5" s="39">
        <f t="shared" si="0"/>
        <v>0</v>
      </c>
      <c r="N5" s="39">
        <f t="shared" si="0"/>
        <v>10</v>
      </c>
      <c r="O5" s="39">
        <f t="shared" si="0"/>
        <v>4</v>
      </c>
      <c r="P5" s="39">
        <f t="shared" si="0"/>
        <v>1</v>
      </c>
      <c r="Q5" s="39">
        <f t="shared" si="0"/>
        <v>1</v>
      </c>
      <c r="R5" s="39">
        <f t="shared" si="0"/>
        <v>319.29999999999995</v>
      </c>
      <c r="S5" s="39">
        <f t="shared" si="0"/>
        <v>162.6</v>
      </c>
      <c r="T5" s="39">
        <f t="shared" si="0"/>
        <v>272.49999999999994</v>
      </c>
      <c r="U5" s="39">
        <f t="shared" si="0"/>
        <v>26.699999999999996</v>
      </c>
      <c r="V5" s="41">
        <f t="shared" si="0"/>
        <v>4099.49</v>
      </c>
      <c r="W5" s="41">
        <f t="shared" si="0"/>
        <v>4521.6500000000005</v>
      </c>
      <c r="X5" s="41">
        <f t="shared" si="0"/>
        <v>20929.660000000003</v>
      </c>
      <c r="Y5" s="41">
        <f t="shared" si="0"/>
        <v>29550.800000000003</v>
      </c>
      <c r="Z5" s="41">
        <f t="shared" si="0"/>
        <v>30</v>
      </c>
    </row>
    <row r="6" spans="1:26">
      <c r="A6" s="35" t="s">
        <v>0</v>
      </c>
      <c r="B6" s="35" t="s">
        <v>1</v>
      </c>
      <c r="C6" s="35" t="s">
        <v>4</v>
      </c>
      <c r="D6" s="35" t="s">
        <v>21</v>
      </c>
      <c r="E6" s="35" t="s">
        <v>5</v>
      </c>
      <c r="F6" s="35" t="s">
        <v>24</v>
      </c>
      <c r="G6" s="35" t="s">
        <v>6</v>
      </c>
      <c r="H6" s="42" t="s">
        <v>8</v>
      </c>
      <c r="I6" s="35" t="s">
        <v>9</v>
      </c>
      <c r="J6" s="35" t="s">
        <v>13</v>
      </c>
      <c r="K6" s="35" t="s">
        <v>14</v>
      </c>
      <c r="L6" s="35" t="s">
        <v>15</v>
      </c>
      <c r="M6" s="35" t="s">
        <v>16</v>
      </c>
      <c r="N6" s="35" t="s">
        <v>10</v>
      </c>
      <c r="O6" s="42" t="s">
        <v>11</v>
      </c>
      <c r="P6" s="35" t="s">
        <v>12</v>
      </c>
      <c r="Q6" s="35" t="s">
        <v>7</v>
      </c>
      <c r="R6" s="35" t="s">
        <v>17</v>
      </c>
      <c r="S6" s="35" t="s">
        <v>18</v>
      </c>
      <c r="T6" s="35" t="s">
        <v>19</v>
      </c>
      <c r="U6" s="35" t="s">
        <v>20</v>
      </c>
      <c r="V6" s="38" t="s">
        <v>67</v>
      </c>
      <c r="W6" s="38" t="s">
        <v>69</v>
      </c>
      <c r="X6" s="38" t="s">
        <v>71</v>
      </c>
      <c r="Y6" s="38" t="s">
        <v>73</v>
      </c>
      <c r="Z6" s="38" t="s">
        <v>75</v>
      </c>
    </row>
    <row r="7" spans="1:26">
      <c r="A7" s="35">
        <v>1946</v>
      </c>
      <c r="B7" s="35">
        <f t="shared" ref="B7:B12" si="1">A7+1</f>
        <v>1947</v>
      </c>
      <c r="C7" s="35">
        <v>0</v>
      </c>
      <c r="D7" s="35">
        <v>0</v>
      </c>
      <c r="E7" s="35">
        <f>C7</f>
        <v>0</v>
      </c>
      <c r="F7" s="35">
        <f t="shared" ref="F7:F70" si="2">C7*E7</f>
        <v>0</v>
      </c>
      <c r="H7" s="42"/>
      <c r="O7" s="42"/>
      <c r="V7" s="38">
        <f>R7*(1+S7)*原始运算表格!$P$2*原始运算表格!$Q$2</f>
        <v>0</v>
      </c>
      <c r="W7" s="38">
        <f>T7*(1+U7)*原始运算表格!$R$2*原始运算表格!$S$2</f>
        <v>0</v>
      </c>
      <c r="X7" s="38">
        <f t="shared" ref="X7:X44" si="3">Y7-W7-V7</f>
        <v>0</v>
      </c>
      <c r="Y7" s="38">
        <f t="shared" ref="Y7:Y44" si="4">(V7+W7)*(1+Z7)</f>
        <v>0</v>
      </c>
      <c r="Z7" s="3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35">
        <v>1947</v>
      </c>
      <c r="B8" s="35">
        <f t="shared" si="1"/>
        <v>1948</v>
      </c>
      <c r="C8" s="35">
        <v>0</v>
      </c>
      <c r="D8" s="35">
        <v>0</v>
      </c>
      <c r="E8" s="35">
        <f>E7+C8</f>
        <v>0</v>
      </c>
      <c r="F8" s="35">
        <f t="shared" si="2"/>
        <v>0</v>
      </c>
      <c r="H8" s="42"/>
      <c r="O8" s="42"/>
      <c r="V8" s="38">
        <f>R8*(1+S8)*原始运算表格!$P$2*原始运算表格!$Q$2</f>
        <v>0</v>
      </c>
      <c r="W8" s="38">
        <f>T8*(1+U8)*原始运算表格!$R$2*原始运算表格!$S$2</f>
        <v>0</v>
      </c>
      <c r="X8" s="38">
        <f t="shared" si="3"/>
        <v>0</v>
      </c>
      <c r="Y8" s="38">
        <f t="shared" si="4"/>
        <v>0</v>
      </c>
      <c r="Z8" s="3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35">
        <v>1948</v>
      </c>
      <c r="B9" s="35">
        <f t="shared" si="1"/>
        <v>1949</v>
      </c>
      <c r="C9" s="35">
        <v>0</v>
      </c>
      <c r="D9" s="35">
        <v>0</v>
      </c>
      <c r="E9" s="35">
        <f t="shared" ref="E9:E72" si="5">E8+C9</f>
        <v>0</v>
      </c>
      <c r="F9" s="35">
        <f t="shared" si="2"/>
        <v>0</v>
      </c>
      <c r="H9" s="42"/>
      <c r="O9" s="42"/>
      <c r="V9" s="38">
        <f>R9*(1+S9)*原始运算表格!$P$2*原始运算表格!$Q$2</f>
        <v>0</v>
      </c>
      <c r="W9" s="38">
        <f>T9*(1+U9)*原始运算表格!$R$2*原始运算表格!$S$2</f>
        <v>0</v>
      </c>
      <c r="X9" s="38">
        <f t="shared" si="3"/>
        <v>0</v>
      </c>
      <c r="Y9" s="38">
        <f t="shared" si="4"/>
        <v>0</v>
      </c>
      <c r="Z9" s="3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35">
        <v>1949</v>
      </c>
      <c r="B10" s="35">
        <f t="shared" si="1"/>
        <v>1950</v>
      </c>
      <c r="C10" s="35">
        <v>0</v>
      </c>
      <c r="D10" s="35">
        <v>0</v>
      </c>
      <c r="E10" s="35">
        <f t="shared" si="5"/>
        <v>0</v>
      </c>
      <c r="F10" s="35">
        <f t="shared" si="2"/>
        <v>0</v>
      </c>
      <c r="H10" s="42"/>
      <c r="O10" s="42"/>
      <c r="V10" s="38">
        <f>R10*(1+S10)*原始运算表格!$P$2*原始运算表格!$Q$2</f>
        <v>0</v>
      </c>
      <c r="W10" s="38">
        <f>T10*(1+U10)*原始运算表格!$R$2*原始运算表格!$S$2</f>
        <v>0</v>
      </c>
      <c r="X10" s="38">
        <f t="shared" si="3"/>
        <v>0</v>
      </c>
      <c r="Y10" s="38">
        <f t="shared" si="4"/>
        <v>0</v>
      </c>
      <c r="Z10" s="3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35">
        <v>1950</v>
      </c>
      <c r="B11" s="35">
        <f t="shared" si="1"/>
        <v>1951</v>
      </c>
      <c r="C11" s="35">
        <v>0</v>
      </c>
      <c r="D11" s="35">
        <v>0</v>
      </c>
      <c r="E11" s="35">
        <f t="shared" si="5"/>
        <v>0</v>
      </c>
      <c r="F11" s="35">
        <f t="shared" si="2"/>
        <v>0</v>
      </c>
      <c r="H11" s="42"/>
      <c r="O11" s="42"/>
      <c r="V11" s="38">
        <f>R11*(1+S11)*原始运算表格!$P$2*原始运算表格!$Q$2</f>
        <v>0</v>
      </c>
      <c r="W11" s="38">
        <f>T11*(1+U11)*原始运算表格!$R$2*原始运算表格!$S$2</f>
        <v>0</v>
      </c>
      <c r="X11" s="38">
        <f t="shared" si="3"/>
        <v>0</v>
      </c>
      <c r="Y11" s="38">
        <f t="shared" si="4"/>
        <v>0</v>
      </c>
      <c r="Z11" s="3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35">
        <v>1951</v>
      </c>
      <c r="B12" s="35">
        <f t="shared" si="1"/>
        <v>1952</v>
      </c>
      <c r="C12" s="35">
        <v>0</v>
      </c>
      <c r="D12" s="35">
        <v>0</v>
      </c>
      <c r="E12" s="35">
        <f t="shared" si="5"/>
        <v>0</v>
      </c>
      <c r="F12" s="35">
        <f t="shared" si="2"/>
        <v>0</v>
      </c>
      <c r="V12" s="38">
        <f>R12*(1+S12)*原始运算表格!$P$2*原始运算表格!$Q$2</f>
        <v>0</v>
      </c>
      <c r="W12" s="38">
        <f>T12*(1+U12)*原始运算表格!$R$2*原始运算表格!$S$2</f>
        <v>0</v>
      </c>
      <c r="X12" s="38">
        <f t="shared" si="3"/>
        <v>0</v>
      </c>
      <c r="Y12" s="38">
        <f t="shared" si="4"/>
        <v>0</v>
      </c>
      <c r="Z12" s="3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35">
        <v>1952</v>
      </c>
      <c r="B13" s="35">
        <f t="shared" ref="B13:B76" si="6">A13+1</f>
        <v>1953</v>
      </c>
      <c r="C13" s="35">
        <v>0</v>
      </c>
      <c r="D13" s="35">
        <v>0</v>
      </c>
      <c r="E13" s="35">
        <f t="shared" si="5"/>
        <v>0</v>
      </c>
      <c r="F13" s="35">
        <f t="shared" si="2"/>
        <v>0</v>
      </c>
      <c r="V13" s="38">
        <f>R13*(1+S13)*原始运算表格!$P$2*原始运算表格!$Q$2</f>
        <v>0</v>
      </c>
      <c r="W13" s="38">
        <f>T13*(1+U13)*原始运算表格!$R$2*原始运算表格!$S$2</f>
        <v>0</v>
      </c>
      <c r="X13" s="38">
        <f t="shared" si="3"/>
        <v>0</v>
      </c>
      <c r="Y13" s="38">
        <f t="shared" si="4"/>
        <v>0</v>
      </c>
      <c r="Z13" s="3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35">
        <v>1953</v>
      </c>
      <c r="B14" s="35">
        <f t="shared" si="6"/>
        <v>1954</v>
      </c>
      <c r="C14" s="35">
        <v>0</v>
      </c>
      <c r="D14" s="35">
        <v>0</v>
      </c>
      <c r="E14" s="35">
        <f t="shared" si="5"/>
        <v>0</v>
      </c>
      <c r="F14" s="35">
        <f t="shared" si="2"/>
        <v>0</v>
      </c>
      <c r="V14" s="38">
        <f>R14*(1+S14)*原始运算表格!$P$2*原始运算表格!$Q$2</f>
        <v>0</v>
      </c>
      <c r="W14" s="38">
        <f>T14*(1+U14)*原始运算表格!$R$2*原始运算表格!$S$2</f>
        <v>0</v>
      </c>
      <c r="X14" s="38">
        <f t="shared" si="3"/>
        <v>0</v>
      </c>
      <c r="Y14" s="38">
        <f t="shared" si="4"/>
        <v>0</v>
      </c>
      <c r="Z14" s="3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35">
        <v>1954</v>
      </c>
      <c r="B15" s="35">
        <f t="shared" si="6"/>
        <v>1955</v>
      </c>
      <c r="C15" s="35">
        <v>0</v>
      </c>
      <c r="D15" s="35">
        <v>0</v>
      </c>
      <c r="E15" s="35">
        <f t="shared" si="5"/>
        <v>0</v>
      </c>
      <c r="F15" s="35">
        <f t="shared" si="2"/>
        <v>0</v>
      </c>
      <c r="V15" s="38">
        <f>R15*(1+S15)*原始运算表格!$P$2*原始运算表格!$Q$2</f>
        <v>0</v>
      </c>
      <c r="W15" s="38">
        <f>T15*(1+U15)*原始运算表格!$R$2*原始运算表格!$S$2</f>
        <v>0</v>
      </c>
      <c r="X15" s="38">
        <f t="shared" si="3"/>
        <v>0</v>
      </c>
      <c r="Y15" s="38">
        <f t="shared" si="4"/>
        <v>0</v>
      </c>
      <c r="Z15" s="3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35">
        <v>1955</v>
      </c>
      <c r="B16" s="35">
        <f t="shared" si="6"/>
        <v>1956</v>
      </c>
      <c r="C16" s="35">
        <v>0</v>
      </c>
      <c r="D16" s="35">
        <v>0</v>
      </c>
      <c r="E16" s="35">
        <f t="shared" si="5"/>
        <v>0</v>
      </c>
      <c r="F16" s="35">
        <f t="shared" si="2"/>
        <v>0</v>
      </c>
      <c r="V16" s="38">
        <f>R16*(1+S16)*原始运算表格!$P$2*原始运算表格!$Q$2</f>
        <v>0</v>
      </c>
      <c r="W16" s="38">
        <f>T16*(1+U16)*原始运算表格!$R$2*原始运算表格!$S$2</f>
        <v>0</v>
      </c>
      <c r="X16" s="38">
        <f t="shared" si="3"/>
        <v>0</v>
      </c>
      <c r="Y16" s="38">
        <f t="shared" si="4"/>
        <v>0</v>
      </c>
      <c r="Z16" s="3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35">
        <v>1956</v>
      </c>
      <c r="B17" s="35">
        <f t="shared" si="6"/>
        <v>1957</v>
      </c>
      <c r="C17" s="35">
        <v>0</v>
      </c>
      <c r="D17" s="35">
        <v>0</v>
      </c>
      <c r="E17" s="35">
        <f t="shared" si="5"/>
        <v>0</v>
      </c>
      <c r="F17" s="35">
        <f t="shared" si="2"/>
        <v>0</v>
      </c>
      <c r="V17" s="38">
        <f>R17*(1+S17)*原始运算表格!$P$2*原始运算表格!$Q$2</f>
        <v>0</v>
      </c>
      <c r="W17" s="38">
        <f>T17*(1+U17)*原始运算表格!$R$2*原始运算表格!$S$2</f>
        <v>0</v>
      </c>
      <c r="X17" s="38">
        <f t="shared" si="3"/>
        <v>0</v>
      </c>
      <c r="Y17" s="38">
        <f t="shared" si="4"/>
        <v>0</v>
      </c>
      <c r="Z17" s="3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35">
        <v>1957</v>
      </c>
      <c r="B18" s="35">
        <f t="shared" si="6"/>
        <v>1958</v>
      </c>
      <c r="C18" s="35">
        <v>0</v>
      </c>
      <c r="D18" s="35">
        <v>0</v>
      </c>
      <c r="E18" s="35">
        <f t="shared" si="5"/>
        <v>0</v>
      </c>
      <c r="F18" s="35">
        <f t="shared" si="2"/>
        <v>0</v>
      </c>
      <c r="V18" s="38">
        <f>R18*(1+S18)*原始运算表格!$P$2*原始运算表格!$Q$2</f>
        <v>0</v>
      </c>
      <c r="W18" s="38">
        <f>T18*(1+U18)*原始运算表格!$R$2*原始运算表格!$S$2</f>
        <v>0</v>
      </c>
      <c r="X18" s="38">
        <f t="shared" si="3"/>
        <v>0</v>
      </c>
      <c r="Y18" s="38">
        <f t="shared" si="4"/>
        <v>0</v>
      </c>
      <c r="Z18" s="3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35">
        <v>1958</v>
      </c>
      <c r="B19" s="35">
        <f t="shared" si="6"/>
        <v>1959</v>
      </c>
      <c r="C19" s="35">
        <v>0</v>
      </c>
      <c r="D19" s="35">
        <v>0</v>
      </c>
      <c r="E19" s="35">
        <f t="shared" si="5"/>
        <v>0</v>
      </c>
      <c r="F19" s="35">
        <f t="shared" si="2"/>
        <v>0</v>
      </c>
      <c r="V19" s="38">
        <f>R19*(1+S19)*原始运算表格!$P$2*原始运算表格!$Q$2</f>
        <v>0</v>
      </c>
      <c r="W19" s="38">
        <f>T19*(1+U19)*原始运算表格!$R$2*原始运算表格!$S$2</f>
        <v>0</v>
      </c>
      <c r="X19" s="38">
        <f t="shared" si="3"/>
        <v>0</v>
      </c>
      <c r="Y19" s="38">
        <f t="shared" si="4"/>
        <v>0</v>
      </c>
      <c r="Z19" s="3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35">
        <v>1959</v>
      </c>
      <c r="B20" s="35">
        <f t="shared" si="6"/>
        <v>1960</v>
      </c>
      <c r="C20" s="35">
        <v>0</v>
      </c>
      <c r="D20" s="35">
        <v>0</v>
      </c>
      <c r="E20" s="35">
        <f t="shared" si="5"/>
        <v>0</v>
      </c>
      <c r="F20" s="35">
        <f t="shared" si="2"/>
        <v>0</v>
      </c>
      <c r="V20" s="38">
        <f>R20*(1+S20)*原始运算表格!$P$2*原始运算表格!$Q$2</f>
        <v>0</v>
      </c>
      <c r="W20" s="38">
        <f>T20*(1+U20)*原始运算表格!$R$2*原始运算表格!$S$2</f>
        <v>0</v>
      </c>
      <c r="X20" s="38">
        <f t="shared" si="3"/>
        <v>0</v>
      </c>
      <c r="Y20" s="38">
        <f t="shared" si="4"/>
        <v>0</v>
      </c>
      <c r="Z20" s="3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35">
        <v>1960</v>
      </c>
      <c r="B21" s="35">
        <f t="shared" si="6"/>
        <v>1961</v>
      </c>
      <c r="C21" s="35">
        <v>1</v>
      </c>
      <c r="D21" s="35">
        <v>1</v>
      </c>
      <c r="E21" s="35">
        <f t="shared" si="5"/>
        <v>1</v>
      </c>
      <c r="F21" s="35">
        <f t="shared" si="2"/>
        <v>1</v>
      </c>
      <c r="R21" s="35">
        <v>16</v>
      </c>
      <c r="S21" s="35">
        <v>6.6</v>
      </c>
      <c r="T21" s="35">
        <v>21.3</v>
      </c>
      <c r="U21" s="35">
        <v>1.9</v>
      </c>
      <c r="V21" s="38">
        <f>R21*(1+S21)*原始运算表格!$P$2*原始运算表格!$Q$2</f>
        <v>121.6</v>
      </c>
      <c r="W21" s="38">
        <f>T21*(1+U21)*原始运算表格!$R$2*原始运算表格!$S$2</f>
        <v>308.85000000000002</v>
      </c>
      <c r="X21" s="38">
        <f t="shared" si="3"/>
        <v>0</v>
      </c>
      <c r="Y21" s="38">
        <f t="shared" si="4"/>
        <v>430.45000000000005</v>
      </c>
      <c r="Z21" s="3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35">
        <v>1961</v>
      </c>
      <c r="B22" s="35">
        <f t="shared" si="6"/>
        <v>1962</v>
      </c>
      <c r="C22" s="35">
        <v>1</v>
      </c>
      <c r="D22" s="35">
        <v>1</v>
      </c>
      <c r="E22" s="35">
        <f t="shared" si="5"/>
        <v>2</v>
      </c>
      <c r="F22" s="35">
        <f t="shared" si="2"/>
        <v>2</v>
      </c>
      <c r="N22" s="35">
        <v>1</v>
      </c>
      <c r="R22" s="35">
        <v>22.6</v>
      </c>
      <c r="S22" s="35">
        <v>12.9</v>
      </c>
      <c r="T22" s="35">
        <v>22.2</v>
      </c>
      <c r="U22" s="35">
        <v>2.4</v>
      </c>
      <c r="V22" s="38">
        <f>R22*(1+S22)*原始运算表格!$P$2*原始运算表格!$Q$2</f>
        <v>314.14000000000004</v>
      </c>
      <c r="W22" s="38">
        <f>T22*(1+U22)*原始运算表格!$R$2*原始运算表格!$S$2</f>
        <v>377.4</v>
      </c>
      <c r="X22" s="38">
        <f t="shared" si="3"/>
        <v>691.54</v>
      </c>
      <c r="Y22" s="38">
        <f t="shared" si="4"/>
        <v>1383.08</v>
      </c>
      <c r="Z22" s="3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1</v>
      </c>
    </row>
    <row r="23" spans="1:26">
      <c r="A23" s="35">
        <v>1962</v>
      </c>
      <c r="B23" s="35">
        <f t="shared" si="6"/>
        <v>1963</v>
      </c>
      <c r="C23" s="35">
        <v>1</v>
      </c>
      <c r="D23" s="35">
        <v>1</v>
      </c>
      <c r="E23" s="35">
        <f t="shared" si="5"/>
        <v>3</v>
      </c>
      <c r="F23" s="35">
        <f t="shared" si="2"/>
        <v>3</v>
      </c>
      <c r="N23" s="35">
        <v>1</v>
      </c>
      <c r="R23" s="35">
        <v>21.9</v>
      </c>
      <c r="S23" s="35">
        <v>8.1</v>
      </c>
      <c r="T23" s="35">
        <v>23.1</v>
      </c>
      <c r="U23" s="35">
        <v>2.1</v>
      </c>
      <c r="V23" s="38">
        <f>R23*(1+S23)*原始运算表格!$P$2*原始运算表格!$Q$2</f>
        <v>199.29</v>
      </c>
      <c r="W23" s="38">
        <f>T23*(1+U23)*原始运算表格!$R$2*原始运算表格!$S$2</f>
        <v>358.05</v>
      </c>
      <c r="X23" s="38">
        <f t="shared" si="3"/>
        <v>557.34000000000015</v>
      </c>
      <c r="Y23" s="38">
        <f t="shared" si="4"/>
        <v>1114.68</v>
      </c>
      <c r="Z23" s="3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1</v>
      </c>
    </row>
    <row r="24" spans="1:26">
      <c r="A24" s="35">
        <v>1963</v>
      </c>
      <c r="B24" s="35">
        <f t="shared" si="6"/>
        <v>1964</v>
      </c>
      <c r="C24" s="35">
        <v>1</v>
      </c>
      <c r="D24" s="35">
        <v>1</v>
      </c>
      <c r="E24" s="35">
        <f t="shared" si="5"/>
        <v>4</v>
      </c>
      <c r="F24" s="35">
        <f t="shared" si="2"/>
        <v>4</v>
      </c>
      <c r="N24" s="35">
        <v>1</v>
      </c>
      <c r="R24" s="35">
        <v>24.2</v>
      </c>
      <c r="S24" s="35">
        <v>14</v>
      </c>
      <c r="T24" s="35">
        <v>25.1</v>
      </c>
      <c r="U24" s="35">
        <v>0.9</v>
      </c>
      <c r="V24" s="38">
        <f>R24*(1+S24)*原始运算表格!$P$2*原始运算表格!$Q$2</f>
        <v>363</v>
      </c>
      <c r="W24" s="38">
        <f>T24*(1+U24)*原始运算表格!$R$2*原始运算表格!$S$2</f>
        <v>238.45</v>
      </c>
      <c r="X24" s="38">
        <f t="shared" si="3"/>
        <v>601.45000000000005</v>
      </c>
      <c r="Y24" s="38">
        <f t="shared" si="4"/>
        <v>1202.9000000000001</v>
      </c>
      <c r="Z24" s="3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1</v>
      </c>
    </row>
    <row r="25" spans="1:26">
      <c r="A25" s="35">
        <v>1964</v>
      </c>
      <c r="B25" s="35">
        <f t="shared" si="6"/>
        <v>1965</v>
      </c>
      <c r="C25" s="35">
        <v>1</v>
      </c>
      <c r="D25" s="35">
        <v>1</v>
      </c>
      <c r="E25" s="35">
        <f t="shared" si="5"/>
        <v>5</v>
      </c>
      <c r="F25" s="35">
        <f t="shared" si="2"/>
        <v>5</v>
      </c>
      <c r="N25" s="35">
        <v>1</v>
      </c>
      <c r="R25" s="35">
        <v>25</v>
      </c>
      <c r="S25" s="35">
        <v>16.7</v>
      </c>
      <c r="T25" s="35">
        <v>26.7</v>
      </c>
      <c r="U25" s="35">
        <v>1.9</v>
      </c>
      <c r="V25" s="38">
        <f>R25*(1+S25)*原始运算表格!$P$2*原始运算表格!$Q$2</f>
        <v>442.5</v>
      </c>
      <c r="W25" s="38">
        <f>T25*(1+U25)*原始运算表格!$R$2*原始运算表格!$S$2</f>
        <v>387.15</v>
      </c>
      <c r="X25" s="38">
        <f t="shared" si="3"/>
        <v>829.65000000000009</v>
      </c>
      <c r="Y25" s="38">
        <f t="shared" si="4"/>
        <v>1659.3</v>
      </c>
      <c r="Z25" s="3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1</v>
      </c>
    </row>
    <row r="26" spans="1:26">
      <c r="A26" s="35">
        <v>1965</v>
      </c>
      <c r="B26" s="35">
        <f t="shared" si="6"/>
        <v>1966</v>
      </c>
      <c r="C26" s="35">
        <v>1</v>
      </c>
      <c r="D26" s="35">
        <v>1</v>
      </c>
      <c r="E26" s="35">
        <f t="shared" si="5"/>
        <v>6</v>
      </c>
      <c r="F26" s="35">
        <f t="shared" si="2"/>
        <v>6</v>
      </c>
      <c r="N26" s="35">
        <v>1</v>
      </c>
      <c r="R26" s="35">
        <v>24.6</v>
      </c>
      <c r="S26" s="35">
        <v>17.100000000000001</v>
      </c>
      <c r="T26" s="35">
        <v>24.7</v>
      </c>
      <c r="U26" s="35">
        <v>3.1</v>
      </c>
      <c r="V26" s="38">
        <f>R26*(1+S26)*原始运算表格!$P$2*原始运算表格!$Q$2</f>
        <v>445.26000000000005</v>
      </c>
      <c r="W26" s="38">
        <f>T26*(1+U26)*原始运算表格!$R$2*原始运算表格!$S$2</f>
        <v>506.34999999999991</v>
      </c>
      <c r="X26" s="38">
        <f t="shared" si="3"/>
        <v>951.6099999999999</v>
      </c>
      <c r="Y26" s="38">
        <f t="shared" si="4"/>
        <v>1903.2199999999998</v>
      </c>
      <c r="Z26" s="3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1</v>
      </c>
    </row>
    <row r="27" spans="1:26">
      <c r="A27" s="35">
        <v>1966</v>
      </c>
      <c r="B27" s="35">
        <f t="shared" si="6"/>
        <v>1967</v>
      </c>
      <c r="C27" s="35">
        <v>1</v>
      </c>
      <c r="D27" s="35">
        <v>1</v>
      </c>
      <c r="E27" s="35">
        <f t="shared" si="5"/>
        <v>7</v>
      </c>
      <c r="F27" s="35">
        <f t="shared" si="2"/>
        <v>7</v>
      </c>
      <c r="N27" s="35">
        <v>1</v>
      </c>
      <c r="R27" s="35">
        <v>22.7</v>
      </c>
      <c r="S27" s="35">
        <v>11.7</v>
      </c>
      <c r="T27" s="35">
        <v>18.100000000000001</v>
      </c>
      <c r="U27" s="35">
        <v>0</v>
      </c>
      <c r="V27" s="38">
        <f>R27*(1+S27)*原始运算表格!$P$2*原始运算表格!$Q$2</f>
        <v>288.28999999999996</v>
      </c>
      <c r="W27" s="38">
        <f>T27*(1+U27)*原始运算表格!$R$2*原始运算表格!$S$2</f>
        <v>90.5</v>
      </c>
      <c r="X27" s="38">
        <f t="shared" si="3"/>
        <v>378.78999999999996</v>
      </c>
      <c r="Y27" s="38">
        <f t="shared" si="4"/>
        <v>757.57999999999993</v>
      </c>
      <c r="Z27" s="3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1</v>
      </c>
    </row>
    <row r="28" spans="1:26">
      <c r="A28" s="35">
        <v>1967</v>
      </c>
      <c r="B28" s="35">
        <f t="shared" si="6"/>
        <v>1968</v>
      </c>
      <c r="C28" s="35">
        <v>1</v>
      </c>
      <c r="D28" s="35">
        <v>1</v>
      </c>
      <c r="E28" s="35">
        <f t="shared" si="5"/>
        <v>8</v>
      </c>
      <c r="F28" s="35">
        <f t="shared" si="2"/>
        <v>8</v>
      </c>
      <c r="R28" s="35">
        <v>23.2</v>
      </c>
      <c r="S28" s="35">
        <v>9.6</v>
      </c>
      <c r="T28" s="35">
        <v>25.1</v>
      </c>
      <c r="U28" s="35">
        <v>3.6</v>
      </c>
      <c r="V28" s="38">
        <f>R28*(1+S28)*原始运算表格!$P$2*原始运算表格!$Q$2</f>
        <v>245.92</v>
      </c>
      <c r="W28" s="38">
        <f>T28*(1+U28)*原始运算表格!$R$2*原始运算表格!$S$2</f>
        <v>577.29999999999995</v>
      </c>
      <c r="X28" s="38">
        <f t="shared" si="3"/>
        <v>0</v>
      </c>
      <c r="Y28" s="38">
        <f t="shared" si="4"/>
        <v>823.21999999999991</v>
      </c>
      <c r="Z28" s="3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35">
        <v>1968</v>
      </c>
      <c r="B29" s="35">
        <f t="shared" si="6"/>
        <v>1969</v>
      </c>
      <c r="C29" s="35">
        <v>1</v>
      </c>
      <c r="D29" s="35">
        <v>1</v>
      </c>
      <c r="E29" s="35">
        <f t="shared" si="5"/>
        <v>9</v>
      </c>
      <c r="F29" s="35">
        <f t="shared" si="2"/>
        <v>9</v>
      </c>
      <c r="Q29" s="35">
        <v>1</v>
      </c>
      <c r="R29" s="35">
        <v>22.3</v>
      </c>
      <c r="S29" s="35">
        <v>10.8</v>
      </c>
      <c r="T29" s="35">
        <v>25.2</v>
      </c>
      <c r="U29" s="35">
        <v>4.3</v>
      </c>
      <c r="V29" s="38">
        <f>R29*(1+S29)*原始运算表格!$P$2*原始运算表格!$Q$2</f>
        <v>263.14000000000004</v>
      </c>
      <c r="W29" s="38">
        <f>T29*(1+U29)*原始运算表格!$R$2*原始运算表格!$S$2</f>
        <v>667.8</v>
      </c>
      <c r="X29" s="38">
        <f t="shared" si="3"/>
        <v>7447.52</v>
      </c>
      <c r="Y29" s="38">
        <f t="shared" si="4"/>
        <v>8378.4600000000009</v>
      </c>
      <c r="Z29" s="3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8</v>
      </c>
    </row>
    <row r="30" spans="1:26">
      <c r="A30" s="35">
        <v>1969</v>
      </c>
      <c r="B30" s="35">
        <f t="shared" si="6"/>
        <v>1970</v>
      </c>
      <c r="C30" s="35">
        <v>1</v>
      </c>
      <c r="D30" s="35">
        <v>1</v>
      </c>
      <c r="E30" s="35">
        <f t="shared" si="5"/>
        <v>10</v>
      </c>
      <c r="F30" s="35">
        <f t="shared" si="2"/>
        <v>10</v>
      </c>
      <c r="H30" s="35">
        <v>1</v>
      </c>
      <c r="N30" s="35">
        <v>1</v>
      </c>
      <c r="O30" s="35">
        <v>1</v>
      </c>
      <c r="R30" s="35">
        <v>24.6</v>
      </c>
      <c r="S30" s="35">
        <v>15.2</v>
      </c>
      <c r="T30" s="35">
        <v>21.1</v>
      </c>
      <c r="U30" s="35">
        <v>3.2</v>
      </c>
      <c r="V30" s="38">
        <f>R30*(1+S30)*原始运算表格!$P$2*原始运算表格!$Q$2</f>
        <v>398.52</v>
      </c>
      <c r="W30" s="38">
        <f>T30*(1+U30)*原始运算表格!$R$2*原始运算表格!$S$2</f>
        <v>443.1</v>
      </c>
      <c r="X30" s="38">
        <f t="shared" si="3"/>
        <v>3366.4800000000005</v>
      </c>
      <c r="Y30" s="38">
        <f t="shared" si="4"/>
        <v>4208.1000000000004</v>
      </c>
      <c r="Z30" s="3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4</v>
      </c>
    </row>
    <row r="31" spans="1:26">
      <c r="A31" s="35">
        <v>1970</v>
      </c>
      <c r="B31" s="35">
        <f t="shared" si="6"/>
        <v>1971</v>
      </c>
      <c r="C31" s="35">
        <v>1</v>
      </c>
      <c r="D31" s="35">
        <v>0</v>
      </c>
      <c r="E31" s="35">
        <f t="shared" si="5"/>
        <v>11</v>
      </c>
      <c r="F31" s="35">
        <f t="shared" si="2"/>
        <v>11</v>
      </c>
      <c r="N31" s="35">
        <v>1</v>
      </c>
      <c r="O31" s="35">
        <v>1</v>
      </c>
      <c r="R31" s="35">
        <v>23.5</v>
      </c>
      <c r="S31" s="35">
        <v>12.8</v>
      </c>
      <c r="V31" s="38">
        <f>R31*(1+S31)*原始运算表格!$P$2*原始运算表格!$Q$2</f>
        <v>324.3</v>
      </c>
      <c r="W31" s="38">
        <f>T31*(1+U31)*原始运算表格!$R$2*原始运算表格!$S$2</f>
        <v>0</v>
      </c>
      <c r="X31" s="38">
        <f t="shared" si="3"/>
        <v>648.60000000000014</v>
      </c>
      <c r="Y31" s="38">
        <f t="shared" si="4"/>
        <v>972.90000000000009</v>
      </c>
      <c r="Z31" s="3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2</v>
      </c>
    </row>
    <row r="32" spans="1:26">
      <c r="A32" s="35">
        <v>1971</v>
      </c>
      <c r="B32" s="35">
        <f t="shared" si="6"/>
        <v>1972</v>
      </c>
      <c r="C32" s="35">
        <v>1</v>
      </c>
      <c r="D32" s="35">
        <v>1</v>
      </c>
      <c r="E32" s="35">
        <f t="shared" si="5"/>
        <v>12</v>
      </c>
      <c r="F32" s="35">
        <f t="shared" si="2"/>
        <v>12</v>
      </c>
      <c r="K32" s="35">
        <v>1</v>
      </c>
      <c r="N32" s="35">
        <v>1</v>
      </c>
      <c r="O32" s="35">
        <v>1</v>
      </c>
      <c r="P32" s="35">
        <v>1</v>
      </c>
      <c r="R32" s="35">
        <v>23.1</v>
      </c>
      <c r="S32" s="35">
        <v>13.3</v>
      </c>
      <c r="T32" s="35">
        <v>18.8</v>
      </c>
      <c r="U32" s="35">
        <v>1</v>
      </c>
      <c r="V32" s="38">
        <f>R32*(1+S32)*原始运算表格!$P$2*原始运算表格!$Q$2</f>
        <v>330.33000000000004</v>
      </c>
      <c r="W32" s="38">
        <f>T32*(1+U32)*原始运算表格!$R$2*原始运算表格!$S$2</f>
        <v>188</v>
      </c>
      <c r="X32" s="38">
        <f t="shared" si="3"/>
        <v>4146.6400000000003</v>
      </c>
      <c r="Y32" s="38">
        <f t="shared" si="4"/>
        <v>4664.97</v>
      </c>
      <c r="Z32" s="3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8</v>
      </c>
    </row>
    <row r="33" spans="1:26">
      <c r="A33" s="35">
        <v>1972</v>
      </c>
      <c r="B33" s="35">
        <f t="shared" si="6"/>
        <v>1973</v>
      </c>
      <c r="C33" s="35">
        <v>1</v>
      </c>
      <c r="D33" s="35">
        <v>1</v>
      </c>
      <c r="E33" s="35">
        <f t="shared" si="5"/>
        <v>13</v>
      </c>
      <c r="F33" s="35">
        <f t="shared" si="2"/>
        <v>13</v>
      </c>
      <c r="N33" s="35">
        <v>1</v>
      </c>
      <c r="O33" s="35">
        <v>1</v>
      </c>
      <c r="R33" s="35">
        <v>23.2</v>
      </c>
      <c r="S33" s="35">
        <v>10.6</v>
      </c>
      <c r="T33" s="35">
        <v>22.7</v>
      </c>
      <c r="U33" s="35">
        <v>2.4</v>
      </c>
      <c r="V33" s="38">
        <f>R33*(1+S33)*原始运算表格!$P$2*原始运算表格!$Q$2</f>
        <v>269.12</v>
      </c>
      <c r="W33" s="38">
        <f>T33*(1+U33)*原始运算表格!$R$2*原始运算表格!$S$2</f>
        <v>385.9</v>
      </c>
      <c r="X33" s="38">
        <f t="shared" si="3"/>
        <v>1310.04</v>
      </c>
      <c r="Y33" s="38">
        <f t="shared" si="4"/>
        <v>1965.06</v>
      </c>
      <c r="Z33" s="3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2</v>
      </c>
    </row>
    <row r="34" spans="1:26">
      <c r="A34" s="35">
        <v>1973</v>
      </c>
      <c r="B34" s="35">
        <f t="shared" si="6"/>
        <v>1974</v>
      </c>
      <c r="C34" s="35">
        <v>1</v>
      </c>
      <c r="D34" s="35">
        <v>1</v>
      </c>
      <c r="E34" s="35">
        <f t="shared" si="5"/>
        <v>14</v>
      </c>
      <c r="F34" s="35">
        <f t="shared" si="2"/>
        <v>14</v>
      </c>
      <c r="R34" s="35">
        <v>22.4</v>
      </c>
      <c r="S34" s="35">
        <v>3.2</v>
      </c>
      <c r="T34" s="35">
        <v>-1.6</v>
      </c>
      <c r="U34" s="35">
        <v>-0.1</v>
      </c>
      <c r="V34" s="38">
        <f>R34*(1+S34)*原始运算表格!$P$2*原始运算表格!$Q$2</f>
        <v>94.08</v>
      </c>
      <c r="W34" s="38">
        <f>T34*(1+U34)*原始运算表格!$R$2*原始运算表格!$S$2</f>
        <v>-7.2000000000000011</v>
      </c>
      <c r="X34" s="38">
        <f t="shared" si="3"/>
        <v>0</v>
      </c>
      <c r="Y34" s="38">
        <f t="shared" si="4"/>
        <v>86.88</v>
      </c>
      <c r="Z34" s="3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35">
        <v>1974</v>
      </c>
      <c r="B35" s="35">
        <f t="shared" si="6"/>
        <v>1975</v>
      </c>
      <c r="C35" s="35">
        <v>0</v>
      </c>
      <c r="D35" s="35">
        <v>0</v>
      </c>
      <c r="E35" s="35">
        <f t="shared" si="5"/>
        <v>14</v>
      </c>
      <c r="F35" s="35">
        <f t="shared" si="2"/>
        <v>0</v>
      </c>
      <c r="V35" s="38">
        <f>R35*(1+S35)*原始运算表格!$P$2*原始运算表格!$Q$2</f>
        <v>0</v>
      </c>
      <c r="W35" s="38">
        <f>T35*(1+U35)*原始运算表格!$R$2*原始运算表格!$S$2</f>
        <v>0</v>
      </c>
      <c r="X35" s="38">
        <f t="shared" si="3"/>
        <v>0</v>
      </c>
      <c r="Y35" s="38">
        <f t="shared" si="4"/>
        <v>0</v>
      </c>
      <c r="Z35" s="3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35">
        <v>1975</v>
      </c>
      <c r="B36" s="35">
        <f t="shared" si="6"/>
        <v>1976</v>
      </c>
      <c r="C36" s="35">
        <v>0</v>
      </c>
      <c r="D36" s="35">
        <v>0</v>
      </c>
      <c r="E36" s="35">
        <f t="shared" si="5"/>
        <v>14</v>
      </c>
      <c r="F36" s="35">
        <f t="shared" si="2"/>
        <v>0</v>
      </c>
      <c r="V36" s="38">
        <f>R36*(1+S36)*原始运算表格!$P$2*原始运算表格!$Q$2</f>
        <v>0</v>
      </c>
      <c r="W36" s="38">
        <f>T36*(1+U36)*原始运算表格!$R$2*原始运算表格!$S$2</f>
        <v>0</v>
      </c>
      <c r="X36" s="38">
        <f t="shared" si="3"/>
        <v>0</v>
      </c>
      <c r="Y36" s="38">
        <f t="shared" si="4"/>
        <v>0</v>
      </c>
      <c r="Z36" s="3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35">
        <v>1976</v>
      </c>
      <c r="B37" s="35">
        <f t="shared" si="6"/>
        <v>1977</v>
      </c>
      <c r="C37" s="35">
        <v>0</v>
      </c>
      <c r="D37" s="35">
        <v>0</v>
      </c>
      <c r="E37" s="35">
        <f t="shared" si="5"/>
        <v>14</v>
      </c>
      <c r="F37" s="35">
        <f t="shared" si="2"/>
        <v>0</v>
      </c>
      <c r="V37" s="38">
        <f>R37*(1+S37)*原始运算表格!$P$2*原始运算表格!$Q$2</f>
        <v>0</v>
      </c>
      <c r="W37" s="38">
        <f>T37*(1+U37)*原始运算表格!$R$2*原始运算表格!$S$2</f>
        <v>0</v>
      </c>
      <c r="X37" s="38">
        <f t="shared" si="3"/>
        <v>0</v>
      </c>
      <c r="Y37" s="38">
        <f t="shared" si="4"/>
        <v>0</v>
      </c>
      <c r="Z37" s="3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35">
        <v>1977</v>
      </c>
      <c r="B38" s="35">
        <f t="shared" si="6"/>
        <v>1978</v>
      </c>
      <c r="C38" s="35">
        <v>0</v>
      </c>
      <c r="D38" s="35">
        <v>0</v>
      </c>
      <c r="E38" s="35">
        <f t="shared" si="5"/>
        <v>14</v>
      </c>
      <c r="F38" s="35">
        <f t="shared" si="2"/>
        <v>0</v>
      </c>
      <c r="V38" s="38">
        <f>R38*(1+S38)*原始运算表格!$P$2*原始运算表格!$Q$2</f>
        <v>0</v>
      </c>
      <c r="W38" s="38">
        <f>T38*(1+U38)*原始运算表格!$R$2*原始运算表格!$S$2</f>
        <v>0</v>
      </c>
      <c r="X38" s="38">
        <f t="shared" si="3"/>
        <v>0</v>
      </c>
      <c r="Y38" s="38">
        <f t="shared" si="4"/>
        <v>0</v>
      </c>
      <c r="Z38" s="3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35">
        <v>1978</v>
      </c>
      <c r="B39" s="35">
        <f t="shared" si="6"/>
        <v>1979</v>
      </c>
      <c r="C39" s="35">
        <v>0</v>
      </c>
      <c r="D39" s="35">
        <v>0</v>
      </c>
      <c r="E39" s="35">
        <f t="shared" si="5"/>
        <v>14</v>
      </c>
      <c r="F39" s="35">
        <f t="shared" si="2"/>
        <v>0</v>
      </c>
      <c r="V39" s="38">
        <f>R39*(1+S39)*原始运算表格!$P$2*原始运算表格!$Q$2</f>
        <v>0</v>
      </c>
      <c r="W39" s="38">
        <f>T39*(1+U39)*原始运算表格!$R$2*原始运算表格!$S$2</f>
        <v>0</v>
      </c>
      <c r="X39" s="38">
        <f t="shared" si="3"/>
        <v>0</v>
      </c>
      <c r="Y39" s="38">
        <f t="shared" si="4"/>
        <v>0</v>
      </c>
      <c r="Z39" s="3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35">
        <v>1979</v>
      </c>
      <c r="B40" s="35">
        <f t="shared" si="6"/>
        <v>1980</v>
      </c>
      <c r="C40" s="35">
        <v>0</v>
      </c>
      <c r="D40" s="35">
        <v>0</v>
      </c>
      <c r="E40" s="35">
        <f t="shared" si="5"/>
        <v>14</v>
      </c>
      <c r="F40" s="35">
        <f t="shared" si="2"/>
        <v>0</v>
      </c>
      <c r="V40" s="38">
        <f>R40*(1+S40)*原始运算表格!$P$2*原始运算表格!$Q$2</f>
        <v>0</v>
      </c>
      <c r="W40" s="38">
        <f>T40*(1+U40)*原始运算表格!$R$2*原始运算表格!$S$2</f>
        <v>0</v>
      </c>
      <c r="X40" s="38">
        <f t="shared" si="3"/>
        <v>0</v>
      </c>
      <c r="Y40" s="38">
        <f t="shared" si="4"/>
        <v>0</v>
      </c>
      <c r="Z40" s="3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35">
        <v>1980</v>
      </c>
      <c r="B41" s="35">
        <f t="shared" si="6"/>
        <v>1981</v>
      </c>
      <c r="C41" s="35">
        <v>0</v>
      </c>
      <c r="D41" s="35">
        <v>0</v>
      </c>
      <c r="E41" s="35">
        <f t="shared" si="5"/>
        <v>14</v>
      </c>
      <c r="F41" s="35">
        <f t="shared" si="2"/>
        <v>0</v>
      </c>
      <c r="V41" s="38">
        <f>R41*(1+S41)*原始运算表格!$P$2*原始运算表格!$Q$2</f>
        <v>0</v>
      </c>
      <c r="W41" s="38">
        <f>T41*(1+U41)*原始运算表格!$R$2*原始运算表格!$S$2</f>
        <v>0</v>
      </c>
      <c r="X41" s="38">
        <f t="shared" si="3"/>
        <v>0</v>
      </c>
      <c r="Y41" s="38">
        <f t="shared" si="4"/>
        <v>0</v>
      </c>
      <c r="Z41" s="3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35">
        <v>1981</v>
      </c>
      <c r="B42" s="35">
        <f t="shared" si="6"/>
        <v>1982</v>
      </c>
      <c r="C42" s="35">
        <v>0</v>
      </c>
      <c r="D42" s="35">
        <v>0</v>
      </c>
      <c r="E42" s="35">
        <f t="shared" si="5"/>
        <v>14</v>
      </c>
      <c r="F42" s="35">
        <f t="shared" si="2"/>
        <v>0</v>
      </c>
      <c r="V42" s="38">
        <f>R42*(1+S42)*原始运算表格!$P$2*原始运算表格!$Q$2</f>
        <v>0</v>
      </c>
      <c r="W42" s="38">
        <f>T42*(1+U42)*原始运算表格!$R$2*原始运算表格!$S$2</f>
        <v>0</v>
      </c>
      <c r="X42" s="38">
        <f t="shared" si="3"/>
        <v>0</v>
      </c>
      <c r="Y42" s="38">
        <f t="shared" si="4"/>
        <v>0</v>
      </c>
      <c r="Z42" s="3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35">
        <v>1982</v>
      </c>
      <c r="B43" s="35">
        <f t="shared" si="6"/>
        <v>1983</v>
      </c>
      <c r="C43" s="35">
        <v>0</v>
      </c>
      <c r="D43" s="35">
        <v>0</v>
      </c>
      <c r="E43" s="35">
        <f t="shared" si="5"/>
        <v>14</v>
      </c>
      <c r="F43" s="35">
        <f t="shared" si="2"/>
        <v>0</v>
      </c>
      <c r="V43" s="38">
        <f>R43*(1+S43)*原始运算表格!$P$2*原始运算表格!$Q$2</f>
        <v>0</v>
      </c>
      <c r="W43" s="38">
        <f>T43*(1+U43)*原始运算表格!$R$2*原始运算表格!$S$2</f>
        <v>0</v>
      </c>
      <c r="X43" s="38">
        <f t="shared" si="3"/>
        <v>0</v>
      </c>
      <c r="Y43" s="38">
        <f t="shared" si="4"/>
        <v>0</v>
      </c>
      <c r="Z43" s="3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35">
        <v>1983</v>
      </c>
      <c r="B44" s="35">
        <f t="shared" si="6"/>
        <v>1984</v>
      </c>
      <c r="C44" s="35">
        <v>0</v>
      </c>
      <c r="D44" s="35">
        <v>0</v>
      </c>
      <c r="E44" s="35">
        <f t="shared" si="5"/>
        <v>14</v>
      </c>
      <c r="F44" s="35">
        <f t="shared" si="2"/>
        <v>0</v>
      </c>
      <c r="V44" s="38">
        <f>R44*(1+S44)*原始运算表格!$P$2*原始运算表格!$Q$2</f>
        <v>0</v>
      </c>
      <c r="W44" s="38">
        <f>T44*(1+U44)*原始运算表格!$R$2*原始运算表格!$S$2</f>
        <v>0</v>
      </c>
      <c r="X44" s="38">
        <f t="shared" si="3"/>
        <v>0</v>
      </c>
      <c r="Y44" s="38">
        <f t="shared" si="4"/>
        <v>0</v>
      </c>
      <c r="Z44" s="3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35">
        <v>1984</v>
      </c>
      <c r="B45" s="35">
        <f t="shared" si="6"/>
        <v>1985</v>
      </c>
      <c r="C45" s="35">
        <v>0</v>
      </c>
      <c r="D45" s="35">
        <v>0</v>
      </c>
      <c r="E45" s="35">
        <f t="shared" si="5"/>
        <v>14</v>
      </c>
      <c r="F45" s="35">
        <f t="shared" si="2"/>
        <v>0</v>
      </c>
      <c r="V45" s="38">
        <f>R45*(1+S45)*原始运算表格!$P$2*原始运算表格!$Q$2</f>
        <v>0</v>
      </c>
      <c r="W45" s="38">
        <f>T45*(1+U45)*原始运算表格!$R$2*原始运算表格!$S$2</f>
        <v>0</v>
      </c>
      <c r="X45" s="38">
        <f>Y45-W45-V45</f>
        <v>0</v>
      </c>
      <c r="Y45" s="38">
        <f>(V45+W45)*(1+Z45)</f>
        <v>0</v>
      </c>
      <c r="Z45" s="3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35">
        <v>1985</v>
      </c>
      <c r="B46" s="35">
        <f t="shared" si="6"/>
        <v>1986</v>
      </c>
      <c r="C46" s="35">
        <v>0</v>
      </c>
      <c r="D46" s="35">
        <v>0</v>
      </c>
      <c r="E46" s="35">
        <f t="shared" si="5"/>
        <v>14</v>
      </c>
      <c r="F46" s="35">
        <f t="shared" si="2"/>
        <v>0</v>
      </c>
      <c r="V46" s="38">
        <f>R46*(1+S46)*原始运算表格!$P$2*原始运算表格!$Q$2</f>
        <v>0</v>
      </c>
      <c r="W46" s="38">
        <f>T46*(1+U46)*原始运算表格!$R$2*原始运算表格!$S$2</f>
        <v>0</v>
      </c>
      <c r="X46" s="38">
        <f t="shared" ref="X46:X79" si="7">Y46-W46-V46</f>
        <v>0</v>
      </c>
      <c r="Y46" s="38">
        <f t="shared" ref="Y46:Y79" si="8">(V46+W46)*(1+Z46)</f>
        <v>0</v>
      </c>
      <c r="Z46" s="3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35">
        <v>1986</v>
      </c>
      <c r="B47" s="35">
        <f t="shared" si="6"/>
        <v>1987</v>
      </c>
      <c r="C47" s="35">
        <v>0</v>
      </c>
      <c r="D47" s="35">
        <v>0</v>
      </c>
      <c r="E47" s="35">
        <f t="shared" si="5"/>
        <v>14</v>
      </c>
      <c r="F47" s="35">
        <f t="shared" si="2"/>
        <v>0</v>
      </c>
      <c r="V47" s="38">
        <f>R47*(1+S47)*原始运算表格!$P$2*原始运算表格!$Q$2</f>
        <v>0</v>
      </c>
      <c r="W47" s="38">
        <f>T47*(1+U47)*原始运算表格!$R$2*原始运算表格!$S$2</f>
        <v>0</v>
      </c>
      <c r="X47" s="38">
        <f t="shared" si="7"/>
        <v>0</v>
      </c>
      <c r="Y47" s="38">
        <f t="shared" si="8"/>
        <v>0</v>
      </c>
      <c r="Z47" s="3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35">
        <v>1987</v>
      </c>
      <c r="B48" s="35">
        <f t="shared" si="6"/>
        <v>1988</v>
      </c>
      <c r="C48" s="35">
        <v>0</v>
      </c>
      <c r="D48" s="35">
        <v>0</v>
      </c>
      <c r="E48" s="35">
        <f t="shared" si="5"/>
        <v>14</v>
      </c>
      <c r="F48" s="35">
        <f t="shared" si="2"/>
        <v>0</v>
      </c>
      <c r="V48" s="38">
        <f>R48*(1+S48)*原始运算表格!$P$2*原始运算表格!$Q$2</f>
        <v>0</v>
      </c>
      <c r="W48" s="38">
        <f>T48*(1+U48)*原始运算表格!$R$2*原始运算表格!$S$2</f>
        <v>0</v>
      </c>
      <c r="X48" s="38">
        <f t="shared" si="7"/>
        <v>0</v>
      </c>
      <c r="Y48" s="38">
        <f t="shared" si="8"/>
        <v>0</v>
      </c>
      <c r="Z48" s="3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35">
        <v>1988</v>
      </c>
      <c r="B49" s="35">
        <f t="shared" si="6"/>
        <v>1989</v>
      </c>
      <c r="C49" s="35">
        <v>0</v>
      </c>
      <c r="D49" s="35">
        <v>0</v>
      </c>
      <c r="E49" s="35">
        <f t="shared" si="5"/>
        <v>14</v>
      </c>
      <c r="F49" s="35">
        <f t="shared" si="2"/>
        <v>0</v>
      </c>
      <c r="V49" s="38">
        <f>R49*(1+S49)*原始运算表格!$P$2*原始运算表格!$Q$2</f>
        <v>0</v>
      </c>
      <c r="W49" s="38">
        <f>T49*(1+U49)*原始运算表格!$R$2*原始运算表格!$S$2</f>
        <v>0</v>
      </c>
      <c r="X49" s="38">
        <f t="shared" si="7"/>
        <v>0</v>
      </c>
      <c r="Y49" s="38">
        <f t="shared" si="8"/>
        <v>0</v>
      </c>
      <c r="Z49" s="3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35">
        <v>1989</v>
      </c>
      <c r="B50" s="35">
        <f t="shared" si="6"/>
        <v>1990</v>
      </c>
      <c r="C50" s="35">
        <v>0</v>
      </c>
      <c r="D50" s="35">
        <v>0</v>
      </c>
      <c r="E50" s="35">
        <f t="shared" si="5"/>
        <v>14</v>
      </c>
      <c r="F50" s="35">
        <f t="shared" si="2"/>
        <v>0</v>
      </c>
      <c r="V50" s="38">
        <f>R50*(1+S50)*原始运算表格!$P$2*原始运算表格!$Q$2</f>
        <v>0</v>
      </c>
      <c r="W50" s="38">
        <f>T50*(1+U50)*原始运算表格!$R$2*原始运算表格!$S$2</f>
        <v>0</v>
      </c>
      <c r="X50" s="38">
        <f t="shared" si="7"/>
        <v>0</v>
      </c>
      <c r="Y50" s="38">
        <f t="shared" si="8"/>
        <v>0</v>
      </c>
      <c r="Z50" s="3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35">
        <v>1990</v>
      </c>
      <c r="B51" s="35">
        <f t="shared" si="6"/>
        <v>1991</v>
      </c>
      <c r="C51" s="35">
        <v>0</v>
      </c>
      <c r="D51" s="35">
        <v>0</v>
      </c>
      <c r="E51" s="35">
        <f t="shared" si="5"/>
        <v>14</v>
      </c>
      <c r="F51" s="35">
        <f t="shared" si="2"/>
        <v>0</v>
      </c>
      <c r="V51" s="38">
        <f>R51*(1+S51)*原始运算表格!$P$2*原始运算表格!$Q$2</f>
        <v>0</v>
      </c>
      <c r="W51" s="38">
        <f>T51*(1+U51)*原始运算表格!$R$2*原始运算表格!$S$2</f>
        <v>0</v>
      </c>
      <c r="X51" s="38">
        <f t="shared" si="7"/>
        <v>0</v>
      </c>
      <c r="Y51" s="38">
        <f t="shared" si="8"/>
        <v>0</v>
      </c>
      <c r="Z51" s="3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35">
        <v>1991</v>
      </c>
      <c r="B52" s="35">
        <f t="shared" si="6"/>
        <v>1992</v>
      </c>
      <c r="C52" s="35">
        <v>0</v>
      </c>
      <c r="D52" s="35">
        <v>0</v>
      </c>
      <c r="E52" s="35">
        <f t="shared" si="5"/>
        <v>14</v>
      </c>
      <c r="F52" s="35">
        <f t="shared" si="2"/>
        <v>0</v>
      </c>
      <c r="V52" s="38">
        <f>R52*(1+S52)*原始运算表格!$P$2*原始运算表格!$Q$2</f>
        <v>0</v>
      </c>
      <c r="W52" s="38">
        <f>T52*(1+U52)*原始运算表格!$R$2*原始运算表格!$S$2</f>
        <v>0</v>
      </c>
      <c r="X52" s="38">
        <f t="shared" si="7"/>
        <v>0</v>
      </c>
      <c r="Y52" s="38">
        <f t="shared" si="8"/>
        <v>0</v>
      </c>
      <c r="Z52" s="3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35">
        <v>1992</v>
      </c>
      <c r="B53" s="35">
        <f t="shared" si="6"/>
        <v>1993</v>
      </c>
      <c r="C53" s="35">
        <v>0</v>
      </c>
      <c r="D53" s="35">
        <v>0</v>
      </c>
      <c r="E53" s="35">
        <f t="shared" si="5"/>
        <v>14</v>
      </c>
      <c r="F53" s="35">
        <f t="shared" si="2"/>
        <v>0</v>
      </c>
      <c r="V53" s="38">
        <f>R53*(1+S53)*原始运算表格!$P$2*原始运算表格!$Q$2</f>
        <v>0</v>
      </c>
      <c r="W53" s="38">
        <f>T53*(1+U53)*原始运算表格!$R$2*原始运算表格!$S$2</f>
        <v>0</v>
      </c>
      <c r="X53" s="38">
        <f t="shared" si="7"/>
        <v>0</v>
      </c>
      <c r="Y53" s="38">
        <f t="shared" si="8"/>
        <v>0</v>
      </c>
      <c r="Z53" s="3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35">
        <v>1993</v>
      </c>
      <c r="B54" s="35">
        <f t="shared" si="6"/>
        <v>1994</v>
      </c>
      <c r="C54" s="35">
        <v>0</v>
      </c>
      <c r="D54" s="35">
        <v>0</v>
      </c>
      <c r="E54" s="35">
        <f t="shared" si="5"/>
        <v>14</v>
      </c>
      <c r="F54" s="35">
        <f t="shared" si="2"/>
        <v>0</v>
      </c>
      <c r="V54" s="38">
        <f>R54*(1+S54)*原始运算表格!$P$2*原始运算表格!$Q$2</f>
        <v>0</v>
      </c>
      <c r="W54" s="38">
        <f>T54*(1+U54)*原始运算表格!$R$2*原始运算表格!$S$2</f>
        <v>0</v>
      </c>
      <c r="X54" s="38">
        <f t="shared" si="7"/>
        <v>0</v>
      </c>
      <c r="Y54" s="38">
        <f t="shared" si="8"/>
        <v>0</v>
      </c>
      <c r="Z54" s="3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35">
        <v>1994</v>
      </c>
      <c r="B55" s="35">
        <f t="shared" si="6"/>
        <v>1995</v>
      </c>
      <c r="C55" s="35">
        <v>0</v>
      </c>
      <c r="D55" s="35">
        <v>0</v>
      </c>
      <c r="E55" s="35">
        <f t="shared" si="5"/>
        <v>14</v>
      </c>
      <c r="F55" s="35">
        <f t="shared" si="2"/>
        <v>0</v>
      </c>
      <c r="V55" s="38">
        <f>R55*(1+S55)*原始运算表格!$P$2*原始运算表格!$Q$2</f>
        <v>0</v>
      </c>
      <c r="W55" s="38">
        <f>T55*(1+U55)*原始运算表格!$R$2*原始运算表格!$S$2</f>
        <v>0</v>
      </c>
      <c r="X55" s="38">
        <f t="shared" si="7"/>
        <v>0</v>
      </c>
      <c r="Y55" s="38">
        <f t="shared" si="8"/>
        <v>0</v>
      </c>
      <c r="Z55" s="3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35">
        <v>1995</v>
      </c>
      <c r="B56" s="35">
        <f t="shared" si="6"/>
        <v>1996</v>
      </c>
      <c r="C56" s="35">
        <v>0</v>
      </c>
      <c r="D56" s="35">
        <v>0</v>
      </c>
      <c r="E56" s="35">
        <f t="shared" si="5"/>
        <v>14</v>
      </c>
      <c r="F56" s="35">
        <f t="shared" si="2"/>
        <v>0</v>
      </c>
      <c r="V56" s="38">
        <f>R56*(1+S56)*原始运算表格!$P$2*原始运算表格!$Q$2</f>
        <v>0</v>
      </c>
      <c r="W56" s="38">
        <f>T56*(1+U56)*原始运算表格!$R$2*原始运算表格!$S$2</f>
        <v>0</v>
      </c>
      <c r="X56" s="38">
        <f t="shared" si="7"/>
        <v>0</v>
      </c>
      <c r="Y56" s="38">
        <f t="shared" si="8"/>
        <v>0</v>
      </c>
      <c r="Z56" s="3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35">
        <v>1996</v>
      </c>
      <c r="B57" s="35">
        <f t="shared" si="6"/>
        <v>1997</v>
      </c>
      <c r="C57" s="35">
        <v>0</v>
      </c>
      <c r="D57" s="35">
        <v>0</v>
      </c>
      <c r="E57" s="35">
        <f t="shared" si="5"/>
        <v>14</v>
      </c>
      <c r="F57" s="35">
        <f t="shared" si="2"/>
        <v>0</v>
      </c>
      <c r="V57" s="38">
        <f>R57*(1+S57)*原始运算表格!$P$2*原始运算表格!$Q$2</f>
        <v>0</v>
      </c>
      <c r="W57" s="38">
        <f>T57*(1+U57)*原始运算表格!$R$2*原始运算表格!$S$2</f>
        <v>0</v>
      </c>
      <c r="X57" s="38">
        <f t="shared" si="7"/>
        <v>0</v>
      </c>
      <c r="Y57" s="38">
        <f t="shared" si="8"/>
        <v>0</v>
      </c>
      <c r="Z57" s="3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35">
        <v>1997</v>
      </c>
      <c r="B58" s="35">
        <f t="shared" si="6"/>
        <v>1998</v>
      </c>
      <c r="C58" s="35">
        <v>0</v>
      </c>
      <c r="D58" s="35">
        <v>0</v>
      </c>
      <c r="E58" s="35">
        <f t="shared" si="5"/>
        <v>14</v>
      </c>
      <c r="F58" s="35">
        <f t="shared" si="2"/>
        <v>0</v>
      </c>
      <c r="V58" s="38">
        <f>R58*(1+S58)*原始运算表格!$P$2*原始运算表格!$Q$2</f>
        <v>0</v>
      </c>
      <c r="W58" s="38">
        <f>T58*(1+U58)*原始运算表格!$R$2*原始运算表格!$S$2</f>
        <v>0</v>
      </c>
      <c r="X58" s="38">
        <f t="shared" si="7"/>
        <v>0</v>
      </c>
      <c r="Y58" s="38">
        <f t="shared" si="8"/>
        <v>0</v>
      </c>
      <c r="Z58" s="3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35">
        <v>1998</v>
      </c>
      <c r="B59" s="35">
        <f t="shared" si="6"/>
        <v>1999</v>
      </c>
      <c r="C59" s="35">
        <v>0</v>
      </c>
      <c r="D59" s="35">
        <v>0</v>
      </c>
      <c r="E59" s="35">
        <f t="shared" si="5"/>
        <v>14</v>
      </c>
      <c r="F59" s="35">
        <f t="shared" si="2"/>
        <v>0</v>
      </c>
      <c r="V59" s="38">
        <f>R59*(1+S59)*原始运算表格!$P$2*原始运算表格!$Q$2</f>
        <v>0</v>
      </c>
      <c r="W59" s="38">
        <f>T59*(1+U59)*原始运算表格!$R$2*原始运算表格!$S$2</f>
        <v>0</v>
      </c>
      <c r="X59" s="38">
        <f t="shared" si="7"/>
        <v>0</v>
      </c>
      <c r="Y59" s="38">
        <f t="shared" si="8"/>
        <v>0</v>
      </c>
      <c r="Z59" s="3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35">
        <v>1999</v>
      </c>
      <c r="B60" s="35">
        <f t="shared" si="6"/>
        <v>2000</v>
      </c>
      <c r="C60" s="35">
        <v>0</v>
      </c>
      <c r="D60" s="35">
        <v>0</v>
      </c>
      <c r="E60" s="35">
        <f t="shared" si="5"/>
        <v>14</v>
      </c>
      <c r="F60" s="35">
        <f t="shared" si="2"/>
        <v>0</v>
      </c>
      <c r="V60" s="38">
        <f>R60*(1+S60)*原始运算表格!$P$2*原始运算表格!$Q$2</f>
        <v>0</v>
      </c>
      <c r="W60" s="38">
        <f>T60*(1+U60)*原始运算表格!$R$2*原始运算表格!$S$2</f>
        <v>0</v>
      </c>
      <c r="X60" s="38">
        <f t="shared" si="7"/>
        <v>0</v>
      </c>
      <c r="Y60" s="38">
        <f t="shared" si="8"/>
        <v>0</v>
      </c>
      <c r="Z60" s="3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35">
        <v>2000</v>
      </c>
      <c r="B61" s="35">
        <f t="shared" si="6"/>
        <v>2001</v>
      </c>
      <c r="C61" s="35">
        <v>0</v>
      </c>
      <c r="D61" s="35">
        <v>0</v>
      </c>
      <c r="E61" s="35">
        <f t="shared" si="5"/>
        <v>14</v>
      </c>
      <c r="F61" s="35">
        <f t="shared" si="2"/>
        <v>0</v>
      </c>
      <c r="V61" s="38">
        <f>R61*(1+S61)*原始运算表格!$P$2*原始运算表格!$Q$2</f>
        <v>0</v>
      </c>
      <c r="W61" s="38">
        <f>T61*(1+U61)*原始运算表格!$R$2*原始运算表格!$S$2</f>
        <v>0</v>
      </c>
      <c r="X61" s="38">
        <f t="shared" si="7"/>
        <v>0</v>
      </c>
      <c r="Y61" s="38">
        <f t="shared" si="8"/>
        <v>0</v>
      </c>
      <c r="Z61" s="3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35">
        <v>2001</v>
      </c>
      <c r="B62" s="35">
        <f t="shared" si="6"/>
        <v>2002</v>
      </c>
      <c r="C62" s="35">
        <v>0</v>
      </c>
      <c r="D62" s="35">
        <v>0</v>
      </c>
      <c r="E62" s="35">
        <f t="shared" si="5"/>
        <v>14</v>
      </c>
      <c r="F62" s="35">
        <f t="shared" si="2"/>
        <v>0</v>
      </c>
      <c r="I62" s="42"/>
      <c r="J62" s="42"/>
      <c r="K62" s="42"/>
      <c r="L62" s="42"/>
      <c r="M62" s="42"/>
      <c r="P62" s="42"/>
      <c r="V62" s="38">
        <f>R62*(1+S62)*原始运算表格!$P$2*原始运算表格!$Q$2</f>
        <v>0</v>
      </c>
      <c r="W62" s="38">
        <f>T62*(1+U62)*原始运算表格!$R$2*原始运算表格!$S$2</f>
        <v>0</v>
      </c>
      <c r="X62" s="38">
        <f t="shared" si="7"/>
        <v>0</v>
      </c>
      <c r="Y62" s="38">
        <f t="shared" si="8"/>
        <v>0</v>
      </c>
      <c r="Z62" s="3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35">
        <v>2002</v>
      </c>
      <c r="B63" s="35">
        <f t="shared" si="6"/>
        <v>2003</v>
      </c>
      <c r="C63" s="35">
        <v>0</v>
      </c>
      <c r="D63" s="35">
        <v>0</v>
      </c>
      <c r="E63" s="35">
        <f t="shared" si="5"/>
        <v>14</v>
      </c>
      <c r="F63" s="35">
        <f t="shared" si="2"/>
        <v>0</v>
      </c>
      <c r="I63" s="42"/>
      <c r="J63" s="42"/>
      <c r="K63" s="42"/>
      <c r="L63" s="42"/>
      <c r="M63" s="42"/>
      <c r="P63" s="42"/>
      <c r="V63" s="38">
        <f>R63*(1+S63)*原始运算表格!$P$2*原始运算表格!$Q$2</f>
        <v>0</v>
      </c>
      <c r="W63" s="38">
        <f>T63*(1+U63)*原始运算表格!$R$2*原始运算表格!$S$2</f>
        <v>0</v>
      </c>
      <c r="X63" s="38">
        <f t="shared" si="7"/>
        <v>0</v>
      </c>
      <c r="Y63" s="38">
        <f t="shared" si="8"/>
        <v>0</v>
      </c>
      <c r="Z63" s="3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35">
        <v>2003</v>
      </c>
      <c r="B64" s="35">
        <f t="shared" si="6"/>
        <v>2004</v>
      </c>
      <c r="C64" s="35">
        <v>0</v>
      </c>
      <c r="D64" s="35">
        <v>0</v>
      </c>
      <c r="E64" s="35">
        <f t="shared" si="5"/>
        <v>14</v>
      </c>
      <c r="F64" s="35">
        <f t="shared" si="2"/>
        <v>0</v>
      </c>
      <c r="V64" s="38">
        <f>R64*(1+S64)*原始运算表格!$P$2*原始运算表格!$Q$2</f>
        <v>0</v>
      </c>
      <c r="W64" s="38">
        <f>T64*(1+U64)*原始运算表格!$R$2*原始运算表格!$S$2</f>
        <v>0</v>
      </c>
      <c r="X64" s="38">
        <f t="shared" si="7"/>
        <v>0</v>
      </c>
      <c r="Y64" s="38">
        <f t="shared" si="8"/>
        <v>0</v>
      </c>
      <c r="Z64" s="3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35">
        <v>2004</v>
      </c>
      <c r="B65" s="35">
        <f t="shared" si="6"/>
        <v>2005</v>
      </c>
      <c r="C65" s="35">
        <v>0</v>
      </c>
      <c r="D65" s="35">
        <v>0</v>
      </c>
      <c r="E65" s="35">
        <f t="shared" si="5"/>
        <v>14</v>
      </c>
      <c r="F65" s="35">
        <f t="shared" si="2"/>
        <v>0</v>
      </c>
      <c r="V65" s="38">
        <f>R65*(1+S65)*原始运算表格!$P$2*原始运算表格!$Q$2</f>
        <v>0</v>
      </c>
      <c r="W65" s="38">
        <f>T65*(1+U65)*原始运算表格!$R$2*原始运算表格!$S$2</f>
        <v>0</v>
      </c>
      <c r="X65" s="38">
        <f t="shared" si="7"/>
        <v>0</v>
      </c>
      <c r="Y65" s="38">
        <f t="shared" si="8"/>
        <v>0</v>
      </c>
      <c r="Z65" s="3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35">
        <v>2005</v>
      </c>
      <c r="B66" s="35">
        <f t="shared" si="6"/>
        <v>2006</v>
      </c>
      <c r="C66" s="35">
        <v>0</v>
      </c>
      <c r="D66" s="35">
        <v>0</v>
      </c>
      <c r="E66" s="35">
        <f t="shared" si="5"/>
        <v>14</v>
      </c>
      <c r="F66" s="35">
        <f t="shared" si="2"/>
        <v>0</v>
      </c>
      <c r="V66" s="38">
        <f>R66*(1+S66)*原始运算表格!$P$2*原始运算表格!$Q$2</f>
        <v>0</v>
      </c>
      <c r="W66" s="38">
        <f>T66*(1+U66)*原始运算表格!$R$2*原始运算表格!$S$2</f>
        <v>0</v>
      </c>
      <c r="X66" s="38">
        <f t="shared" si="7"/>
        <v>0</v>
      </c>
      <c r="Y66" s="38">
        <f t="shared" si="8"/>
        <v>0</v>
      </c>
      <c r="Z66" s="3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35">
        <v>2006</v>
      </c>
      <c r="B67" s="35">
        <f t="shared" si="6"/>
        <v>2007</v>
      </c>
      <c r="C67" s="35">
        <v>0</v>
      </c>
      <c r="D67" s="35">
        <v>0</v>
      </c>
      <c r="E67" s="35">
        <f t="shared" si="5"/>
        <v>14</v>
      </c>
      <c r="F67" s="35">
        <f t="shared" si="2"/>
        <v>0</v>
      </c>
      <c r="V67" s="38">
        <f>R67*(1+S67)*原始运算表格!$P$2*原始运算表格!$Q$2</f>
        <v>0</v>
      </c>
      <c r="W67" s="38">
        <f>T67*(1+U67)*原始运算表格!$R$2*原始运算表格!$S$2</f>
        <v>0</v>
      </c>
      <c r="X67" s="38">
        <f t="shared" si="7"/>
        <v>0</v>
      </c>
      <c r="Y67" s="38">
        <f t="shared" si="8"/>
        <v>0</v>
      </c>
      <c r="Z67" s="3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35">
        <v>2007</v>
      </c>
      <c r="B68" s="35">
        <f t="shared" si="6"/>
        <v>2008</v>
      </c>
      <c r="C68" s="35">
        <v>0</v>
      </c>
      <c r="D68" s="35">
        <v>0</v>
      </c>
      <c r="E68" s="35">
        <f t="shared" si="5"/>
        <v>14</v>
      </c>
      <c r="F68" s="35">
        <f t="shared" si="2"/>
        <v>0</v>
      </c>
      <c r="V68" s="38">
        <f>R68*(1+S68)*原始运算表格!$P$2*原始运算表格!$Q$2</f>
        <v>0</v>
      </c>
      <c r="W68" s="38">
        <f>T68*(1+U68)*原始运算表格!$R$2*原始运算表格!$S$2</f>
        <v>0</v>
      </c>
      <c r="X68" s="38">
        <f t="shared" si="7"/>
        <v>0</v>
      </c>
      <c r="Y68" s="38">
        <f t="shared" si="8"/>
        <v>0</v>
      </c>
      <c r="Z68" s="3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35">
        <v>2008</v>
      </c>
      <c r="B69" s="35">
        <f t="shared" si="6"/>
        <v>2009</v>
      </c>
      <c r="C69" s="35">
        <v>0</v>
      </c>
      <c r="D69" s="35">
        <v>0</v>
      </c>
      <c r="E69" s="35">
        <f t="shared" si="5"/>
        <v>14</v>
      </c>
      <c r="F69" s="35">
        <f t="shared" si="2"/>
        <v>0</v>
      </c>
      <c r="V69" s="38">
        <f>R69*(1+S69)*原始运算表格!$P$2*原始运算表格!$Q$2</f>
        <v>0</v>
      </c>
      <c r="W69" s="38">
        <f>T69*(1+U69)*原始运算表格!$R$2*原始运算表格!$S$2</f>
        <v>0</v>
      </c>
      <c r="X69" s="38">
        <f t="shared" si="7"/>
        <v>0</v>
      </c>
      <c r="Y69" s="38">
        <f t="shared" si="8"/>
        <v>0</v>
      </c>
      <c r="Z69" s="3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35">
        <v>2009</v>
      </c>
      <c r="B70" s="35">
        <f t="shared" si="6"/>
        <v>2010</v>
      </c>
      <c r="C70" s="35">
        <v>0</v>
      </c>
      <c r="D70" s="35">
        <v>0</v>
      </c>
      <c r="E70" s="35">
        <f t="shared" si="5"/>
        <v>14</v>
      </c>
      <c r="F70" s="35">
        <f t="shared" si="2"/>
        <v>0</v>
      </c>
      <c r="V70" s="38">
        <f>R70*(1+S70)*原始运算表格!$P$2*原始运算表格!$Q$2</f>
        <v>0</v>
      </c>
      <c r="W70" s="38">
        <f>T70*(1+U70)*原始运算表格!$R$2*原始运算表格!$S$2</f>
        <v>0</v>
      </c>
      <c r="X70" s="38">
        <f t="shared" si="7"/>
        <v>0</v>
      </c>
      <c r="Y70" s="38">
        <f t="shared" si="8"/>
        <v>0</v>
      </c>
      <c r="Z70" s="3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35">
        <v>2010</v>
      </c>
      <c r="B71" s="35">
        <f t="shared" si="6"/>
        <v>2011</v>
      </c>
      <c r="C71" s="35">
        <v>0</v>
      </c>
      <c r="D71" s="35">
        <v>0</v>
      </c>
      <c r="E71" s="35">
        <f t="shared" si="5"/>
        <v>14</v>
      </c>
      <c r="F71" s="35">
        <f t="shared" ref="F71:F79" si="9">C71*E71</f>
        <v>0</v>
      </c>
      <c r="V71" s="38">
        <f>R71*(1+S71)*原始运算表格!$P$2*原始运算表格!$Q$2</f>
        <v>0</v>
      </c>
      <c r="W71" s="38">
        <f>T71*(1+U71)*原始运算表格!$R$2*原始运算表格!$S$2</f>
        <v>0</v>
      </c>
      <c r="X71" s="38">
        <f t="shared" si="7"/>
        <v>0</v>
      </c>
      <c r="Y71" s="38">
        <f t="shared" si="8"/>
        <v>0</v>
      </c>
      <c r="Z71" s="3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35">
        <v>2011</v>
      </c>
      <c r="B72" s="35">
        <f t="shared" si="6"/>
        <v>2012</v>
      </c>
      <c r="C72" s="35">
        <v>0</v>
      </c>
      <c r="D72" s="35">
        <v>0</v>
      </c>
      <c r="E72" s="35">
        <f t="shared" si="5"/>
        <v>14</v>
      </c>
      <c r="F72" s="35">
        <f t="shared" si="9"/>
        <v>0</v>
      </c>
      <c r="V72" s="38">
        <f>R72*(1+S72)*原始运算表格!$P$2*原始运算表格!$Q$2</f>
        <v>0</v>
      </c>
      <c r="W72" s="38">
        <f>T72*(1+U72)*原始运算表格!$R$2*原始运算表格!$S$2</f>
        <v>0</v>
      </c>
      <c r="X72" s="38">
        <f t="shared" si="7"/>
        <v>0</v>
      </c>
      <c r="Y72" s="38">
        <f t="shared" si="8"/>
        <v>0</v>
      </c>
      <c r="Z72" s="3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35">
        <v>2012</v>
      </c>
      <c r="B73" s="35">
        <f t="shared" si="6"/>
        <v>2013</v>
      </c>
      <c r="C73" s="35">
        <v>0</v>
      </c>
      <c r="D73" s="35">
        <v>0</v>
      </c>
      <c r="E73" s="35">
        <f t="shared" ref="E73:E79" si="10">E72+C73</f>
        <v>14</v>
      </c>
      <c r="F73" s="35">
        <f t="shared" si="9"/>
        <v>0</v>
      </c>
      <c r="V73" s="38">
        <f>R73*(1+S73)*原始运算表格!$P$2*原始运算表格!$Q$2</f>
        <v>0</v>
      </c>
      <c r="W73" s="38">
        <f>T73*(1+U73)*原始运算表格!$R$2*原始运算表格!$S$2</f>
        <v>0</v>
      </c>
      <c r="X73" s="38">
        <f t="shared" si="7"/>
        <v>0</v>
      </c>
      <c r="Y73" s="38">
        <f t="shared" si="8"/>
        <v>0</v>
      </c>
      <c r="Z73" s="3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35">
        <v>2013</v>
      </c>
      <c r="B74" s="35">
        <f t="shared" si="6"/>
        <v>2014</v>
      </c>
      <c r="C74" s="35">
        <v>0</v>
      </c>
      <c r="D74" s="35">
        <v>0</v>
      </c>
      <c r="E74" s="35">
        <f t="shared" si="10"/>
        <v>14</v>
      </c>
      <c r="F74" s="35">
        <f t="shared" si="9"/>
        <v>0</v>
      </c>
      <c r="V74" s="38">
        <f>R74*(1+S74)*原始运算表格!$P$2*原始运算表格!$Q$2</f>
        <v>0</v>
      </c>
      <c r="W74" s="38">
        <f>T74*(1+U74)*原始运算表格!$R$2*原始运算表格!$S$2</f>
        <v>0</v>
      </c>
      <c r="X74" s="38">
        <f t="shared" si="7"/>
        <v>0</v>
      </c>
      <c r="Y74" s="38">
        <f t="shared" si="8"/>
        <v>0</v>
      </c>
      <c r="Z74" s="3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35">
        <v>2014</v>
      </c>
      <c r="B75" s="35">
        <f t="shared" si="6"/>
        <v>2015</v>
      </c>
      <c r="C75" s="35">
        <v>0</v>
      </c>
      <c r="D75" s="35">
        <v>0</v>
      </c>
      <c r="E75" s="35">
        <f t="shared" si="10"/>
        <v>14</v>
      </c>
      <c r="F75" s="35">
        <f t="shared" si="9"/>
        <v>0</v>
      </c>
      <c r="V75" s="38">
        <f>R75*(1+S75)*原始运算表格!$P$2*原始运算表格!$Q$2</f>
        <v>0</v>
      </c>
      <c r="W75" s="38">
        <f>T75*(1+U75)*原始运算表格!$R$2*原始运算表格!$S$2</f>
        <v>0</v>
      </c>
      <c r="X75" s="38">
        <f t="shared" si="7"/>
        <v>0</v>
      </c>
      <c r="Y75" s="38">
        <f t="shared" si="8"/>
        <v>0</v>
      </c>
      <c r="Z75" s="3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35">
        <v>2015</v>
      </c>
      <c r="B76" s="35">
        <f t="shared" si="6"/>
        <v>2016</v>
      </c>
      <c r="C76" s="35">
        <v>0</v>
      </c>
      <c r="D76" s="35">
        <v>0</v>
      </c>
      <c r="E76" s="35">
        <f t="shared" si="10"/>
        <v>14</v>
      </c>
      <c r="F76" s="35">
        <f t="shared" si="9"/>
        <v>0</v>
      </c>
      <c r="V76" s="38">
        <f>R76*(1+S76)*原始运算表格!$P$2*原始运算表格!$Q$2</f>
        <v>0</v>
      </c>
      <c r="W76" s="38">
        <f>T76*(1+U76)*原始运算表格!$R$2*原始运算表格!$S$2</f>
        <v>0</v>
      </c>
      <c r="X76" s="38">
        <f t="shared" si="7"/>
        <v>0</v>
      </c>
      <c r="Y76" s="38">
        <f t="shared" si="8"/>
        <v>0</v>
      </c>
      <c r="Z76" s="3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35">
        <v>2016</v>
      </c>
      <c r="B77" s="35">
        <f>A77+1</f>
        <v>2017</v>
      </c>
      <c r="C77" s="35">
        <v>0</v>
      </c>
      <c r="D77" s="35">
        <v>0</v>
      </c>
      <c r="E77" s="35">
        <f t="shared" si="10"/>
        <v>14</v>
      </c>
      <c r="F77" s="35">
        <f t="shared" si="9"/>
        <v>0</v>
      </c>
      <c r="V77" s="38">
        <f>R77*(1+S77)*原始运算表格!$P$2*原始运算表格!$Q$2</f>
        <v>0</v>
      </c>
      <c r="W77" s="38">
        <f>T77*(1+U77)*原始运算表格!$R$2*原始运算表格!$S$2</f>
        <v>0</v>
      </c>
      <c r="X77" s="38">
        <f t="shared" si="7"/>
        <v>0</v>
      </c>
      <c r="Y77" s="38">
        <f t="shared" si="8"/>
        <v>0</v>
      </c>
      <c r="Z77" s="3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35">
        <v>2017</v>
      </c>
      <c r="B78" s="35">
        <f>A78+1</f>
        <v>2018</v>
      </c>
      <c r="C78" s="35">
        <v>0</v>
      </c>
      <c r="D78" s="35">
        <v>0</v>
      </c>
      <c r="E78" s="35">
        <f t="shared" si="10"/>
        <v>14</v>
      </c>
      <c r="F78" s="35">
        <f t="shared" si="9"/>
        <v>0</v>
      </c>
      <c r="V78" s="38">
        <f>R78*(1+S78)*原始运算表格!$P$2*原始运算表格!$Q$2</f>
        <v>0</v>
      </c>
      <c r="W78" s="38">
        <f>T78*(1+U78)*原始运算表格!$R$2*原始运算表格!$S$2</f>
        <v>0</v>
      </c>
      <c r="X78" s="38">
        <f t="shared" si="7"/>
        <v>0</v>
      </c>
      <c r="Y78" s="38">
        <f t="shared" si="8"/>
        <v>0</v>
      </c>
      <c r="Z78" s="3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35">
        <v>2018</v>
      </c>
      <c r="B79" s="35">
        <f>A79+1</f>
        <v>2019</v>
      </c>
      <c r="C79" s="35">
        <v>0</v>
      </c>
      <c r="D79" s="35">
        <v>0</v>
      </c>
      <c r="E79" s="35">
        <f t="shared" si="10"/>
        <v>14</v>
      </c>
      <c r="F79" s="35">
        <f t="shared" si="9"/>
        <v>0</v>
      </c>
      <c r="V79" s="38">
        <f>R79*(1+S79)*原始运算表格!$P$2*原始运算表格!$Q$2</f>
        <v>0</v>
      </c>
      <c r="W79" s="38">
        <f>T79*(1+U79)*原始运算表格!$R$2*原始运算表格!$S$2</f>
        <v>0</v>
      </c>
      <c r="X79" s="38">
        <f t="shared" si="7"/>
        <v>0</v>
      </c>
      <c r="Y79" s="38">
        <f t="shared" si="8"/>
        <v>0</v>
      </c>
      <c r="Z79" s="3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Z79"/>
  <sheetViews>
    <sheetView zoomScale="55" zoomScaleNormal="55" workbookViewId="0">
      <pane xSplit="1" ySplit="6" topLeftCell="B28" activePane="bottomRight" state="frozen"/>
      <selection pane="topRight" activeCell="B1" sqref="B1"/>
      <selection pane="bottomLeft" activeCell="A7" sqref="A7"/>
      <selection pane="bottomRigh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58</v>
      </c>
    </row>
    <row r="5" spans="1:26" s="6" customFormat="1">
      <c r="A5" s="6" t="s">
        <v>22</v>
      </c>
      <c r="B5" s="7"/>
      <c r="C5" s="6">
        <f>SUM(C12:C105)</f>
        <v>21</v>
      </c>
      <c r="D5" s="6">
        <f>SUM(D12:D105)</f>
        <v>13</v>
      </c>
      <c r="G5" s="6">
        <f>SUM(G12:G105)</f>
        <v>3</v>
      </c>
      <c r="H5" s="6">
        <f t="shared" ref="H5:Z5" si="0">SUM(H12:H105)</f>
        <v>0</v>
      </c>
      <c r="I5" s="6">
        <f t="shared" si="0"/>
        <v>0</v>
      </c>
      <c r="J5" s="6">
        <f t="shared" si="0"/>
        <v>6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4</v>
      </c>
      <c r="O5" s="6">
        <f t="shared" si="0"/>
        <v>1</v>
      </c>
      <c r="P5" s="6">
        <f t="shared" si="0"/>
        <v>1</v>
      </c>
      <c r="Q5" s="6">
        <f t="shared" si="0"/>
        <v>1</v>
      </c>
      <c r="R5" s="6">
        <f t="shared" si="0"/>
        <v>439.3</v>
      </c>
      <c r="S5" s="6">
        <f t="shared" si="0"/>
        <v>179.2</v>
      </c>
      <c r="T5" s="6">
        <f t="shared" si="0"/>
        <v>279.40000000000003</v>
      </c>
      <c r="U5" s="6">
        <f t="shared" si="0"/>
        <v>14.9</v>
      </c>
      <c r="V5" s="9">
        <f t="shared" si="0"/>
        <v>4462.5699999999988</v>
      </c>
      <c r="W5" s="9">
        <f t="shared" si="0"/>
        <v>3047.4999999999995</v>
      </c>
      <c r="X5" s="9">
        <f t="shared" si="0"/>
        <v>38307.440000000002</v>
      </c>
      <c r="Y5" s="9">
        <f t="shared" si="0"/>
        <v>45817.510000000009</v>
      </c>
      <c r="Z5" s="9">
        <f t="shared" si="0"/>
        <v>53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1</v>
      </c>
      <c r="D35" s="1">
        <v>1</v>
      </c>
      <c r="E35" s="1">
        <f t="shared" si="5"/>
        <v>1</v>
      </c>
      <c r="F35" s="1">
        <f t="shared" si="2"/>
        <v>1</v>
      </c>
      <c r="R35" s="1">
        <v>19.600000000000001</v>
      </c>
      <c r="S35" s="1">
        <v>10.199999999999999</v>
      </c>
      <c r="T35" s="1">
        <v>24.2</v>
      </c>
      <c r="U35" s="1">
        <v>1.1000000000000001</v>
      </c>
      <c r="V35" s="8">
        <f>R35*(1+S35)*原始运算表格!$P$2*原始运算表格!$Q$2</f>
        <v>219.52</v>
      </c>
      <c r="W35" s="8">
        <f>T35*(1+U35)*原始运算表格!$R$2*原始运算表格!$S$2</f>
        <v>254.1</v>
      </c>
      <c r="X35" s="8">
        <f t="shared" si="3"/>
        <v>0</v>
      </c>
      <c r="Y35" s="8">
        <f t="shared" si="4"/>
        <v>473.62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1</v>
      </c>
      <c r="D36" s="1">
        <v>0</v>
      </c>
      <c r="E36" s="1">
        <f t="shared" si="5"/>
        <v>2</v>
      </c>
      <c r="F36" s="1">
        <f t="shared" si="2"/>
        <v>2</v>
      </c>
      <c r="R36" s="1">
        <v>16.8</v>
      </c>
      <c r="S36" s="1">
        <v>1.9</v>
      </c>
      <c r="V36" s="8">
        <f>R36*(1+S36)*原始运算表格!$P$2*原始运算表格!$Q$2</f>
        <v>48.72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48.72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1</v>
      </c>
      <c r="D37" s="1">
        <v>1</v>
      </c>
      <c r="E37" s="1">
        <f t="shared" si="5"/>
        <v>3</v>
      </c>
      <c r="F37" s="1">
        <f t="shared" si="2"/>
        <v>3</v>
      </c>
      <c r="R37" s="1">
        <v>19.8</v>
      </c>
      <c r="S37" s="1">
        <v>8.6999999999999993</v>
      </c>
      <c r="T37" s="1">
        <v>18.5</v>
      </c>
      <c r="U37" s="1">
        <v>1.7</v>
      </c>
      <c r="V37" s="8">
        <f>R37*(1+S37)*原始运算表格!$P$2*原始运算表格!$Q$2</f>
        <v>192.06</v>
      </c>
      <c r="W37" s="8">
        <f>T37*(1+U37)*原始运算表格!$R$2*原始运算表格!$S$2</f>
        <v>249.75</v>
      </c>
      <c r="X37" s="8">
        <f t="shared" si="3"/>
        <v>0</v>
      </c>
      <c r="Y37" s="8">
        <f t="shared" si="4"/>
        <v>441.81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1</v>
      </c>
      <c r="D38" s="1">
        <v>0</v>
      </c>
      <c r="E38" s="1">
        <f t="shared" si="5"/>
        <v>4</v>
      </c>
      <c r="F38" s="1">
        <f t="shared" si="2"/>
        <v>4</v>
      </c>
      <c r="R38" s="1">
        <v>21.2</v>
      </c>
      <c r="S38" s="1">
        <v>6.1</v>
      </c>
      <c r="V38" s="8">
        <f>R38*(1+S38)*原始运算表格!$P$2*原始运算表格!$Q$2</f>
        <v>150.51999999999998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150.51999999999998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1</v>
      </c>
      <c r="D39" s="1">
        <v>1</v>
      </c>
      <c r="E39" s="1">
        <f t="shared" si="5"/>
        <v>5</v>
      </c>
      <c r="F39" s="1">
        <f t="shared" si="2"/>
        <v>5</v>
      </c>
      <c r="G39" s="1">
        <v>1</v>
      </c>
      <c r="J39" s="1">
        <v>1</v>
      </c>
      <c r="R39" s="1">
        <v>23.7</v>
      </c>
      <c r="S39" s="1">
        <v>14.1</v>
      </c>
      <c r="T39" s="1">
        <v>28.7</v>
      </c>
      <c r="U39" s="1">
        <v>0.3</v>
      </c>
      <c r="V39" s="8">
        <f>R39*(1+S39)*原始运算表格!$P$2*原始运算表格!$Q$2</f>
        <v>357.87</v>
      </c>
      <c r="W39" s="8">
        <f>T39*(1+U39)*原始运算表格!$R$2*原始运算表格!$S$2</f>
        <v>186.55</v>
      </c>
      <c r="X39" s="8">
        <f t="shared" si="3"/>
        <v>5444.2000000000007</v>
      </c>
      <c r="Y39" s="8">
        <f t="shared" si="4"/>
        <v>5988.6200000000008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10</v>
      </c>
    </row>
    <row r="40" spans="1:26">
      <c r="A40" s="1">
        <v>1979</v>
      </c>
      <c r="B40" s="1">
        <f t="shared" si="6"/>
        <v>1980</v>
      </c>
      <c r="C40" s="1">
        <v>1</v>
      </c>
      <c r="D40" s="1">
        <v>1</v>
      </c>
      <c r="E40" s="1">
        <f t="shared" si="5"/>
        <v>6</v>
      </c>
      <c r="F40" s="1">
        <f t="shared" si="2"/>
        <v>6</v>
      </c>
      <c r="N40" s="1">
        <v>1</v>
      </c>
      <c r="R40" s="1">
        <v>24.1</v>
      </c>
      <c r="S40" s="1">
        <v>11.9</v>
      </c>
      <c r="T40" s="1">
        <v>24.9</v>
      </c>
      <c r="U40" s="1">
        <v>0.9</v>
      </c>
      <c r="V40" s="8">
        <f>R40*(1+S40)*原始运算表格!$P$2*原始运算表格!$Q$2</f>
        <v>310.89000000000004</v>
      </c>
      <c r="W40" s="8">
        <f>T40*(1+U40)*原始运算表格!$R$2*原始运算表格!$S$2</f>
        <v>236.54999999999998</v>
      </c>
      <c r="X40" s="8">
        <f t="shared" si="3"/>
        <v>547.44000000000005</v>
      </c>
      <c r="Y40" s="8">
        <f t="shared" si="4"/>
        <v>1094.8800000000001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1</v>
      </c>
    </row>
    <row r="41" spans="1:26">
      <c r="A41" s="1">
        <v>1980</v>
      </c>
      <c r="B41" s="1">
        <f t="shared" si="6"/>
        <v>1981</v>
      </c>
      <c r="C41" s="1">
        <v>1</v>
      </c>
      <c r="D41" s="1">
        <v>1</v>
      </c>
      <c r="E41" s="1">
        <f t="shared" si="5"/>
        <v>7</v>
      </c>
      <c r="F41" s="1">
        <f t="shared" si="2"/>
        <v>7</v>
      </c>
      <c r="J41" s="1">
        <v>1</v>
      </c>
      <c r="R41" s="1">
        <v>25.1</v>
      </c>
      <c r="S41" s="1">
        <v>13.7</v>
      </c>
      <c r="T41" s="1">
        <v>22.4</v>
      </c>
      <c r="U41" s="1">
        <v>3.5</v>
      </c>
      <c r="V41" s="8">
        <f>R41*(1+S41)*原始运算表格!$P$2*原始运算表格!$Q$2</f>
        <v>368.97</v>
      </c>
      <c r="W41" s="8">
        <f>T41*(1+U41)*原始运算表格!$R$2*原始运算表格!$S$2</f>
        <v>504</v>
      </c>
      <c r="X41" s="8">
        <f t="shared" si="3"/>
        <v>1745.9399999999998</v>
      </c>
      <c r="Y41" s="8">
        <f t="shared" si="4"/>
        <v>2618.91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2</v>
      </c>
    </row>
    <row r="42" spans="1:26">
      <c r="A42" s="1">
        <v>1981</v>
      </c>
      <c r="B42" s="1">
        <f t="shared" si="6"/>
        <v>1982</v>
      </c>
      <c r="C42" s="1">
        <v>1</v>
      </c>
      <c r="D42" s="1">
        <v>1</v>
      </c>
      <c r="E42" s="1">
        <f t="shared" si="5"/>
        <v>8</v>
      </c>
      <c r="F42" s="1">
        <f t="shared" si="2"/>
        <v>8</v>
      </c>
      <c r="G42" s="1">
        <v>1</v>
      </c>
      <c r="J42" s="1">
        <v>1</v>
      </c>
      <c r="N42" s="1">
        <v>1</v>
      </c>
      <c r="R42" s="1">
        <v>26.8</v>
      </c>
      <c r="S42" s="1">
        <v>15.4</v>
      </c>
      <c r="T42" s="1">
        <v>24.3</v>
      </c>
      <c r="U42" s="1">
        <v>0.5</v>
      </c>
      <c r="V42" s="8">
        <f>R42*(1+S42)*原始运算表格!$P$2*原始运算表格!$Q$2</f>
        <v>439.52</v>
      </c>
      <c r="W42" s="8">
        <f>T42*(1+U42)*原始运算表格!$R$2*原始运算表格!$S$2</f>
        <v>182.25</v>
      </c>
      <c r="X42" s="8">
        <f t="shared" si="3"/>
        <v>6839.4699999999993</v>
      </c>
      <c r="Y42" s="8">
        <f t="shared" si="4"/>
        <v>7461.24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11</v>
      </c>
    </row>
    <row r="43" spans="1:26">
      <c r="A43" s="1">
        <v>1982</v>
      </c>
      <c r="B43" s="1">
        <f t="shared" si="6"/>
        <v>1983</v>
      </c>
      <c r="C43" s="1">
        <v>1</v>
      </c>
      <c r="D43" s="1">
        <v>1</v>
      </c>
      <c r="E43" s="1">
        <f t="shared" si="5"/>
        <v>9</v>
      </c>
      <c r="F43" s="1">
        <f t="shared" si="2"/>
        <v>9</v>
      </c>
      <c r="G43" s="1">
        <v>1</v>
      </c>
      <c r="J43" s="1">
        <v>1</v>
      </c>
      <c r="N43" s="1">
        <v>1</v>
      </c>
      <c r="O43" s="1">
        <v>1</v>
      </c>
      <c r="P43" s="1">
        <v>1</v>
      </c>
      <c r="Q43" s="1">
        <v>1</v>
      </c>
      <c r="R43" s="1">
        <v>25.1</v>
      </c>
      <c r="S43" s="1">
        <v>15.1</v>
      </c>
      <c r="T43" s="1">
        <v>25.7</v>
      </c>
      <c r="U43" s="1">
        <v>2.8</v>
      </c>
      <c r="V43" s="8">
        <f>R43*(1+S43)*原始运算表格!$P$2*原始运算表格!$Q$2</f>
        <v>404.11000000000007</v>
      </c>
      <c r="W43" s="8">
        <f>T43*(1+U43)*原始运算表格!$R$2*原始运算表格!$S$2</f>
        <v>488.29999999999995</v>
      </c>
      <c r="X43" s="8">
        <f t="shared" si="3"/>
        <v>21417.840000000004</v>
      </c>
      <c r="Y43" s="8">
        <f t="shared" si="4"/>
        <v>22310.250000000004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24</v>
      </c>
    </row>
    <row r="44" spans="1:26">
      <c r="A44" s="1">
        <v>1983</v>
      </c>
      <c r="B44" s="1">
        <f t="shared" si="6"/>
        <v>1984</v>
      </c>
      <c r="C44" s="1">
        <v>1</v>
      </c>
      <c r="D44" s="1">
        <v>1</v>
      </c>
      <c r="E44" s="1">
        <f t="shared" si="5"/>
        <v>10</v>
      </c>
      <c r="F44" s="1">
        <f t="shared" si="2"/>
        <v>10</v>
      </c>
      <c r="J44" s="1">
        <v>1</v>
      </c>
      <c r="R44" s="1">
        <v>21.8</v>
      </c>
      <c r="S44" s="1">
        <v>9.5</v>
      </c>
      <c r="T44" s="1">
        <v>17</v>
      </c>
      <c r="U44" s="1">
        <v>0.5</v>
      </c>
      <c r="V44" s="8">
        <f>R44*(1+S44)*原始运算表格!$P$2*原始运算表格!$Q$2</f>
        <v>228.9</v>
      </c>
      <c r="W44" s="8">
        <f>T44*(1+U44)*原始运算表格!$R$2*原始运算表格!$S$2</f>
        <v>127.5</v>
      </c>
      <c r="X44" s="8">
        <f t="shared" si="3"/>
        <v>712.79999999999984</v>
      </c>
      <c r="Y44" s="8">
        <f t="shared" si="4"/>
        <v>1069.1999999999998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2</v>
      </c>
    </row>
    <row r="45" spans="1:26">
      <c r="A45" s="1">
        <v>1984</v>
      </c>
      <c r="B45" s="1">
        <f t="shared" si="6"/>
        <v>1985</v>
      </c>
      <c r="C45" s="1">
        <v>1</v>
      </c>
      <c r="D45" s="1">
        <v>1</v>
      </c>
      <c r="E45" s="1">
        <f t="shared" si="5"/>
        <v>11</v>
      </c>
      <c r="F45" s="1">
        <f t="shared" si="2"/>
        <v>11</v>
      </c>
      <c r="J45" s="1">
        <v>1</v>
      </c>
      <c r="N45" s="1">
        <v>1</v>
      </c>
      <c r="R45" s="1">
        <v>22.5</v>
      </c>
      <c r="S45" s="1">
        <v>11.9</v>
      </c>
      <c r="T45" s="1">
        <v>18</v>
      </c>
      <c r="U45" s="1">
        <v>1.7</v>
      </c>
      <c r="V45" s="8">
        <f>R45*(1+S45)*原始运算表格!$P$2*原始运算表格!$Q$2</f>
        <v>290.25</v>
      </c>
      <c r="W45" s="8">
        <f>T45*(1+U45)*原始运算表格!$R$2*原始运算表格!$S$2</f>
        <v>243</v>
      </c>
      <c r="X45" s="8">
        <f>Y45-W45-V45</f>
        <v>1599.75</v>
      </c>
      <c r="Y45" s="8">
        <f>(V45+W45)*(1+Z45)</f>
        <v>2133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3</v>
      </c>
    </row>
    <row r="46" spans="1:26">
      <c r="A46" s="1">
        <v>1985</v>
      </c>
      <c r="B46" s="1">
        <f t="shared" si="6"/>
        <v>1986</v>
      </c>
      <c r="C46" s="1">
        <v>1</v>
      </c>
      <c r="D46" s="1">
        <v>0</v>
      </c>
      <c r="E46" s="1">
        <f t="shared" si="5"/>
        <v>12</v>
      </c>
      <c r="F46" s="1">
        <f t="shared" si="2"/>
        <v>12</v>
      </c>
      <c r="R46" s="1">
        <v>20.6</v>
      </c>
      <c r="S46" s="1">
        <v>8.9</v>
      </c>
      <c r="V46" s="8">
        <f>R46*(1+S46)*原始运算表格!$P$2*原始运算表格!$Q$2</f>
        <v>203.94000000000003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203.94000000000003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1</v>
      </c>
      <c r="D47" s="1">
        <v>1</v>
      </c>
      <c r="E47" s="1">
        <f t="shared" si="5"/>
        <v>13</v>
      </c>
      <c r="F47" s="1">
        <f t="shared" si="2"/>
        <v>13</v>
      </c>
      <c r="R47" s="1">
        <v>23.8</v>
      </c>
      <c r="S47" s="1">
        <v>9.4</v>
      </c>
      <c r="T47" s="1">
        <v>19.3</v>
      </c>
      <c r="U47" s="1">
        <v>0.3</v>
      </c>
      <c r="V47" s="8">
        <f>R47*(1+S47)*原始运算表格!$P$2*原始运算表格!$Q$2</f>
        <v>247.52</v>
      </c>
      <c r="W47" s="8">
        <f>T47*(1+U47)*原始运算表格!$R$2*原始运算表格!$S$2</f>
        <v>125.45000000000002</v>
      </c>
      <c r="X47" s="8">
        <f t="shared" si="7"/>
        <v>0</v>
      </c>
      <c r="Y47" s="8">
        <f t="shared" si="8"/>
        <v>372.97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1</v>
      </c>
      <c r="D48" s="1">
        <v>1</v>
      </c>
      <c r="E48" s="1">
        <f t="shared" si="5"/>
        <v>14</v>
      </c>
      <c r="F48" s="1">
        <f t="shared" si="2"/>
        <v>14</v>
      </c>
      <c r="R48" s="1">
        <v>21.1</v>
      </c>
      <c r="S48" s="1">
        <v>9.1999999999999993</v>
      </c>
      <c r="T48" s="1">
        <v>18.2</v>
      </c>
      <c r="U48" s="1">
        <v>0.5</v>
      </c>
      <c r="V48" s="8">
        <f>R48*(1+S48)*原始运算表格!$P$2*原始运算表格!$Q$2</f>
        <v>215.22</v>
      </c>
      <c r="W48" s="8">
        <f>T48*(1+U48)*原始运算表格!$R$2*原始运算表格!$S$2</f>
        <v>136.5</v>
      </c>
      <c r="X48" s="8">
        <f t="shared" si="7"/>
        <v>0</v>
      </c>
      <c r="Y48" s="8">
        <f t="shared" si="8"/>
        <v>351.72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1</v>
      </c>
      <c r="D49" s="1">
        <v>1</v>
      </c>
      <c r="E49" s="1">
        <f t="shared" si="5"/>
        <v>15</v>
      </c>
      <c r="F49" s="1">
        <f t="shared" si="2"/>
        <v>15</v>
      </c>
      <c r="R49" s="1">
        <v>21.2</v>
      </c>
      <c r="S49" s="1">
        <v>10.7</v>
      </c>
      <c r="T49" s="1">
        <v>24.1</v>
      </c>
      <c r="U49" s="1">
        <v>0.9</v>
      </c>
      <c r="V49" s="8">
        <f>R49*(1+S49)*原始运算表格!$P$2*原始运算表格!$Q$2</f>
        <v>248.03999999999996</v>
      </c>
      <c r="W49" s="8">
        <f>T49*(1+U49)*原始运算表格!$R$2*原始运算表格!$S$2</f>
        <v>228.95</v>
      </c>
      <c r="X49" s="8">
        <f t="shared" si="7"/>
        <v>0</v>
      </c>
      <c r="Y49" s="8">
        <f t="shared" si="8"/>
        <v>476.98999999999995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1</v>
      </c>
      <c r="D50" s="1">
        <v>0</v>
      </c>
      <c r="E50" s="1">
        <f t="shared" si="5"/>
        <v>16</v>
      </c>
      <c r="F50" s="1">
        <f t="shared" si="2"/>
        <v>16</v>
      </c>
      <c r="R50" s="1">
        <v>20.2</v>
      </c>
      <c r="S50" s="1">
        <v>7.7</v>
      </c>
      <c r="V50" s="8">
        <f>R50*(1+S50)*原始运算表格!$P$2*原始运算表格!$Q$2</f>
        <v>175.73999999999998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175.73999999999998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1</v>
      </c>
      <c r="D51" s="1">
        <v>1</v>
      </c>
      <c r="E51" s="1">
        <f t="shared" si="5"/>
        <v>17</v>
      </c>
      <c r="F51" s="1">
        <f t="shared" si="2"/>
        <v>17</v>
      </c>
      <c r="R51" s="1">
        <v>18.2</v>
      </c>
      <c r="S51" s="1">
        <v>5.6</v>
      </c>
      <c r="T51" s="1">
        <v>14.1</v>
      </c>
      <c r="U51" s="1">
        <v>0.2</v>
      </c>
      <c r="V51" s="8">
        <f>R51*(1+S51)*原始运算表格!$P$2*原始运算表格!$Q$2</f>
        <v>120.11999999999999</v>
      </c>
      <c r="W51" s="8">
        <f>T51*(1+U51)*原始运算表格!$R$2*原始运算表格!$S$2</f>
        <v>84.6</v>
      </c>
      <c r="X51" s="8">
        <f t="shared" si="7"/>
        <v>0</v>
      </c>
      <c r="Y51" s="8">
        <f t="shared" si="8"/>
        <v>204.71999999999997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1</v>
      </c>
      <c r="D52" s="1">
        <v>0</v>
      </c>
      <c r="E52" s="1">
        <f t="shared" si="5"/>
        <v>18</v>
      </c>
      <c r="F52" s="1">
        <f t="shared" si="2"/>
        <v>18</v>
      </c>
      <c r="R52" s="1">
        <v>19.2</v>
      </c>
      <c r="S52" s="1">
        <v>7.8</v>
      </c>
      <c r="V52" s="8">
        <f>R52*(1+S52)*原始运算表格!$P$2*原始运算表格!$Q$2</f>
        <v>168.96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168.96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1</v>
      </c>
      <c r="D53" s="1">
        <v>0</v>
      </c>
      <c r="E53" s="1">
        <f t="shared" si="5"/>
        <v>19</v>
      </c>
      <c r="F53" s="1">
        <f t="shared" si="2"/>
        <v>19</v>
      </c>
      <c r="R53" s="1">
        <v>18.7</v>
      </c>
      <c r="S53" s="1">
        <v>0.1</v>
      </c>
      <c r="V53" s="8">
        <f>R53*(1+S53)*原始运算表格!$P$2*原始运算表格!$Q$2</f>
        <v>20.57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20.57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1</v>
      </c>
      <c r="D54" s="1">
        <v>0</v>
      </c>
      <c r="E54" s="1">
        <f t="shared" si="5"/>
        <v>20</v>
      </c>
      <c r="F54" s="1">
        <f t="shared" si="2"/>
        <v>20</v>
      </c>
      <c r="R54" s="1">
        <v>17.7</v>
      </c>
      <c r="S54" s="1">
        <v>1</v>
      </c>
      <c r="V54" s="8">
        <f>R54*(1+S54)*原始运算表格!$P$2*原始运算表格!$Q$2</f>
        <v>35.4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35.4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1</v>
      </c>
      <c r="D55" s="1">
        <v>0</v>
      </c>
      <c r="E55" s="1">
        <f t="shared" si="5"/>
        <v>21</v>
      </c>
      <c r="F55" s="1">
        <f t="shared" si="2"/>
        <v>21</v>
      </c>
      <c r="R55" s="1">
        <v>12.1</v>
      </c>
      <c r="S55" s="1">
        <v>0.3</v>
      </c>
      <c r="V55" s="8">
        <f>R55*(1+S55)*原始运算表格!$P$2*原始运算表格!$Q$2</f>
        <v>15.73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15.73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21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21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21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21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21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21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21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21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21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21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21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21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21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21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21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21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21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21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21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21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21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21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21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21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Z79"/>
  <sheetViews>
    <sheetView zoomScale="55" zoomScaleNormal="55" workbookViewId="0">
      <pane xSplit="4" ySplit="6" topLeftCell="E44" activePane="bottomRight" state="frozen"/>
      <selection pane="topRight" activeCell="E1" sqref="E1"/>
      <selection pane="bottomLeft" activeCell="A7" sqref="A7"/>
      <selection pane="bottomRigh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59</v>
      </c>
    </row>
    <row r="5" spans="1:26" s="6" customFormat="1">
      <c r="A5" s="6" t="s">
        <v>22</v>
      </c>
      <c r="B5" s="7"/>
      <c r="C5" s="6">
        <f>SUM(C12:C105)</f>
        <v>19</v>
      </c>
      <c r="D5" s="6">
        <f>SUM(D12:D105)</f>
        <v>19</v>
      </c>
      <c r="G5" s="6">
        <f>SUM(G12:G105)</f>
        <v>2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11</v>
      </c>
      <c r="O5" s="6">
        <f t="shared" si="0"/>
        <v>3</v>
      </c>
      <c r="P5" s="6">
        <f t="shared" si="0"/>
        <v>0</v>
      </c>
      <c r="Q5" s="6">
        <f t="shared" si="0"/>
        <v>0</v>
      </c>
      <c r="R5" s="6">
        <f t="shared" si="0"/>
        <v>449.20000000000005</v>
      </c>
      <c r="S5" s="6">
        <f t="shared" si="0"/>
        <v>234.60000000000002</v>
      </c>
      <c r="T5" s="6">
        <f t="shared" si="0"/>
        <v>383.9</v>
      </c>
      <c r="U5" s="6">
        <f t="shared" si="0"/>
        <v>23.1</v>
      </c>
      <c r="V5" s="9">
        <f t="shared" si="0"/>
        <v>6277.46</v>
      </c>
      <c r="W5" s="9">
        <f t="shared" si="0"/>
        <v>4521.6000000000004</v>
      </c>
      <c r="X5" s="9">
        <f t="shared" si="0"/>
        <v>21273.089999999997</v>
      </c>
      <c r="Y5" s="9">
        <f t="shared" si="0"/>
        <v>32072.15</v>
      </c>
      <c r="Z5" s="9">
        <f t="shared" si="0"/>
        <v>30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1</v>
      </c>
      <c r="D46" s="1">
        <v>1</v>
      </c>
      <c r="E46" s="1">
        <f t="shared" si="5"/>
        <v>1</v>
      </c>
      <c r="F46" s="1">
        <f t="shared" si="2"/>
        <v>1</v>
      </c>
      <c r="R46" s="1">
        <v>13.7</v>
      </c>
      <c r="S46" s="1">
        <v>1.9</v>
      </c>
      <c r="T46" s="1">
        <v>17.3</v>
      </c>
      <c r="U46" s="1">
        <v>0.2</v>
      </c>
      <c r="V46" s="8">
        <f>R46*(1+S46)*原始运算表格!$P$2*原始运算表格!$Q$2</f>
        <v>39.729999999999997</v>
      </c>
      <c r="W46" s="8">
        <f>T46*(1+U46)*原始运算表格!$R$2*原始运算表格!$S$2</f>
        <v>103.80000000000001</v>
      </c>
      <c r="X46" s="8">
        <f t="shared" ref="X46:X79" si="7">Y46-W46-V46</f>
        <v>0</v>
      </c>
      <c r="Y46" s="8">
        <f t="shared" ref="Y46:Y79" si="8">(V46+W46)*(1+Z46)</f>
        <v>143.53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1</v>
      </c>
      <c r="D47" s="1">
        <v>1</v>
      </c>
      <c r="E47" s="1">
        <f t="shared" si="5"/>
        <v>2</v>
      </c>
      <c r="F47" s="1">
        <f t="shared" si="2"/>
        <v>2</v>
      </c>
      <c r="R47" s="1">
        <v>18</v>
      </c>
      <c r="S47" s="1">
        <v>6.9</v>
      </c>
      <c r="T47" s="1">
        <v>13.4</v>
      </c>
      <c r="U47" s="1">
        <v>0.2</v>
      </c>
      <c r="V47" s="8">
        <f>R47*(1+S47)*原始运算表格!$P$2*原始运算表格!$Q$2</f>
        <v>142.20000000000002</v>
      </c>
      <c r="W47" s="8">
        <f>T47*(1+U47)*原始运算表格!$R$2*原始运算表格!$S$2</f>
        <v>80.399999999999991</v>
      </c>
      <c r="X47" s="8">
        <f t="shared" si="7"/>
        <v>0</v>
      </c>
      <c r="Y47" s="8">
        <f t="shared" si="8"/>
        <v>222.60000000000002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1</v>
      </c>
      <c r="D48" s="1">
        <v>1</v>
      </c>
      <c r="E48" s="1">
        <f t="shared" si="5"/>
        <v>3</v>
      </c>
      <c r="F48" s="1">
        <f t="shared" si="2"/>
        <v>3</v>
      </c>
      <c r="R48" s="1">
        <v>20.7</v>
      </c>
      <c r="S48" s="1">
        <v>10.1</v>
      </c>
      <c r="T48" s="1">
        <v>18.399999999999999</v>
      </c>
      <c r="U48" s="1">
        <v>1</v>
      </c>
      <c r="V48" s="8">
        <f>R48*(1+S48)*原始运算表格!$P$2*原始运算表格!$Q$2</f>
        <v>229.76999999999998</v>
      </c>
      <c r="W48" s="8">
        <f>T48*(1+U48)*原始运算表格!$R$2*原始运算表格!$S$2</f>
        <v>184</v>
      </c>
      <c r="X48" s="8">
        <f t="shared" si="7"/>
        <v>0</v>
      </c>
      <c r="Y48" s="8">
        <f t="shared" si="8"/>
        <v>413.77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1</v>
      </c>
      <c r="D49" s="1">
        <v>1</v>
      </c>
      <c r="E49" s="1">
        <f t="shared" si="5"/>
        <v>4</v>
      </c>
      <c r="F49" s="1">
        <f t="shared" si="2"/>
        <v>4</v>
      </c>
      <c r="N49" s="1">
        <v>1</v>
      </c>
      <c r="R49" s="1">
        <v>24.4</v>
      </c>
      <c r="S49" s="1">
        <v>15.2</v>
      </c>
      <c r="T49" s="1">
        <v>22.1</v>
      </c>
      <c r="U49" s="1">
        <v>0.4</v>
      </c>
      <c r="V49" s="8">
        <f>R49*(1+S49)*原始运算表格!$P$2*原始运算表格!$Q$2</f>
        <v>395.28</v>
      </c>
      <c r="W49" s="8">
        <f>T49*(1+U49)*原始运算表格!$R$2*原始运算表格!$S$2</f>
        <v>154.70000000000002</v>
      </c>
      <c r="X49" s="8">
        <f t="shared" si="7"/>
        <v>549.98</v>
      </c>
      <c r="Y49" s="8">
        <f t="shared" si="8"/>
        <v>1099.96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1</v>
      </c>
    </row>
    <row r="50" spans="1:26">
      <c r="A50" s="1">
        <v>1989</v>
      </c>
      <c r="B50" s="1">
        <f t="shared" si="6"/>
        <v>1990</v>
      </c>
      <c r="C50" s="1">
        <v>1</v>
      </c>
      <c r="D50" s="1">
        <v>1</v>
      </c>
      <c r="E50" s="1">
        <f t="shared" si="5"/>
        <v>5</v>
      </c>
      <c r="F50" s="1">
        <f t="shared" si="2"/>
        <v>5</v>
      </c>
      <c r="N50" s="1">
        <v>1</v>
      </c>
      <c r="R50" s="1">
        <v>27.2</v>
      </c>
      <c r="S50" s="1">
        <v>15.9</v>
      </c>
      <c r="T50" s="1">
        <v>19.7</v>
      </c>
      <c r="U50" s="1">
        <v>0.5</v>
      </c>
      <c r="V50" s="8">
        <f>R50*(1+S50)*原始运算表格!$P$2*原始运算表格!$Q$2</f>
        <v>459.67999999999995</v>
      </c>
      <c r="W50" s="8">
        <f>T50*(1+U50)*原始运算表格!$R$2*原始运算表格!$S$2</f>
        <v>147.75</v>
      </c>
      <c r="X50" s="8">
        <f t="shared" si="7"/>
        <v>607.42999999999995</v>
      </c>
      <c r="Y50" s="8">
        <f t="shared" si="8"/>
        <v>1214.8599999999999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1</v>
      </c>
    </row>
    <row r="51" spans="1:26">
      <c r="A51" s="1">
        <v>1990</v>
      </c>
      <c r="B51" s="1">
        <f t="shared" si="6"/>
        <v>1991</v>
      </c>
      <c r="C51" s="1">
        <v>1</v>
      </c>
      <c r="D51" s="1">
        <v>1</v>
      </c>
      <c r="E51" s="1">
        <f t="shared" si="5"/>
        <v>6</v>
      </c>
      <c r="F51" s="1">
        <f t="shared" si="2"/>
        <v>6</v>
      </c>
      <c r="N51" s="1">
        <v>1</v>
      </c>
      <c r="R51" s="1">
        <v>24.8</v>
      </c>
      <c r="S51" s="1">
        <v>15.5</v>
      </c>
      <c r="T51" s="1">
        <v>21.4</v>
      </c>
      <c r="U51" s="1">
        <v>1.2</v>
      </c>
      <c r="V51" s="8">
        <f>R51*(1+S51)*原始运算表格!$P$2*原始运算表格!$Q$2</f>
        <v>409.2</v>
      </c>
      <c r="W51" s="8">
        <f>T51*(1+U51)*原始运算表格!$R$2*原始运算表格!$S$2</f>
        <v>235.39999999999998</v>
      </c>
      <c r="X51" s="8">
        <f t="shared" si="7"/>
        <v>644.59999999999968</v>
      </c>
      <c r="Y51" s="8">
        <f t="shared" si="8"/>
        <v>1289.1999999999998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1</v>
      </c>
    </row>
    <row r="52" spans="1:26">
      <c r="A52" s="1">
        <v>1991</v>
      </c>
      <c r="B52" s="1">
        <f t="shared" si="6"/>
        <v>1992</v>
      </c>
      <c r="C52" s="1">
        <v>1</v>
      </c>
      <c r="D52" s="1">
        <v>1</v>
      </c>
      <c r="E52" s="1">
        <f t="shared" si="5"/>
        <v>7</v>
      </c>
      <c r="F52" s="1">
        <f t="shared" si="2"/>
        <v>7</v>
      </c>
      <c r="N52" s="1">
        <v>1</v>
      </c>
      <c r="R52" s="1">
        <v>25.4</v>
      </c>
      <c r="S52" s="1">
        <v>15.1</v>
      </c>
      <c r="T52" s="1">
        <v>25</v>
      </c>
      <c r="U52" s="1">
        <v>3.2</v>
      </c>
      <c r="V52" s="8">
        <f>R52*(1+S52)*原始运算表格!$P$2*原始运算表格!$Q$2</f>
        <v>408.94</v>
      </c>
      <c r="W52" s="8">
        <f>T52*(1+U52)*原始运算表格!$R$2*原始运算表格!$S$2</f>
        <v>525</v>
      </c>
      <c r="X52" s="8">
        <f t="shared" si="7"/>
        <v>933.94</v>
      </c>
      <c r="Y52" s="8">
        <f t="shared" si="8"/>
        <v>1867.88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1</v>
      </c>
    </row>
    <row r="53" spans="1:26">
      <c r="A53" s="1">
        <v>1992</v>
      </c>
      <c r="B53" s="1">
        <f t="shared" si="6"/>
        <v>1993</v>
      </c>
      <c r="C53" s="1">
        <v>1</v>
      </c>
      <c r="D53" s="1">
        <v>1</v>
      </c>
      <c r="E53" s="1">
        <f t="shared" si="5"/>
        <v>8</v>
      </c>
      <c r="F53" s="1">
        <f t="shared" si="2"/>
        <v>8</v>
      </c>
      <c r="N53" s="1">
        <v>1</v>
      </c>
      <c r="R53" s="1">
        <v>26.2</v>
      </c>
      <c r="S53" s="1">
        <v>15.4</v>
      </c>
      <c r="T53" s="1">
        <v>16.600000000000001</v>
      </c>
      <c r="U53" s="1">
        <v>0.4</v>
      </c>
      <c r="V53" s="8">
        <f>R53*(1+S53)*原始运算表格!$P$2*原始运算表格!$Q$2</f>
        <v>429.67999999999995</v>
      </c>
      <c r="W53" s="8">
        <f>T53*(1+U53)*原始运算表格!$R$2*原始运算表格!$S$2</f>
        <v>116.20000000000002</v>
      </c>
      <c r="X53" s="8">
        <f t="shared" si="7"/>
        <v>545.88</v>
      </c>
      <c r="Y53" s="8">
        <f t="shared" si="8"/>
        <v>1091.76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1</v>
      </c>
    </row>
    <row r="54" spans="1:26">
      <c r="A54" s="1">
        <v>1993</v>
      </c>
      <c r="B54" s="1">
        <f t="shared" si="6"/>
        <v>1994</v>
      </c>
      <c r="C54" s="1">
        <v>1</v>
      </c>
      <c r="D54" s="1">
        <v>1</v>
      </c>
      <c r="E54" s="1">
        <f t="shared" si="5"/>
        <v>9</v>
      </c>
      <c r="F54" s="1">
        <f t="shared" si="2"/>
        <v>9</v>
      </c>
      <c r="N54" s="1">
        <v>1</v>
      </c>
      <c r="R54" s="1">
        <v>22.9</v>
      </c>
      <c r="S54" s="1">
        <v>13.4</v>
      </c>
      <c r="T54" s="1">
        <v>24.6</v>
      </c>
      <c r="U54" s="1">
        <v>3.1</v>
      </c>
      <c r="V54" s="8">
        <f>R54*(1+S54)*原始运算表格!$P$2*原始运算表格!$Q$2</f>
        <v>329.76</v>
      </c>
      <c r="W54" s="8">
        <f>T54*(1+U54)*原始运算表格!$R$2*原始运算表格!$S$2</f>
        <v>504.3</v>
      </c>
      <c r="X54" s="8">
        <f t="shared" si="7"/>
        <v>834.06</v>
      </c>
      <c r="Y54" s="8">
        <f t="shared" si="8"/>
        <v>1668.12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1</v>
      </c>
    </row>
    <row r="55" spans="1:26">
      <c r="A55" s="1">
        <v>1994</v>
      </c>
      <c r="B55" s="1">
        <f t="shared" si="6"/>
        <v>1995</v>
      </c>
      <c r="C55" s="1">
        <v>1</v>
      </c>
      <c r="D55" s="1">
        <v>1</v>
      </c>
      <c r="E55" s="1">
        <f t="shared" si="5"/>
        <v>10</v>
      </c>
      <c r="F55" s="1">
        <f t="shared" si="2"/>
        <v>10</v>
      </c>
      <c r="N55" s="1">
        <v>1</v>
      </c>
      <c r="R55" s="1">
        <v>25.1</v>
      </c>
      <c r="S55" s="1">
        <v>13.8</v>
      </c>
      <c r="T55" s="1">
        <v>24.6</v>
      </c>
      <c r="U55" s="1">
        <v>0.5</v>
      </c>
      <c r="V55" s="8">
        <f>R55*(1+S55)*原始运算表格!$P$2*原始运算表格!$Q$2</f>
        <v>371.48</v>
      </c>
      <c r="W55" s="8">
        <f>T55*(1+U55)*原始运算表格!$R$2*原始运算表格!$S$2</f>
        <v>184.50000000000003</v>
      </c>
      <c r="X55" s="8">
        <f t="shared" si="7"/>
        <v>555.98</v>
      </c>
      <c r="Y55" s="8">
        <f t="shared" si="8"/>
        <v>1111.96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1</v>
      </c>
    </row>
    <row r="56" spans="1:26">
      <c r="A56" s="1">
        <v>1995</v>
      </c>
      <c r="B56" s="1">
        <f t="shared" si="6"/>
        <v>1996</v>
      </c>
      <c r="C56" s="1">
        <v>1</v>
      </c>
      <c r="D56" s="1">
        <v>1</v>
      </c>
      <c r="E56" s="1">
        <f t="shared" si="5"/>
        <v>11</v>
      </c>
      <c r="F56" s="1">
        <f t="shared" si="2"/>
        <v>11</v>
      </c>
      <c r="N56" s="1">
        <v>1</v>
      </c>
      <c r="R56" s="1">
        <v>26</v>
      </c>
      <c r="S56" s="1">
        <v>15.1</v>
      </c>
      <c r="T56" s="1">
        <v>23.6</v>
      </c>
      <c r="U56" s="1">
        <v>2.6</v>
      </c>
      <c r="V56" s="8">
        <f>R56*(1+S56)*原始运算表格!$P$2*原始运算表格!$Q$2</f>
        <v>418.6</v>
      </c>
      <c r="W56" s="8">
        <f>T56*(1+U56)*原始运算表格!$R$2*原始运算表格!$S$2</f>
        <v>424.80000000000007</v>
      </c>
      <c r="X56" s="8">
        <f t="shared" si="7"/>
        <v>843.4</v>
      </c>
      <c r="Y56" s="8">
        <f t="shared" si="8"/>
        <v>1686.8000000000002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1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1</v>
      </c>
      <c r="E57" s="1">
        <f t="shared" si="5"/>
        <v>12</v>
      </c>
      <c r="F57" s="1">
        <f t="shared" si="2"/>
        <v>12</v>
      </c>
      <c r="G57" s="1">
        <v>1</v>
      </c>
      <c r="N57" s="1">
        <v>1</v>
      </c>
      <c r="O57" s="1">
        <v>1</v>
      </c>
      <c r="R57" s="1">
        <v>28.9</v>
      </c>
      <c r="S57" s="1">
        <v>16.7</v>
      </c>
      <c r="T57" s="1">
        <v>22.2</v>
      </c>
      <c r="U57" s="1">
        <v>2.2000000000000002</v>
      </c>
      <c r="V57" s="8">
        <f>R57*(1+S57)*原始运算表格!$P$2*原始运算表格!$Q$2</f>
        <v>511.53</v>
      </c>
      <c r="W57" s="8">
        <f>T57*(1+U57)*原始运算表格!$R$2*原始运算表格!$S$2</f>
        <v>355.20000000000005</v>
      </c>
      <c r="X57" s="8">
        <f t="shared" si="7"/>
        <v>8667.2999999999993</v>
      </c>
      <c r="Y57" s="8">
        <f t="shared" si="8"/>
        <v>9534.0300000000007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10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1</v>
      </c>
      <c r="E58" s="1">
        <f t="shared" si="5"/>
        <v>13</v>
      </c>
      <c r="F58" s="1">
        <f t="shared" si="2"/>
        <v>13</v>
      </c>
      <c r="N58" s="1">
        <v>1</v>
      </c>
      <c r="O58" s="1">
        <v>1</v>
      </c>
      <c r="R58" s="1">
        <v>27.9</v>
      </c>
      <c r="S58" s="1">
        <v>16.399999999999999</v>
      </c>
      <c r="T58" s="1">
        <v>24.2</v>
      </c>
      <c r="U58" s="1">
        <v>3</v>
      </c>
      <c r="V58" s="8">
        <f>R58*(1+S58)*原始运算表格!$P$2*原始运算表格!$Q$2</f>
        <v>485.45999999999992</v>
      </c>
      <c r="W58" s="8">
        <f>T58*(1+U58)*原始运算表格!$R$2*原始运算表格!$S$2</f>
        <v>484</v>
      </c>
      <c r="X58" s="8">
        <f t="shared" si="7"/>
        <v>1938.9199999999996</v>
      </c>
      <c r="Y58" s="8">
        <f t="shared" si="8"/>
        <v>2908.3799999999997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2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1</v>
      </c>
      <c r="E59" s="1">
        <f t="shared" si="5"/>
        <v>14</v>
      </c>
      <c r="F59" s="1">
        <f t="shared" si="2"/>
        <v>14</v>
      </c>
      <c r="G59" s="1">
        <v>1</v>
      </c>
      <c r="N59" s="1">
        <v>1</v>
      </c>
      <c r="O59" s="1">
        <v>1</v>
      </c>
      <c r="R59" s="1">
        <v>25.6</v>
      </c>
      <c r="S59" s="1">
        <v>9.6</v>
      </c>
      <c r="T59" s="1">
        <v>21.2</v>
      </c>
      <c r="U59" s="1">
        <v>1.3</v>
      </c>
      <c r="V59" s="8">
        <f>R59*(1+S59)*原始运算表格!$P$2*原始运算表格!$Q$2</f>
        <v>271.36</v>
      </c>
      <c r="W59" s="8">
        <f>T59*(1+U59)*原始运算表格!$R$2*原始运算表格!$S$2</f>
        <v>243.79999999999998</v>
      </c>
      <c r="X59" s="8">
        <f t="shared" si="7"/>
        <v>5151.5999999999995</v>
      </c>
      <c r="Y59" s="8">
        <f t="shared" si="8"/>
        <v>5666.7599999999993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10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1</v>
      </c>
      <c r="E60" s="1">
        <f t="shared" si="5"/>
        <v>15</v>
      </c>
      <c r="F60" s="1">
        <f t="shared" si="2"/>
        <v>15</v>
      </c>
      <c r="R60" s="1">
        <v>27.1</v>
      </c>
      <c r="S60" s="1">
        <v>15.3</v>
      </c>
      <c r="T60" s="1">
        <v>25.8</v>
      </c>
      <c r="U60" s="1">
        <v>1.6</v>
      </c>
      <c r="V60" s="8">
        <f>R60*(1+S60)*原始运算表格!$P$2*原始运算表格!$Q$2</f>
        <v>441.73</v>
      </c>
      <c r="W60" s="8">
        <f>T60*(1+U60)*原始运算表格!$R$2*原始运算表格!$S$2</f>
        <v>335.4</v>
      </c>
      <c r="X60" s="8">
        <f t="shared" si="7"/>
        <v>0</v>
      </c>
      <c r="Y60" s="8">
        <f t="shared" si="8"/>
        <v>777.13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16</v>
      </c>
      <c r="F61" s="1">
        <f t="shared" si="2"/>
        <v>16</v>
      </c>
      <c r="R61" s="1">
        <v>24.7</v>
      </c>
      <c r="S61" s="1">
        <v>13.1</v>
      </c>
      <c r="T61" s="1">
        <v>19.7</v>
      </c>
      <c r="U61" s="1">
        <v>0.2</v>
      </c>
      <c r="V61" s="8">
        <f>R61*(1+S61)*原始运算表格!$P$2*原始运算表格!$Q$2</f>
        <v>348.27</v>
      </c>
      <c r="W61" s="8">
        <f>T61*(1+U61)*原始运算表格!$R$2*原始运算表格!$S$2</f>
        <v>118.19999999999999</v>
      </c>
      <c r="X61" s="8">
        <f t="shared" si="7"/>
        <v>0</v>
      </c>
      <c r="Y61" s="8">
        <f t="shared" si="8"/>
        <v>466.46999999999997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17</v>
      </c>
      <c r="F62" s="1">
        <f t="shared" si="2"/>
        <v>17</v>
      </c>
      <c r="I62" s="2"/>
      <c r="J62" s="2"/>
      <c r="K62" s="2"/>
      <c r="L62" s="2"/>
      <c r="M62" s="2"/>
      <c r="P62" s="2"/>
      <c r="R62" s="1">
        <v>21.1</v>
      </c>
      <c r="S62" s="1">
        <v>9.8000000000000007</v>
      </c>
      <c r="T62" s="1">
        <v>15.6</v>
      </c>
      <c r="U62" s="1">
        <v>0.3</v>
      </c>
      <c r="V62" s="8">
        <f>R62*(1+S62)*原始运算表格!$P$2*原始运算表格!$Q$2</f>
        <v>227.88000000000002</v>
      </c>
      <c r="W62" s="8">
        <f>T62*(1+U62)*原始运算表格!$R$2*原始运算表格!$S$2</f>
        <v>101.4</v>
      </c>
      <c r="X62" s="8">
        <f t="shared" si="7"/>
        <v>0</v>
      </c>
      <c r="Y62" s="8">
        <f t="shared" si="8"/>
        <v>329.28000000000003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18</v>
      </c>
      <c r="F63" s="1">
        <f t="shared" si="2"/>
        <v>18</v>
      </c>
      <c r="I63" s="2"/>
      <c r="J63" s="2"/>
      <c r="K63" s="2"/>
      <c r="L63" s="2"/>
      <c r="M63" s="2"/>
      <c r="P63" s="2"/>
      <c r="R63" s="1">
        <v>21.7</v>
      </c>
      <c r="S63" s="1">
        <v>11.1</v>
      </c>
      <c r="T63" s="1">
        <v>15</v>
      </c>
      <c r="U63" s="1">
        <v>-0.1</v>
      </c>
      <c r="V63" s="8">
        <f>R63*(1+S63)*原始运算表格!$P$2*原始运算表格!$Q$2</f>
        <v>262.57</v>
      </c>
      <c r="W63" s="8">
        <f>T63*(1+U63)*原始运算表格!$R$2*原始运算表格!$S$2</f>
        <v>67.5</v>
      </c>
      <c r="X63" s="8">
        <f t="shared" si="7"/>
        <v>0</v>
      </c>
      <c r="Y63" s="8">
        <f t="shared" si="8"/>
        <v>330.07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19</v>
      </c>
      <c r="F64" s="1">
        <f t="shared" si="2"/>
        <v>19</v>
      </c>
      <c r="R64" s="1">
        <v>17.8</v>
      </c>
      <c r="S64" s="1">
        <v>4.3</v>
      </c>
      <c r="T64" s="1">
        <v>13.5</v>
      </c>
      <c r="U64" s="1">
        <v>1.3</v>
      </c>
      <c r="V64" s="8">
        <f>R64*(1+S64)*原始运算表格!$P$2*原始运算表格!$Q$2</f>
        <v>94.34</v>
      </c>
      <c r="W64" s="8">
        <f>T64*(1+U64)*原始运算表格!$R$2*原始运算表格!$S$2</f>
        <v>155.25</v>
      </c>
      <c r="X64" s="8">
        <f t="shared" si="7"/>
        <v>0</v>
      </c>
      <c r="Y64" s="8">
        <f t="shared" si="8"/>
        <v>249.59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19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19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19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19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19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19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19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19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19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19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19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19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19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19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19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Z79"/>
  <sheetViews>
    <sheetView zoomScale="55" zoomScaleNormal="55" workbookViewId="0">
      <pane ySplit="6" topLeftCell="A10" activePane="bottomLeft" state="frozen"/>
      <selection pane="bottomLef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60</v>
      </c>
    </row>
    <row r="5" spans="1:26" s="6" customFormat="1">
      <c r="A5" s="6" t="s">
        <v>22</v>
      </c>
      <c r="B5" s="7"/>
      <c r="C5" s="6">
        <f>SUM(C12:C105)</f>
        <v>11</v>
      </c>
      <c r="D5" s="6">
        <f>SUM(D12:D105)</f>
        <v>9</v>
      </c>
      <c r="G5" s="6">
        <f>SUM(G12:G105)</f>
        <v>2</v>
      </c>
      <c r="H5" s="6">
        <f t="shared" ref="H5:Z5" si="0">SUM(H12:H105)</f>
        <v>2</v>
      </c>
      <c r="I5" s="6">
        <f t="shared" si="0"/>
        <v>0</v>
      </c>
      <c r="J5" s="6">
        <f t="shared" si="0"/>
        <v>1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10</v>
      </c>
      <c r="O5" s="6">
        <f t="shared" si="0"/>
        <v>0</v>
      </c>
      <c r="P5" s="6">
        <f t="shared" si="0"/>
        <v>1</v>
      </c>
      <c r="Q5" s="6">
        <f t="shared" si="0"/>
        <v>0</v>
      </c>
      <c r="R5" s="6">
        <f t="shared" si="0"/>
        <v>278.59999999999997</v>
      </c>
      <c r="S5" s="6">
        <f t="shared" si="0"/>
        <v>136.1</v>
      </c>
      <c r="T5" s="6">
        <f t="shared" si="0"/>
        <v>197.50000000000003</v>
      </c>
      <c r="U5" s="6">
        <f t="shared" si="0"/>
        <v>11.699999999999998</v>
      </c>
      <c r="V5" s="9">
        <f t="shared" si="0"/>
        <v>3744.97</v>
      </c>
      <c r="W5" s="9">
        <f t="shared" si="0"/>
        <v>2348.5000000000005</v>
      </c>
      <c r="X5" s="9">
        <f t="shared" si="0"/>
        <v>21733.49</v>
      </c>
      <c r="Y5" s="9">
        <f t="shared" si="0"/>
        <v>27826.959999999999</v>
      </c>
      <c r="Z5" s="9">
        <f t="shared" si="0"/>
        <v>36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1</v>
      </c>
      <c r="D15" s="1">
        <v>0</v>
      </c>
      <c r="E15" s="1">
        <f t="shared" si="5"/>
        <v>1</v>
      </c>
      <c r="F15" s="1">
        <f t="shared" si="2"/>
        <v>1</v>
      </c>
      <c r="N15" s="1">
        <v>1</v>
      </c>
      <c r="R15" s="1">
        <v>24.4</v>
      </c>
      <c r="S15" s="1">
        <v>10.7</v>
      </c>
      <c r="V15" s="8">
        <f>R15*(1+S15)*原始运算表格!$P$2*原始运算表格!$Q$2</f>
        <v>285.47999999999996</v>
      </c>
      <c r="W15" s="8">
        <f>T15*(1+U15)*原始运算表格!$R$2*原始运算表格!$S$2</f>
        <v>0</v>
      </c>
      <c r="X15" s="8">
        <f t="shared" si="3"/>
        <v>285.47999999999996</v>
      </c>
      <c r="Y15" s="8">
        <f t="shared" si="4"/>
        <v>570.95999999999992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1</v>
      </c>
    </row>
    <row r="16" spans="1:26">
      <c r="A16" s="1">
        <v>1955</v>
      </c>
      <c r="B16" s="1">
        <f t="shared" si="6"/>
        <v>1956</v>
      </c>
      <c r="C16" s="1">
        <v>1</v>
      </c>
      <c r="D16" s="1">
        <v>1</v>
      </c>
      <c r="E16" s="1">
        <f t="shared" si="5"/>
        <v>2</v>
      </c>
      <c r="F16" s="1">
        <f t="shared" si="2"/>
        <v>2</v>
      </c>
      <c r="G16" s="1">
        <v>1</v>
      </c>
      <c r="H16" s="1">
        <v>1</v>
      </c>
      <c r="J16" s="1">
        <v>1</v>
      </c>
      <c r="N16" s="1">
        <v>1</v>
      </c>
      <c r="R16" s="1">
        <v>27.3</v>
      </c>
      <c r="S16" s="1">
        <v>13.8</v>
      </c>
      <c r="T16" s="1">
        <v>21.5</v>
      </c>
      <c r="U16" s="1">
        <v>0.6</v>
      </c>
      <c r="V16" s="8">
        <f>R16*(1+S16)*原始运算表格!$P$2*原始运算表格!$Q$2</f>
        <v>404.04</v>
      </c>
      <c r="W16" s="8">
        <f>T16*(1+U16)*原始运算表格!$R$2*原始运算表格!$S$2</f>
        <v>172</v>
      </c>
      <c r="X16" s="8">
        <f t="shared" si="3"/>
        <v>7488.5199999999995</v>
      </c>
      <c r="Y16" s="8">
        <f t="shared" si="4"/>
        <v>8064.5599999999995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13</v>
      </c>
    </row>
    <row r="17" spans="1:26">
      <c r="A17" s="1">
        <v>1956</v>
      </c>
      <c r="B17" s="1">
        <f t="shared" si="6"/>
        <v>1957</v>
      </c>
      <c r="C17" s="1">
        <v>1</v>
      </c>
      <c r="D17" s="1">
        <v>1</v>
      </c>
      <c r="E17" s="1">
        <f t="shared" si="5"/>
        <v>3</v>
      </c>
      <c r="F17" s="1">
        <f t="shared" si="2"/>
        <v>3</v>
      </c>
      <c r="N17" s="1">
        <v>1</v>
      </c>
      <c r="R17" s="1">
        <v>28.1</v>
      </c>
      <c r="S17" s="1">
        <v>11.6</v>
      </c>
      <c r="T17" s="1">
        <v>25.1</v>
      </c>
      <c r="U17" s="1">
        <v>1.7</v>
      </c>
      <c r="V17" s="8">
        <f>R17*(1+S17)*原始运算表格!$P$2*原始运算表格!$Q$2</f>
        <v>354.06</v>
      </c>
      <c r="W17" s="8">
        <f>T17*(1+U17)*原始运算表格!$R$2*原始运算表格!$S$2</f>
        <v>338.85</v>
      </c>
      <c r="X17" s="8">
        <f t="shared" si="3"/>
        <v>692.91000000000031</v>
      </c>
      <c r="Y17" s="8">
        <f t="shared" si="4"/>
        <v>1385.8200000000002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1</v>
      </c>
    </row>
    <row r="18" spans="1:26">
      <c r="A18" s="1">
        <v>1957</v>
      </c>
      <c r="B18" s="1">
        <f t="shared" si="6"/>
        <v>1958</v>
      </c>
      <c r="C18" s="1">
        <v>1</v>
      </c>
      <c r="D18" s="1">
        <v>1</v>
      </c>
      <c r="E18" s="1">
        <f t="shared" si="5"/>
        <v>4</v>
      </c>
      <c r="F18" s="1">
        <f t="shared" si="2"/>
        <v>4</v>
      </c>
      <c r="N18" s="1">
        <v>1</v>
      </c>
      <c r="P18" s="1">
        <v>1</v>
      </c>
      <c r="R18" s="1">
        <v>26.3</v>
      </c>
      <c r="S18" s="1">
        <v>11</v>
      </c>
      <c r="T18" s="1">
        <v>22.6</v>
      </c>
      <c r="U18" s="1">
        <v>1.2</v>
      </c>
      <c r="V18" s="8">
        <f>R18*(1+S18)*原始运算表格!$P$2*原始运算表格!$Q$2</f>
        <v>315.60000000000002</v>
      </c>
      <c r="W18" s="8">
        <f>T18*(1+U18)*原始运算表格!$R$2*原始运算表格!$S$2</f>
        <v>248.60000000000002</v>
      </c>
      <c r="X18" s="8">
        <f t="shared" si="3"/>
        <v>2821.0000000000005</v>
      </c>
      <c r="Y18" s="8">
        <f t="shared" si="4"/>
        <v>3385.2000000000003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5</v>
      </c>
    </row>
    <row r="19" spans="1:26">
      <c r="A19" s="1">
        <v>1958</v>
      </c>
      <c r="B19" s="1">
        <f t="shared" si="6"/>
        <v>1959</v>
      </c>
      <c r="C19" s="1">
        <v>1</v>
      </c>
      <c r="D19" s="1">
        <v>1</v>
      </c>
      <c r="E19" s="1">
        <f t="shared" si="5"/>
        <v>5</v>
      </c>
      <c r="F19" s="1">
        <f t="shared" si="2"/>
        <v>5</v>
      </c>
      <c r="G19" s="1">
        <v>1</v>
      </c>
      <c r="H19" s="1">
        <v>1</v>
      </c>
      <c r="N19" s="1">
        <v>1</v>
      </c>
      <c r="R19" s="1">
        <v>28.2</v>
      </c>
      <c r="S19" s="1">
        <v>14.8</v>
      </c>
      <c r="T19" s="1">
        <v>22.9</v>
      </c>
      <c r="U19" s="1">
        <v>1</v>
      </c>
      <c r="V19" s="8">
        <f>R19*(1+S19)*原始运算表格!$P$2*原始运算表格!$Q$2</f>
        <v>445.56</v>
      </c>
      <c r="W19" s="8">
        <f>T19*(1+U19)*原始运算表格!$R$2*原始运算表格!$S$2</f>
        <v>229</v>
      </c>
      <c r="X19" s="8">
        <f t="shared" si="3"/>
        <v>7420.1599999999989</v>
      </c>
      <c r="Y19" s="8">
        <f t="shared" si="4"/>
        <v>8094.7199999999993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11</v>
      </c>
    </row>
    <row r="20" spans="1:26">
      <c r="A20" s="1">
        <v>1959</v>
      </c>
      <c r="B20" s="1">
        <f t="shared" si="6"/>
        <v>1960</v>
      </c>
      <c r="C20" s="1">
        <v>1</v>
      </c>
      <c r="D20" s="1">
        <v>1</v>
      </c>
      <c r="E20" s="1">
        <f t="shared" si="5"/>
        <v>6</v>
      </c>
      <c r="F20" s="1">
        <f t="shared" si="2"/>
        <v>6</v>
      </c>
      <c r="N20" s="1">
        <v>1</v>
      </c>
      <c r="R20" s="1">
        <v>23.7</v>
      </c>
      <c r="S20" s="1">
        <v>11.5</v>
      </c>
      <c r="T20" s="1">
        <v>23.4</v>
      </c>
      <c r="U20" s="1">
        <v>2.1</v>
      </c>
      <c r="V20" s="8">
        <f>R20*(1+S20)*原始运算表格!$P$2*原始运算表格!$Q$2</f>
        <v>296.25</v>
      </c>
      <c r="W20" s="8">
        <f>T20*(1+U20)*原始运算表格!$R$2*原始运算表格!$S$2</f>
        <v>362.69999999999993</v>
      </c>
      <c r="X20" s="8">
        <f t="shared" si="3"/>
        <v>658.94999999999993</v>
      </c>
      <c r="Y20" s="8">
        <f t="shared" si="4"/>
        <v>1317.8999999999999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1</v>
      </c>
    </row>
    <row r="21" spans="1:26">
      <c r="A21" s="1">
        <v>1960</v>
      </c>
      <c r="B21" s="1">
        <f t="shared" si="6"/>
        <v>1961</v>
      </c>
      <c r="C21" s="1">
        <v>1</v>
      </c>
      <c r="D21" s="1">
        <v>1</v>
      </c>
      <c r="E21" s="1">
        <f t="shared" si="5"/>
        <v>7</v>
      </c>
      <c r="F21" s="1">
        <f t="shared" si="2"/>
        <v>7</v>
      </c>
      <c r="N21" s="1">
        <v>1</v>
      </c>
      <c r="R21" s="1">
        <v>25.2</v>
      </c>
      <c r="S21" s="1">
        <v>14.9</v>
      </c>
      <c r="T21" s="1">
        <v>22.3</v>
      </c>
      <c r="U21" s="1">
        <v>1.7</v>
      </c>
      <c r="V21" s="8">
        <f>R21*(1+S21)*原始运算表格!$P$2*原始运算表格!$Q$2</f>
        <v>400.68</v>
      </c>
      <c r="W21" s="8">
        <f>T21*(1+U21)*原始运算表格!$R$2*原始运算表格!$S$2</f>
        <v>301.05000000000007</v>
      </c>
      <c r="X21" s="8">
        <f t="shared" si="3"/>
        <v>701.72999999999979</v>
      </c>
      <c r="Y21" s="8">
        <f t="shared" si="4"/>
        <v>1403.46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1</v>
      </c>
    </row>
    <row r="22" spans="1:26">
      <c r="A22" s="1">
        <v>1961</v>
      </c>
      <c r="B22" s="1">
        <f t="shared" si="6"/>
        <v>1962</v>
      </c>
      <c r="C22" s="1">
        <v>1</v>
      </c>
      <c r="D22" s="1">
        <v>0</v>
      </c>
      <c r="E22" s="1">
        <f t="shared" si="5"/>
        <v>8</v>
      </c>
      <c r="F22" s="1">
        <f t="shared" si="2"/>
        <v>8</v>
      </c>
      <c r="N22" s="1">
        <v>1</v>
      </c>
      <c r="R22" s="1">
        <v>24.2</v>
      </c>
      <c r="S22" s="1">
        <v>11.5</v>
      </c>
      <c r="V22" s="8">
        <f>R22*(1+S22)*原始运算表格!$P$2*原始运算表格!$Q$2</f>
        <v>302.5</v>
      </c>
      <c r="W22" s="8">
        <f>T22*(1+U22)*原始运算表格!$R$2*原始运算表格!$S$2</f>
        <v>0</v>
      </c>
      <c r="X22" s="8">
        <f t="shared" si="3"/>
        <v>302.5</v>
      </c>
      <c r="Y22" s="8">
        <f t="shared" si="4"/>
        <v>605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1</v>
      </c>
    </row>
    <row r="23" spans="1:26">
      <c r="A23" s="1">
        <v>1962</v>
      </c>
      <c r="B23" s="1">
        <f t="shared" si="6"/>
        <v>1963</v>
      </c>
      <c r="C23" s="1">
        <v>1</v>
      </c>
      <c r="D23" s="1">
        <v>1</v>
      </c>
      <c r="E23" s="1">
        <f t="shared" si="5"/>
        <v>9</v>
      </c>
      <c r="F23" s="1">
        <f t="shared" si="2"/>
        <v>9</v>
      </c>
      <c r="N23" s="1">
        <v>1</v>
      </c>
      <c r="R23" s="1">
        <v>25</v>
      </c>
      <c r="S23" s="1">
        <v>14.3</v>
      </c>
      <c r="T23" s="1">
        <v>26.1</v>
      </c>
      <c r="U23" s="1">
        <v>2.2999999999999998</v>
      </c>
      <c r="V23" s="8">
        <f>R23*(1+S23)*原始运算表格!$P$2*原始运算表格!$Q$2</f>
        <v>382.5</v>
      </c>
      <c r="W23" s="8">
        <f>T23*(1+U23)*原始运算表格!$R$2*原始运算表格!$S$2</f>
        <v>430.65</v>
      </c>
      <c r="X23" s="8">
        <f t="shared" si="3"/>
        <v>813.15000000000009</v>
      </c>
      <c r="Y23" s="8">
        <f t="shared" si="4"/>
        <v>1626.3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1</v>
      </c>
    </row>
    <row r="24" spans="1:26">
      <c r="A24" s="1">
        <v>1963</v>
      </c>
      <c r="B24" s="1">
        <f t="shared" si="6"/>
        <v>1964</v>
      </c>
      <c r="C24" s="1">
        <v>1</v>
      </c>
      <c r="D24" s="1">
        <v>1</v>
      </c>
      <c r="E24" s="1">
        <f t="shared" si="5"/>
        <v>10</v>
      </c>
      <c r="F24" s="1">
        <f t="shared" si="2"/>
        <v>10</v>
      </c>
      <c r="N24" s="1">
        <v>1</v>
      </c>
      <c r="R24" s="1">
        <v>23.6</v>
      </c>
      <c r="S24" s="1">
        <v>14.9</v>
      </c>
      <c r="T24" s="1">
        <v>18.3</v>
      </c>
      <c r="U24" s="1">
        <v>0.9</v>
      </c>
      <c r="V24" s="8">
        <f>R24*(1+S24)*原始运算表格!$P$2*原始运算表格!$Q$2</f>
        <v>375.24</v>
      </c>
      <c r="W24" s="8">
        <f>T24*(1+U24)*原始运算表格!$R$2*原始运算表格!$S$2</f>
        <v>173.85000000000002</v>
      </c>
      <c r="X24" s="8">
        <f t="shared" si="3"/>
        <v>549.09</v>
      </c>
      <c r="Y24" s="8">
        <f t="shared" si="4"/>
        <v>1098.18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1</v>
      </c>
    </row>
    <row r="25" spans="1:26">
      <c r="A25" s="1">
        <v>1964</v>
      </c>
      <c r="B25" s="1">
        <f t="shared" si="6"/>
        <v>1965</v>
      </c>
      <c r="C25" s="1">
        <v>1</v>
      </c>
      <c r="D25" s="1">
        <v>1</v>
      </c>
      <c r="E25" s="1">
        <f t="shared" si="5"/>
        <v>11</v>
      </c>
      <c r="F25" s="1">
        <f t="shared" si="2"/>
        <v>11</v>
      </c>
      <c r="R25" s="1">
        <v>22.6</v>
      </c>
      <c r="S25" s="1">
        <v>7.1</v>
      </c>
      <c r="T25" s="1">
        <v>15.3</v>
      </c>
      <c r="U25" s="1">
        <v>0.2</v>
      </c>
      <c r="V25" s="8">
        <f>R25*(1+S25)*原始运算表格!$P$2*原始运算表格!$Q$2</f>
        <v>183.06</v>
      </c>
      <c r="W25" s="8">
        <f>T25*(1+U25)*原始运算表格!$R$2*原始运算表格!$S$2</f>
        <v>91.8</v>
      </c>
      <c r="X25" s="8">
        <f t="shared" si="3"/>
        <v>0</v>
      </c>
      <c r="Y25" s="8">
        <f t="shared" si="4"/>
        <v>274.86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11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11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11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11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11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11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11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11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11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11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11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11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11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11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11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11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11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11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11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11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11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11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11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11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11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11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11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11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11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11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11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11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11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11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11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11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11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11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11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11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11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11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11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11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11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11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11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11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11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11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11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11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11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11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Z79"/>
  <sheetViews>
    <sheetView zoomScale="70" zoomScaleNormal="70" workbookViewId="0">
      <pane xSplit="4" ySplit="6" topLeftCell="G31" activePane="bottomRight" state="frozen"/>
      <selection pane="topRight" activeCell="E1" sqref="E1"/>
      <selection pane="bottomLeft" activeCell="A7" sqref="A7"/>
      <selection pane="bottomRigh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61</v>
      </c>
    </row>
    <row r="5" spans="1:26" s="6" customFormat="1">
      <c r="A5" s="6" t="s">
        <v>22</v>
      </c>
      <c r="B5" s="7"/>
      <c r="C5" s="6">
        <f>SUM(C12:C105)</f>
        <v>16</v>
      </c>
      <c r="D5" s="6">
        <f>SUM(D12:D105)</f>
        <v>16</v>
      </c>
      <c r="G5" s="6">
        <f>SUM(G12:G105)</f>
        <v>4</v>
      </c>
      <c r="H5" s="6">
        <f t="shared" ref="H5:Z5" si="0">SUM(H12:H105)</f>
        <v>3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10</v>
      </c>
      <c r="O5" s="6">
        <f t="shared" si="0"/>
        <v>1</v>
      </c>
      <c r="P5" s="6">
        <f t="shared" si="0"/>
        <v>3</v>
      </c>
      <c r="Q5" s="6">
        <f t="shared" si="0"/>
        <v>0</v>
      </c>
      <c r="R5" s="6">
        <f t="shared" si="0"/>
        <v>371.69999999999993</v>
      </c>
      <c r="S5" s="6">
        <f t="shared" si="0"/>
        <v>181.00000000000003</v>
      </c>
      <c r="T5" s="6">
        <f t="shared" si="0"/>
        <v>340.29999999999995</v>
      </c>
      <c r="U5" s="6">
        <f t="shared" si="0"/>
        <v>27.000000000000004</v>
      </c>
      <c r="V5" s="9">
        <f t="shared" si="0"/>
        <v>4756.3900000000003</v>
      </c>
      <c r="W5" s="9">
        <f t="shared" si="0"/>
        <v>4915.3500000000013</v>
      </c>
      <c r="X5" s="9">
        <f t="shared" si="0"/>
        <v>53477.320000000007</v>
      </c>
      <c r="Y5" s="9">
        <f t="shared" si="0"/>
        <v>63149.060000000012</v>
      </c>
      <c r="Z5" s="9">
        <f t="shared" si="0"/>
        <v>61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1</v>
      </c>
      <c r="D32" s="1">
        <v>1</v>
      </c>
      <c r="E32" s="1">
        <f t="shared" si="5"/>
        <v>1</v>
      </c>
      <c r="F32" s="1">
        <f t="shared" si="2"/>
        <v>1</v>
      </c>
      <c r="R32" s="1">
        <v>23.9</v>
      </c>
      <c r="S32" s="1">
        <v>13.3</v>
      </c>
      <c r="T32" s="1">
        <v>30.4</v>
      </c>
      <c r="U32" s="1">
        <v>2.8</v>
      </c>
      <c r="V32" s="8">
        <f>R32*(1+S32)*原始运算表格!$P$2*原始运算表格!$Q$2</f>
        <v>341.77</v>
      </c>
      <c r="W32" s="8">
        <f>T32*(1+U32)*原始运算表格!$R$2*原始运算表格!$S$2</f>
        <v>577.6</v>
      </c>
      <c r="X32" s="8">
        <f t="shared" si="3"/>
        <v>0</v>
      </c>
      <c r="Y32" s="8">
        <f t="shared" si="4"/>
        <v>919.37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1</v>
      </c>
      <c r="D33" s="1">
        <v>1</v>
      </c>
      <c r="E33" s="1">
        <f t="shared" si="5"/>
        <v>2</v>
      </c>
      <c r="F33" s="1">
        <f t="shared" si="2"/>
        <v>2</v>
      </c>
      <c r="H33" s="1">
        <v>1</v>
      </c>
      <c r="N33" s="1">
        <v>1</v>
      </c>
      <c r="R33" s="1">
        <v>27.7</v>
      </c>
      <c r="S33" s="1">
        <v>9.8000000000000007</v>
      </c>
      <c r="T33" s="1">
        <v>24.9</v>
      </c>
      <c r="U33" s="1">
        <v>0.6</v>
      </c>
      <c r="V33" s="8">
        <f>R33*(1+S33)*原始运算表格!$P$2*原始运算表格!$Q$2</f>
        <v>299.16000000000003</v>
      </c>
      <c r="W33" s="8">
        <f>T33*(1+U33)*原始运算表格!$R$2*原始运算表格!$S$2</f>
        <v>199.20000000000002</v>
      </c>
      <c r="X33" s="8">
        <f t="shared" si="3"/>
        <v>1495.08</v>
      </c>
      <c r="Y33" s="8">
        <f t="shared" si="4"/>
        <v>1993.44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3</v>
      </c>
    </row>
    <row r="34" spans="1:26">
      <c r="A34" s="1">
        <v>1973</v>
      </c>
      <c r="B34" s="1">
        <f t="shared" si="6"/>
        <v>1974</v>
      </c>
      <c r="C34" s="1">
        <v>1</v>
      </c>
      <c r="D34" s="1">
        <v>1</v>
      </c>
      <c r="E34" s="1">
        <f t="shared" si="5"/>
        <v>3</v>
      </c>
      <c r="F34" s="1">
        <f t="shared" si="2"/>
        <v>3</v>
      </c>
      <c r="G34" s="1">
        <v>1</v>
      </c>
      <c r="H34" s="1">
        <v>1</v>
      </c>
      <c r="N34" s="1">
        <v>1</v>
      </c>
      <c r="P34" s="1">
        <v>1</v>
      </c>
      <c r="R34" s="1">
        <v>25.7</v>
      </c>
      <c r="S34" s="1">
        <v>16.5</v>
      </c>
      <c r="T34" s="1">
        <v>24</v>
      </c>
      <c r="U34" s="1">
        <v>3</v>
      </c>
      <c r="V34" s="8">
        <f>R34*(1+S34)*原始运算表格!$P$2*原始运算表格!$Q$2</f>
        <v>449.75</v>
      </c>
      <c r="W34" s="8">
        <f>T34*(1+U34)*原始运算表格!$R$2*原始运算表格!$S$2</f>
        <v>480</v>
      </c>
      <c r="X34" s="8">
        <f t="shared" si="3"/>
        <v>13946.25</v>
      </c>
      <c r="Y34" s="8">
        <f t="shared" si="4"/>
        <v>14876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15</v>
      </c>
    </row>
    <row r="35" spans="1:26">
      <c r="A35" s="1">
        <v>1974</v>
      </c>
      <c r="B35" s="1">
        <f t="shared" si="6"/>
        <v>1975</v>
      </c>
      <c r="C35" s="1">
        <v>1</v>
      </c>
      <c r="D35" s="1">
        <v>1</v>
      </c>
      <c r="E35" s="1">
        <f t="shared" si="5"/>
        <v>4</v>
      </c>
      <c r="F35" s="1">
        <f t="shared" si="2"/>
        <v>4</v>
      </c>
      <c r="G35" s="1">
        <v>1</v>
      </c>
      <c r="N35" s="1">
        <v>1</v>
      </c>
      <c r="R35" s="1">
        <v>26.2</v>
      </c>
      <c r="S35" s="1">
        <v>17.600000000000001</v>
      </c>
      <c r="T35" s="1">
        <v>20.100000000000001</v>
      </c>
      <c r="U35" s="1">
        <v>0.4</v>
      </c>
      <c r="V35" s="8">
        <f>R35*(1+S35)*原始运算表格!$P$2*原始运算表格!$Q$2</f>
        <v>487.32000000000005</v>
      </c>
      <c r="W35" s="8">
        <f>T35*(1+U35)*原始运算表格!$R$2*原始运算表格!$S$2</f>
        <v>140.69999999999999</v>
      </c>
      <c r="X35" s="8">
        <f t="shared" si="3"/>
        <v>5652.18</v>
      </c>
      <c r="Y35" s="8">
        <f t="shared" si="4"/>
        <v>6280.2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9</v>
      </c>
    </row>
    <row r="36" spans="1:26">
      <c r="A36" s="1">
        <v>1975</v>
      </c>
      <c r="B36" s="1">
        <f t="shared" si="6"/>
        <v>1976</v>
      </c>
      <c r="C36" s="1">
        <v>1</v>
      </c>
      <c r="D36" s="1">
        <v>1</v>
      </c>
      <c r="E36" s="1">
        <f t="shared" si="5"/>
        <v>5</v>
      </c>
      <c r="F36" s="1">
        <f t="shared" si="2"/>
        <v>5</v>
      </c>
      <c r="G36" s="1">
        <v>1</v>
      </c>
      <c r="H36" s="1">
        <v>1</v>
      </c>
      <c r="N36" s="1">
        <v>1</v>
      </c>
      <c r="O36" s="1">
        <v>1</v>
      </c>
      <c r="P36" s="1">
        <v>1</v>
      </c>
      <c r="R36" s="1">
        <v>28.7</v>
      </c>
      <c r="S36" s="1">
        <v>17.7</v>
      </c>
      <c r="T36" s="1">
        <v>32</v>
      </c>
      <c r="U36" s="1">
        <v>3.7</v>
      </c>
      <c r="V36" s="8">
        <f>R36*(1+S36)*原始运算表格!$P$2*原始运算表格!$Q$2</f>
        <v>536.68999999999994</v>
      </c>
      <c r="W36" s="8">
        <f>T36*(1+U36)*原始运算表格!$R$2*原始运算表格!$S$2</f>
        <v>752</v>
      </c>
      <c r="X36" s="8">
        <f t="shared" si="3"/>
        <v>20619.04</v>
      </c>
      <c r="Y36" s="8">
        <f t="shared" si="4"/>
        <v>21907.73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16</v>
      </c>
    </row>
    <row r="37" spans="1:26">
      <c r="A37" s="1">
        <v>1976</v>
      </c>
      <c r="B37" s="1">
        <f t="shared" si="6"/>
        <v>1977</v>
      </c>
      <c r="C37" s="1">
        <v>1</v>
      </c>
      <c r="D37" s="1">
        <v>1</v>
      </c>
      <c r="E37" s="1">
        <f t="shared" si="5"/>
        <v>6</v>
      </c>
      <c r="F37" s="1">
        <f t="shared" si="2"/>
        <v>6</v>
      </c>
      <c r="R37" s="1">
        <v>20.9</v>
      </c>
      <c r="S37" s="1">
        <v>11.5</v>
      </c>
      <c r="T37" s="1">
        <v>22.9</v>
      </c>
      <c r="U37" s="1">
        <v>3.4</v>
      </c>
      <c r="V37" s="8">
        <f>R37*(1+S37)*原始运算表格!$P$2*原始运算表格!$Q$2</f>
        <v>261.25</v>
      </c>
      <c r="W37" s="8">
        <f>T37*(1+U37)*原始运算表格!$R$2*原始运算表格!$S$2</f>
        <v>503.8</v>
      </c>
      <c r="X37" s="8">
        <f t="shared" si="3"/>
        <v>0</v>
      </c>
      <c r="Y37" s="8">
        <f t="shared" si="4"/>
        <v>765.05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1</v>
      </c>
      <c r="D38" s="1">
        <v>1</v>
      </c>
      <c r="E38" s="1">
        <f t="shared" si="5"/>
        <v>7</v>
      </c>
      <c r="F38" s="1">
        <f t="shared" si="2"/>
        <v>7</v>
      </c>
      <c r="N38" s="1">
        <v>1</v>
      </c>
      <c r="R38" s="1">
        <v>21.7</v>
      </c>
      <c r="S38" s="1">
        <v>9.1</v>
      </c>
      <c r="T38" s="1">
        <v>21.2</v>
      </c>
      <c r="U38" s="1">
        <v>1.3</v>
      </c>
      <c r="V38" s="8">
        <f>R38*(1+S38)*原始运算表格!$P$2*原始运算表格!$Q$2</f>
        <v>219.17</v>
      </c>
      <c r="W38" s="8">
        <f>T38*(1+U38)*原始运算表格!$R$2*原始运算表格!$S$2</f>
        <v>243.79999999999998</v>
      </c>
      <c r="X38" s="8">
        <f t="shared" si="3"/>
        <v>462.97</v>
      </c>
      <c r="Y38" s="8">
        <f t="shared" si="4"/>
        <v>925.93999999999994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1</v>
      </c>
    </row>
    <row r="39" spans="1:26">
      <c r="A39" s="1">
        <v>1978</v>
      </c>
      <c r="B39" s="1">
        <f t="shared" si="6"/>
        <v>1979</v>
      </c>
      <c r="C39" s="1">
        <v>1</v>
      </c>
      <c r="D39" s="1">
        <v>1</v>
      </c>
      <c r="E39" s="1">
        <f t="shared" si="5"/>
        <v>8</v>
      </c>
      <c r="F39" s="1">
        <f t="shared" si="2"/>
        <v>8</v>
      </c>
      <c r="N39" s="1">
        <v>1</v>
      </c>
      <c r="R39" s="1">
        <v>20.100000000000001</v>
      </c>
      <c r="S39" s="1">
        <v>7.9</v>
      </c>
      <c r="T39" s="1">
        <v>22.1</v>
      </c>
      <c r="U39" s="1">
        <v>1.3</v>
      </c>
      <c r="V39" s="8">
        <f>R39*(1+S39)*原始运算表格!$P$2*原始运算表格!$Q$2</f>
        <v>178.89000000000001</v>
      </c>
      <c r="W39" s="8">
        <f>T39*(1+U39)*原始运算表格!$R$2*原始运算表格!$S$2</f>
        <v>254.14999999999998</v>
      </c>
      <c r="X39" s="8">
        <f t="shared" si="3"/>
        <v>433.03999999999996</v>
      </c>
      <c r="Y39" s="8">
        <f t="shared" si="4"/>
        <v>866.07999999999993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1</v>
      </c>
    </row>
    <row r="40" spans="1:26">
      <c r="A40" s="1">
        <v>1979</v>
      </c>
      <c r="B40" s="1">
        <f t="shared" si="6"/>
        <v>1980</v>
      </c>
      <c r="C40" s="1">
        <v>1</v>
      </c>
      <c r="D40" s="1">
        <v>1</v>
      </c>
      <c r="E40" s="1">
        <f t="shared" si="5"/>
        <v>9</v>
      </c>
      <c r="F40" s="1">
        <f t="shared" si="2"/>
        <v>9</v>
      </c>
      <c r="N40" s="1">
        <v>1</v>
      </c>
      <c r="R40" s="1">
        <v>25.4</v>
      </c>
      <c r="S40" s="1">
        <v>12.5</v>
      </c>
      <c r="T40" s="1">
        <v>22.5</v>
      </c>
      <c r="U40" s="1">
        <v>2.6</v>
      </c>
      <c r="V40" s="8">
        <f>R40*(1+S40)*原始运算表格!$P$2*原始运算表格!$Q$2</f>
        <v>342.9</v>
      </c>
      <c r="W40" s="8">
        <f>T40*(1+U40)*原始运算表格!$R$2*原始运算表格!$S$2</f>
        <v>405</v>
      </c>
      <c r="X40" s="8">
        <f t="shared" si="3"/>
        <v>747.9</v>
      </c>
      <c r="Y40" s="8">
        <f t="shared" si="4"/>
        <v>1495.8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1</v>
      </c>
    </row>
    <row r="41" spans="1:26">
      <c r="A41" s="1">
        <v>1980</v>
      </c>
      <c r="B41" s="1">
        <f t="shared" si="6"/>
        <v>1981</v>
      </c>
      <c r="C41" s="1">
        <v>1</v>
      </c>
      <c r="D41" s="1">
        <v>1</v>
      </c>
      <c r="E41" s="1">
        <f t="shared" si="5"/>
        <v>10</v>
      </c>
      <c r="F41" s="1">
        <f t="shared" si="2"/>
        <v>10</v>
      </c>
      <c r="G41" s="1">
        <v>1</v>
      </c>
      <c r="N41" s="1">
        <v>1</v>
      </c>
      <c r="R41" s="1">
        <v>25.1</v>
      </c>
      <c r="S41" s="1">
        <v>13.8</v>
      </c>
      <c r="T41" s="1">
        <v>20.6</v>
      </c>
      <c r="U41" s="1">
        <v>1.4</v>
      </c>
      <c r="V41" s="8">
        <f>R41*(1+S41)*原始运算表格!$P$2*原始运算表格!$Q$2</f>
        <v>371.48</v>
      </c>
      <c r="W41" s="8">
        <f>T41*(1+U41)*原始运算表格!$R$2*原始运算表格!$S$2</f>
        <v>247.20000000000002</v>
      </c>
      <c r="X41" s="8">
        <f t="shared" si="3"/>
        <v>5568.1200000000008</v>
      </c>
      <c r="Y41" s="8">
        <f t="shared" si="4"/>
        <v>6186.8000000000011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9</v>
      </c>
    </row>
    <row r="42" spans="1:26">
      <c r="A42" s="1">
        <v>1981</v>
      </c>
      <c r="B42" s="1">
        <f t="shared" si="6"/>
        <v>1982</v>
      </c>
      <c r="C42" s="1">
        <v>1</v>
      </c>
      <c r="D42" s="1">
        <v>1</v>
      </c>
      <c r="E42" s="1">
        <f t="shared" si="5"/>
        <v>11</v>
      </c>
      <c r="F42" s="1">
        <f t="shared" si="2"/>
        <v>11</v>
      </c>
      <c r="N42" s="1">
        <v>1</v>
      </c>
      <c r="P42" s="1">
        <v>1</v>
      </c>
      <c r="R42" s="1">
        <v>25.9</v>
      </c>
      <c r="S42" s="1">
        <v>13.3</v>
      </c>
      <c r="T42" s="1">
        <v>22.5</v>
      </c>
      <c r="U42" s="1">
        <v>3</v>
      </c>
      <c r="V42" s="8">
        <f>R42*(1+S42)*原始运算表格!$P$2*原始运算表格!$Q$2</f>
        <v>370.37</v>
      </c>
      <c r="W42" s="8">
        <f>T42*(1+U42)*原始运算表格!$R$2*原始运算表格!$S$2</f>
        <v>450</v>
      </c>
      <c r="X42" s="8">
        <f t="shared" si="3"/>
        <v>4101.8500000000004</v>
      </c>
      <c r="Y42" s="8">
        <f t="shared" si="4"/>
        <v>4922.22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5</v>
      </c>
    </row>
    <row r="43" spans="1:26">
      <c r="A43" s="1">
        <v>1982</v>
      </c>
      <c r="B43" s="1">
        <f t="shared" si="6"/>
        <v>1983</v>
      </c>
      <c r="C43" s="1">
        <v>1</v>
      </c>
      <c r="D43" s="1">
        <v>1</v>
      </c>
      <c r="E43" s="1">
        <f t="shared" si="5"/>
        <v>12</v>
      </c>
      <c r="F43" s="1">
        <f t="shared" si="2"/>
        <v>12</v>
      </c>
      <c r="N43" s="1">
        <v>1</v>
      </c>
      <c r="R43" s="1">
        <v>23.1</v>
      </c>
      <c r="S43" s="1">
        <v>10.9</v>
      </c>
      <c r="T43" s="1">
        <v>16</v>
      </c>
      <c r="U43" s="1">
        <v>1.2</v>
      </c>
      <c r="V43" s="8">
        <f>R43*(1+S43)*原始运算表格!$P$2*原始运算表格!$Q$2</f>
        <v>274.89000000000004</v>
      </c>
      <c r="W43" s="8">
        <f>T43*(1+U43)*原始运算表格!$R$2*原始运算表格!$S$2</f>
        <v>176</v>
      </c>
      <c r="X43" s="8">
        <f t="shared" si="3"/>
        <v>450.89000000000004</v>
      </c>
      <c r="Y43" s="8">
        <f t="shared" si="4"/>
        <v>901.78000000000009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1</v>
      </c>
    </row>
    <row r="44" spans="1:26">
      <c r="A44" s="1">
        <v>1983</v>
      </c>
      <c r="B44" s="1">
        <f t="shared" si="6"/>
        <v>1984</v>
      </c>
      <c r="C44" s="1">
        <v>1</v>
      </c>
      <c r="D44" s="1">
        <v>1</v>
      </c>
      <c r="E44" s="1">
        <f t="shared" si="5"/>
        <v>13</v>
      </c>
      <c r="F44" s="1">
        <f t="shared" si="2"/>
        <v>13</v>
      </c>
      <c r="R44" s="1">
        <v>22.9</v>
      </c>
      <c r="S44" s="1">
        <v>10.1</v>
      </c>
      <c r="T44" s="1">
        <v>15.2</v>
      </c>
      <c r="U44" s="1">
        <v>0.3</v>
      </c>
      <c r="V44" s="8">
        <f>R44*(1+S44)*原始运算表格!$P$2*原始运算表格!$Q$2</f>
        <v>254.18999999999997</v>
      </c>
      <c r="W44" s="8">
        <f>T44*(1+U44)*原始运算表格!$R$2*原始运算表格!$S$2</f>
        <v>98.799999999999983</v>
      </c>
      <c r="X44" s="8">
        <f t="shared" si="3"/>
        <v>0</v>
      </c>
      <c r="Y44" s="8">
        <f t="shared" si="4"/>
        <v>352.98999999999995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1</v>
      </c>
      <c r="D45" s="1">
        <v>1</v>
      </c>
      <c r="E45" s="1">
        <f t="shared" si="5"/>
        <v>14</v>
      </c>
      <c r="F45" s="1">
        <f t="shared" si="2"/>
        <v>14</v>
      </c>
      <c r="R45" s="1">
        <v>20</v>
      </c>
      <c r="S45" s="1">
        <v>7.6</v>
      </c>
      <c r="T45" s="1">
        <v>16.899999999999999</v>
      </c>
      <c r="U45" s="1">
        <v>1.1000000000000001</v>
      </c>
      <c r="V45" s="8">
        <f>R45*(1+S45)*原始运算表格!$P$2*原始运算表格!$Q$2</f>
        <v>172</v>
      </c>
      <c r="W45" s="8">
        <f>T45*(1+U45)*原始运算表格!$R$2*原始运算表格!$S$2</f>
        <v>177.45000000000002</v>
      </c>
      <c r="X45" s="8">
        <f>Y45-W45-V45</f>
        <v>0</v>
      </c>
      <c r="Y45" s="8">
        <f>(V45+W45)*(1+Z45)</f>
        <v>349.45000000000005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1</v>
      </c>
      <c r="D46" s="1">
        <v>1</v>
      </c>
      <c r="E46" s="1">
        <f t="shared" si="5"/>
        <v>15</v>
      </c>
      <c r="F46" s="1">
        <f t="shared" si="2"/>
        <v>15</v>
      </c>
      <c r="R46" s="1">
        <v>17.399999999999999</v>
      </c>
      <c r="S46" s="1">
        <v>5.9</v>
      </c>
      <c r="T46" s="1">
        <v>14.1</v>
      </c>
      <c r="U46" s="1">
        <v>0.6</v>
      </c>
      <c r="V46" s="8">
        <f>R46*(1+S46)*原始运算表格!$P$2*原始运算表格!$Q$2</f>
        <v>120.06</v>
      </c>
      <c r="W46" s="8">
        <f>T46*(1+U46)*原始运算表格!$R$2*原始运算表格!$S$2</f>
        <v>112.80000000000001</v>
      </c>
      <c r="X46" s="8">
        <f t="shared" ref="X46:X79" si="7">Y46-W46-V46</f>
        <v>0</v>
      </c>
      <c r="Y46" s="8">
        <f t="shared" ref="Y46:Y79" si="8">(V46+W46)*(1+Z46)</f>
        <v>232.86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1</v>
      </c>
      <c r="D47" s="1">
        <v>1</v>
      </c>
      <c r="E47" s="1">
        <f t="shared" si="5"/>
        <v>16</v>
      </c>
      <c r="F47" s="1">
        <f t="shared" si="2"/>
        <v>16</v>
      </c>
      <c r="R47" s="1">
        <v>17</v>
      </c>
      <c r="S47" s="1">
        <v>3.5</v>
      </c>
      <c r="T47" s="1">
        <v>14.9</v>
      </c>
      <c r="U47" s="1">
        <v>0.3</v>
      </c>
      <c r="V47" s="8">
        <f>R47*(1+S47)*原始运算表格!$P$2*原始运算表格!$Q$2</f>
        <v>76.5</v>
      </c>
      <c r="W47" s="8">
        <f>T47*(1+U47)*原始运算表格!$R$2*原始运算表格!$S$2</f>
        <v>96.850000000000009</v>
      </c>
      <c r="X47" s="8">
        <f t="shared" si="7"/>
        <v>0</v>
      </c>
      <c r="Y47" s="8">
        <f t="shared" si="8"/>
        <v>173.35000000000002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16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16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16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16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16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16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16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16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16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16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16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16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16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16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16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16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16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16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16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16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16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16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16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16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16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16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16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16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16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16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16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16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Z79"/>
  <sheetViews>
    <sheetView zoomScale="55" zoomScaleNormal="55" workbookViewId="0">
      <pane xSplit="4" ySplit="6" topLeftCell="E61" activePane="bottomRight" state="frozen"/>
      <selection pane="topRight" activeCell="E1" sqref="E1"/>
      <selection pane="bottomLeft" activeCell="A7" sqref="A7"/>
      <selection pane="bottomRigh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62</v>
      </c>
    </row>
    <row r="5" spans="1:26" s="6" customFormat="1">
      <c r="A5" s="6" t="s">
        <v>22</v>
      </c>
      <c r="B5" s="7"/>
      <c r="C5" s="6">
        <f>SUM(C12:C105)</f>
        <v>21</v>
      </c>
      <c r="D5" s="6">
        <f>SUM(D12:D105)</f>
        <v>15</v>
      </c>
      <c r="G5" s="6">
        <f>SUM(G12:G105)</f>
        <v>1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4</v>
      </c>
      <c r="O5" s="6">
        <f t="shared" si="0"/>
        <v>0</v>
      </c>
      <c r="P5" s="6">
        <f t="shared" si="0"/>
        <v>1</v>
      </c>
      <c r="Q5" s="6">
        <f t="shared" si="0"/>
        <v>1</v>
      </c>
      <c r="R5" s="6">
        <f t="shared" si="0"/>
        <v>447.7</v>
      </c>
      <c r="S5" s="6">
        <f t="shared" si="0"/>
        <v>206.40000000000003</v>
      </c>
      <c r="T5" s="6">
        <f t="shared" si="0"/>
        <v>346.90000000000003</v>
      </c>
      <c r="U5" s="6">
        <f t="shared" si="0"/>
        <v>23.1</v>
      </c>
      <c r="V5" s="9">
        <f t="shared" si="0"/>
        <v>5305.5099999999993</v>
      </c>
      <c r="W5" s="9">
        <f t="shared" si="0"/>
        <v>4636.2499999999991</v>
      </c>
      <c r="X5" s="9">
        <f t="shared" si="0"/>
        <v>18893.32</v>
      </c>
      <c r="Y5" s="9">
        <f t="shared" si="0"/>
        <v>28835.079999999998</v>
      </c>
      <c r="Z5" s="9">
        <f t="shared" si="0"/>
        <v>24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0</v>
      </c>
      <c r="E59" s="1">
        <f t="shared" si="5"/>
        <v>1</v>
      </c>
      <c r="F59" s="1">
        <f t="shared" si="2"/>
        <v>1</v>
      </c>
      <c r="R59" s="1">
        <v>12.8</v>
      </c>
      <c r="S59" s="1">
        <v>0.8</v>
      </c>
      <c r="V59" s="8">
        <f>R59*(1+S59)*原始运算表格!$P$2*原始运算表格!$Q$2</f>
        <v>23.040000000000003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23.040000000000003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0</v>
      </c>
      <c r="E60" s="1">
        <f t="shared" si="5"/>
        <v>2</v>
      </c>
      <c r="F60" s="1">
        <f t="shared" si="2"/>
        <v>2</v>
      </c>
      <c r="R60" s="1">
        <v>17.5</v>
      </c>
      <c r="S60" s="1">
        <v>8.1</v>
      </c>
      <c r="V60" s="8">
        <f>R60*(1+S60)*原始运算表格!$P$2*原始运算表格!$Q$2</f>
        <v>159.25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159.25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3</v>
      </c>
      <c r="F61" s="1">
        <f t="shared" si="2"/>
        <v>3</v>
      </c>
      <c r="R61" s="1">
        <v>22.8</v>
      </c>
      <c r="S61" s="1">
        <v>14.6</v>
      </c>
      <c r="T61" s="1">
        <v>22.3</v>
      </c>
      <c r="U61" s="1">
        <v>1.7</v>
      </c>
      <c r="V61" s="8">
        <f>R61*(1+S61)*原始运算表格!$P$2*原始运算表格!$Q$2</f>
        <v>355.68</v>
      </c>
      <c r="W61" s="8">
        <f>T61*(1+U61)*原始运算表格!$R$2*原始运算表格!$S$2</f>
        <v>301.05000000000007</v>
      </c>
      <c r="X61" s="8">
        <f t="shared" si="7"/>
        <v>0</v>
      </c>
      <c r="Y61" s="8">
        <f t="shared" si="8"/>
        <v>656.73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4</v>
      </c>
      <c r="F62" s="1">
        <f t="shared" si="2"/>
        <v>4</v>
      </c>
      <c r="I62" s="2"/>
      <c r="J62" s="2"/>
      <c r="K62" s="2"/>
      <c r="L62" s="2"/>
      <c r="M62" s="2"/>
      <c r="P62" s="2"/>
      <c r="R62" s="1">
        <v>24.1</v>
      </c>
      <c r="S62" s="1">
        <v>13.4</v>
      </c>
      <c r="T62" s="1">
        <v>24.8</v>
      </c>
      <c r="U62" s="1">
        <v>1.4</v>
      </c>
      <c r="V62" s="8">
        <f>R62*(1+S62)*原始运算表格!$P$2*原始运算表格!$Q$2</f>
        <v>347.04</v>
      </c>
      <c r="W62" s="8">
        <f>T62*(1+U62)*原始运算表格!$R$2*原始运算表格!$S$2</f>
        <v>297.59999999999997</v>
      </c>
      <c r="X62" s="8">
        <f t="shared" si="7"/>
        <v>0</v>
      </c>
      <c r="Y62" s="8">
        <f t="shared" si="8"/>
        <v>644.64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5</v>
      </c>
      <c r="F63" s="1">
        <f t="shared" si="2"/>
        <v>5</v>
      </c>
      <c r="I63" s="2"/>
      <c r="J63" s="2"/>
      <c r="K63" s="2"/>
      <c r="L63" s="2"/>
      <c r="M63" s="2"/>
      <c r="P63" s="2"/>
      <c r="R63" s="1">
        <v>25.6</v>
      </c>
      <c r="S63" s="1">
        <v>16.100000000000001</v>
      </c>
      <c r="T63" s="1">
        <v>23.2</v>
      </c>
      <c r="U63" s="1">
        <v>2.6</v>
      </c>
      <c r="V63" s="8">
        <f>R63*(1+S63)*原始运算表格!$P$2*原始运算表格!$Q$2</f>
        <v>437.76000000000005</v>
      </c>
      <c r="W63" s="8">
        <f>T63*(1+U63)*原始运算表格!$R$2*原始运算表格!$S$2</f>
        <v>417.59999999999997</v>
      </c>
      <c r="X63" s="8">
        <f t="shared" si="7"/>
        <v>0</v>
      </c>
      <c r="Y63" s="8">
        <f t="shared" si="8"/>
        <v>855.36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6</v>
      </c>
      <c r="F64" s="1">
        <f t="shared" si="2"/>
        <v>6</v>
      </c>
      <c r="R64" s="1">
        <v>22.5</v>
      </c>
      <c r="S64" s="1">
        <v>11.5</v>
      </c>
      <c r="T64" s="1">
        <v>27.5</v>
      </c>
      <c r="U64" s="1">
        <v>1.3</v>
      </c>
      <c r="V64" s="8">
        <f>R64*(1+S64)*原始运算表格!$P$2*原始运算表格!$Q$2</f>
        <v>281.25</v>
      </c>
      <c r="W64" s="8">
        <f>T64*(1+U64)*原始运算表格!$R$2*原始运算表格!$S$2</f>
        <v>316.24999999999994</v>
      </c>
      <c r="X64" s="8">
        <f t="shared" si="7"/>
        <v>0</v>
      </c>
      <c r="Y64" s="8">
        <f t="shared" si="8"/>
        <v>597.5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7</v>
      </c>
      <c r="F65" s="1">
        <f t="shared" si="2"/>
        <v>7</v>
      </c>
      <c r="N65" s="1">
        <v>1</v>
      </c>
      <c r="R65" s="1">
        <v>26.1</v>
      </c>
      <c r="S65" s="1">
        <v>15.6</v>
      </c>
      <c r="T65" s="1">
        <v>20.100000000000001</v>
      </c>
      <c r="U65" s="1">
        <v>1.2</v>
      </c>
      <c r="V65" s="8">
        <f>R65*(1+S65)*原始运算表格!$P$2*原始运算表格!$Q$2</f>
        <v>433.26000000000005</v>
      </c>
      <c r="W65" s="8">
        <f>T65*(1+U65)*原始运算表格!$R$2*原始运算表格!$S$2</f>
        <v>221.10000000000002</v>
      </c>
      <c r="X65" s="8">
        <f t="shared" si="7"/>
        <v>654.36000000000035</v>
      </c>
      <c r="Y65" s="8">
        <f t="shared" si="8"/>
        <v>1308.7200000000003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1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1</v>
      </c>
      <c r="E66" s="1">
        <f t="shared" si="5"/>
        <v>8</v>
      </c>
      <c r="F66" s="1">
        <f t="shared" si="2"/>
        <v>8</v>
      </c>
      <c r="N66" s="1">
        <v>1</v>
      </c>
      <c r="R66" s="1">
        <v>28.1</v>
      </c>
      <c r="S66" s="1">
        <v>17.7</v>
      </c>
      <c r="T66" s="1">
        <v>26.8</v>
      </c>
      <c r="U66" s="1">
        <v>5.4</v>
      </c>
      <c r="V66" s="8">
        <f>R66*(1+S66)*原始运算表格!$P$2*原始运算表格!$Q$2</f>
        <v>525.47</v>
      </c>
      <c r="W66" s="8">
        <f>T66*(1+U66)*原始运算表格!$R$2*原始运算表格!$S$2</f>
        <v>857.6</v>
      </c>
      <c r="X66" s="8">
        <f t="shared" si="7"/>
        <v>1383.0700000000004</v>
      </c>
      <c r="Y66" s="8">
        <f t="shared" si="8"/>
        <v>2766.1400000000003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1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9</v>
      </c>
      <c r="F67" s="1">
        <f t="shared" si="2"/>
        <v>9</v>
      </c>
      <c r="G67" s="1">
        <v>1</v>
      </c>
      <c r="N67" s="1">
        <v>1</v>
      </c>
      <c r="R67" s="1">
        <v>27.6</v>
      </c>
      <c r="S67" s="1">
        <v>16.3</v>
      </c>
      <c r="T67" s="1">
        <v>20.9</v>
      </c>
      <c r="U67" s="1">
        <v>0.6</v>
      </c>
      <c r="V67" s="8">
        <f>R67*(1+S67)*原始运算表格!$P$2*原始运算表格!$Q$2</f>
        <v>477.48</v>
      </c>
      <c r="W67" s="8">
        <f>T67*(1+U67)*原始运算表格!$R$2*原始运算表格!$S$2</f>
        <v>167.2</v>
      </c>
      <c r="X67" s="8">
        <f t="shared" si="7"/>
        <v>5802.1200000000008</v>
      </c>
      <c r="Y67" s="8">
        <f t="shared" si="8"/>
        <v>6446.8000000000011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9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10</v>
      </c>
      <c r="F68" s="1">
        <f t="shared" si="2"/>
        <v>10</v>
      </c>
      <c r="R68" s="1">
        <v>24.6</v>
      </c>
      <c r="S68" s="1">
        <v>12.9</v>
      </c>
      <c r="T68" s="1">
        <v>26.3</v>
      </c>
      <c r="U68" s="1">
        <v>0.9</v>
      </c>
      <c r="V68" s="8">
        <f>R68*(1+S68)*原始运算表格!$P$2*原始运算表格!$Q$2</f>
        <v>341.94000000000005</v>
      </c>
      <c r="W68" s="8">
        <f>T68*(1+U68)*原始运算表格!$R$2*原始运算表格!$S$2</f>
        <v>249.85</v>
      </c>
      <c r="X68" s="8">
        <f t="shared" si="7"/>
        <v>0</v>
      </c>
      <c r="Y68" s="8">
        <f t="shared" si="8"/>
        <v>591.79000000000008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1</v>
      </c>
      <c r="E69" s="1">
        <f t="shared" si="5"/>
        <v>11</v>
      </c>
      <c r="F69" s="1">
        <f t="shared" si="2"/>
        <v>11</v>
      </c>
      <c r="N69" s="1">
        <v>1</v>
      </c>
      <c r="R69" s="1">
        <v>23.1</v>
      </c>
      <c r="S69" s="1">
        <v>10.9</v>
      </c>
      <c r="T69" s="1">
        <v>28.4</v>
      </c>
      <c r="U69" s="1">
        <v>2</v>
      </c>
      <c r="V69" s="8">
        <f>R69*(1+S69)*原始运算表格!$P$2*原始运算表格!$Q$2</f>
        <v>274.89000000000004</v>
      </c>
      <c r="W69" s="8">
        <f>T69*(1+U69)*原始运算表格!$R$2*原始运算表格!$S$2</f>
        <v>425.99999999999994</v>
      </c>
      <c r="X69" s="8">
        <f t="shared" si="7"/>
        <v>700.88999999999987</v>
      </c>
      <c r="Y69" s="8">
        <f t="shared" si="8"/>
        <v>1401.78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1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12</v>
      </c>
      <c r="F70" s="1">
        <f t="shared" si="2"/>
        <v>12</v>
      </c>
      <c r="R70" s="1">
        <v>22.9</v>
      </c>
      <c r="S70" s="1">
        <v>12.3</v>
      </c>
      <c r="T70" s="1">
        <v>28.3</v>
      </c>
      <c r="U70" s="1">
        <v>1.4</v>
      </c>
      <c r="V70" s="8">
        <f>R70*(1+S70)*原始运算表格!$P$2*原始运算表格!$Q$2</f>
        <v>304.57</v>
      </c>
      <c r="W70" s="8">
        <f>T70*(1+U70)*原始运算表格!$R$2*原始运算表格!$S$2</f>
        <v>339.6</v>
      </c>
      <c r="X70" s="8">
        <f t="shared" si="7"/>
        <v>0</v>
      </c>
      <c r="Y70" s="8">
        <f t="shared" si="8"/>
        <v>644.17000000000007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13</v>
      </c>
      <c r="F71" s="1">
        <f t="shared" ref="F71:F79" si="9">C71*E71</f>
        <v>13</v>
      </c>
      <c r="P71" s="1">
        <v>1</v>
      </c>
      <c r="Q71" s="1">
        <v>1</v>
      </c>
      <c r="R71" s="1">
        <v>23.4</v>
      </c>
      <c r="S71" s="1">
        <v>11.1</v>
      </c>
      <c r="T71" s="1">
        <v>25.2</v>
      </c>
      <c r="U71" s="1">
        <v>3.6</v>
      </c>
      <c r="V71" s="8">
        <f>R71*(1+S71)*原始运算表格!$P$2*原始运算表格!$Q$2</f>
        <v>283.14</v>
      </c>
      <c r="W71" s="8">
        <f>T71*(1+U71)*原始运算表格!$R$2*原始运算表格!$S$2</f>
        <v>579.59999999999991</v>
      </c>
      <c r="X71" s="8">
        <f t="shared" si="7"/>
        <v>10352.879999999999</v>
      </c>
      <c r="Y71" s="8">
        <f t="shared" si="8"/>
        <v>11215.619999999999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12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14</v>
      </c>
      <c r="F72" s="1">
        <f t="shared" si="9"/>
        <v>14</v>
      </c>
      <c r="R72" s="1">
        <v>21.7</v>
      </c>
      <c r="S72" s="1">
        <v>7.6</v>
      </c>
      <c r="T72" s="1">
        <v>22.5</v>
      </c>
      <c r="U72" s="1">
        <v>0.4</v>
      </c>
      <c r="V72" s="8">
        <f>R72*(1+S72)*原始运算表格!$P$2*原始运算表格!$Q$2</f>
        <v>186.61999999999998</v>
      </c>
      <c r="W72" s="8">
        <f>T72*(1+U72)*原始运算表格!$R$2*原始运算表格!$S$2</f>
        <v>157.49999999999997</v>
      </c>
      <c r="X72" s="8">
        <f t="shared" si="7"/>
        <v>0</v>
      </c>
      <c r="Y72" s="8">
        <f t="shared" si="8"/>
        <v>344.11999999999995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0</v>
      </c>
      <c r="E73" s="1">
        <f t="shared" ref="E73:E79" si="10">E72+C73</f>
        <v>15</v>
      </c>
      <c r="F73" s="1">
        <f t="shared" si="9"/>
        <v>15</v>
      </c>
      <c r="R73" s="1">
        <v>19.8</v>
      </c>
      <c r="S73" s="1">
        <v>5</v>
      </c>
      <c r="V73" s="8">
        <f>R73*(1+S73)*原始运算表格!$P$2*原始运算表格!$Q$2</f>
        <v>118.80000000000001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118.80000000000001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16</v>
      </c>
      <c r="F74" s="1">
        <f t="shared" si="9"/>
        <v>16</v>
      </c>
      <c r="R74" s="1">
        <v>23.6</v>
      </c>
      <c r="S74" s="1">
        <v>10.9</v>
      </c>
      <c r="T74" s="1">
        <v>13.9</v>
      </c>
      <c r="U74" s="1">
        <v>0.1</v>
      </c>
      <c r="V74" s="8">
        <f>R74*(1+S74)*原始运算表格!$P$2*原始运算表格!$Q$2</f>
        <v>280.84000000000003</v>
      </c>
      <c r="W74" s="8">
        <f>T74*(1+U74)*原始运算表格!$R$2*原始运算表格!$S$2</f>
        <v>76.45</v>
      </c>
      <c r="X74" s="8">
        <f t="shared" si="7"/>
        <v>0</v>
      </c>
      <c r="Y74" s="8">
        <f t="shared" si="8"/>
        <v>357.29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17</v>
      </c>
      <c r="F75" s="1">
        <f t="shared" si="9"/>
        <v>17</v>
      </c>
      <c r="R75" s="1">
        <v>19.2</v>
      </c>
      <c r="S75" s="1">
        <v>7.2</v>
      </c>
      <c r="T75" s="1">
        <v>18</v>
      </c>
      <c r="U75" s="1">
        <v>0.4</v>
      </c>
      <c r="V75" s="8">
        <f>R75*(1+S75)*原始运算表格!$P$2*原始运算表格!$Q$2</f>
        <v>157.43999999999997</v>
      </c>
      <c r="W75" s="8">
        <f>T75*(1+U75)*原始运算表格!$R$2*原始运算表格!$S$2</f>
        <v>126</v>
      </c>
      <c r="X75" s="8">
        <f t="shared" si="7"/>
        <v>0</v>
      </c>
      <c r="Y75" s="8">
        <f t="shared" si="8"/>
        <v>283.43999999999994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18</v>
      </c>
      <c r="F76" s="1">
        <f t="shared" si="9"/>
        <v>18</v>
      </c>
      <c r="R76" s="1">
        <v>19</v>
      </c>
      <c r="S76" s="1">
        <v>6.8</v>
      </c>
      <c r="T76" s="1">
        <v>18.7</v>
      </c>
      <c r="U76" s="1">
        <v>0.1</v>
      </c>
      <c r="V76" s="8">
        <f>R76*(1+S76)*原始运算表格!$P$2*原始运算表格!$Q$2</f>
        <v>148.19999999999999</v>
      </c>
      <c r="W76" s="8">
        <f>T76*(1+U76)*原始运算表格!$R$2*原始运算表格!$S$2</f>
        <v>102.85</v>
      </c>
      <c r="X76" s="8">
        <f t="shared" si="7"/>
        <v>0</v>
      </c>
      <c r="Y76" s="8">
        <f t="shared" si="8"/>
        <v>251.04999999999998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0</v>
      </c>
      <c r="E77" s="1">
        <f t="shared" si="10"/>
        <v>19</v>
      </c>
      <c r="F77" s="1">
        <f t="shared" si="9"/>
        <v>19</v>
      </c>
      <c r="R77" s="1">
        <v>17</v>
      </c>
      <c r="S77" s="1">
        <v>2.5</v>
      </c>
      <c r="V77" s="8">
        <f>R77*(1+S77)*原始运算表格!$P$2*原始运算表格!$Q$2</f>
        <v>59.5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59.5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1</v>
      </c>
      <c r="D78" s="1">
        <v>0</v>
      </c>
      <c r="E78" s="1">
        <f t="shared" si="10"/>
        <v>20</v>
      </c>
      <c r="F78" s="1">
        <f t="shared" si="9"/>
        <v>20</v>
      </c>
      <c r="R78" s="1">
        <v>16.7</v>
      </c>
      <c r="S78" s="1">
        <v>4.8</v>
      </c>
      <c r="V78" s="8">
        <f>R78*(1+S78)*原始运算表格!$P$2*原始运算表格!$Q$2</f>
        <v>96.86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96.86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1</v>
      </c>
      <c r="D79" s="1">
        <v>0</v>
      </c>
      <c r="E79" s="1">
        <f t="shared" si="10"/>
        <v>21</v>
      </c>
      <c r="F79" s="1">
        <f t="shared" si="9"/>
        <v>21</v>
      </c>
      <c r="R79" s="1">
        <v>9.6</v>
      </c>
      <c r="S79" s="1">
        <v>0.3</v>
      </c>
      <c r="V79" s="8">
        <f>R79*(1+S79)*原始运算表格!$P$2*原始运算表格!$Q$2</f>
        <v>12.48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12.48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Z79"/>
  <sheetViews>
    <sheetView zoomScale="55" zoomScaleNormal="55" workbookViewId="0">
      <pane xSplit="4" ySplit="6" topLeftCell="E67" activePane="bottomRight" state="frozen"/>
      <selection pane="topRight" activeCell="E1" sqref="E1"/>
      <selection pane="bottomLeft" activeCell="A7" sqref="A7"/>
      <selection pane="bottomRight" activeCell="B2" sqref="B2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63</v>
      </c>
    </row>
    <row r="5" spans="1:26" s="6" customFormat="1">
      <c r="A5" s="6" t="s">
        <v>22</v>
      </c>
      <c r="B5" s="7"/>
      <c r="C5" s="6">
        <f>SUM(C12:C105)</f>
        <v>12</v>
      </c>
      <c r="D5" s="6">
        <f>SUM(D12:D105)</f>
        <v>9</v>
      </c>
      <c r="G5" s="6">
        <f>SUM(G12:G105)</f>
        <v>1</v>
      </c>
      <c r="H5" s="6">
        <f t="shared" ref="H5:Z5" si="0">SUM(H12:H105)</f>
        <v>4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6</v>
      </c>
      <c r="O5" s="6">
        <f t="shared" si="0"/>
        <v>0</v>
      </c>
      <c r="P5" s="6">
        <f t="shared" si="0"/>
        <v>2</v>
      </c>
      <c r="Q5" s="6">
        <f t="shared" si="0"/>
        <v>2</v>
      </c>
      <c r="R5" s="6">
        <f t="shared" si="0"/>
        <v>304.3</v>
      </c>
      <c r="S5" s="6">
        <f t="shared" si="0"/>
        <v>141.80000000000001</v>
      </c>
      <c r="T5" s="6">
        <f t="shared" si="0"/>
        <v>216.60000000000002</v>
      </c>
      <c r="U5" s="6">
        <f t="shared" si="0"/>
        <v>23.2</v>
      </c>
      <c r="V5" s="9">
        <f t="shared" si="0"/>
        <v>4057.93</v>
      </c>
      <c r="W5" s="9">
        <f t="shared" si="0"/>
        <v>3997.8500000000004</v>
      </c>
      <c r="X5" s="9">
        <f t="shared" si="0"/>
        <v>42262.16</v>
      </c>
      <c r="Y5" s="9">
        <f t="shared" si="0"/>
        <v>50317.94</v>
      </c>
      <c r="Z5" s="9">
        <f t="shared" si="0"/>
        <v>46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0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0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0</v>
      </c>
      <c r="E68" s="1">
        <f t="shared" si="5"/>
        <v>1</v>
      </c>
      <c r="F68" s="1">
        <f t="shared" si="2"/>
        <v>1</v>
      </c>
      <c r="R68" s="1">
        <v>15.8</v>
      </c>
      <c r="S68" s="1">
        <v>2.2999999999999998</v>
      </c>
      <c r="V68" s="8">
        <f>R68*(1+S68)*原始运算表格!$P$2*原始运算表格!$Q$2</f>
        <v>52.14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52.14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0</v>
      </c>
      <c r="E69" s="1">
        <f t="shared" si="5"/>
        <v>2</v>
      </c>
      <c r="F69" s="1">
        <f t="shared" si="2"/>
        <v>2</v>
      </c>
      <c r="R69" s="1">
        <v>20.8</v>
      </c>
      <c r="S69" s="1">
        <v>7.9</v>
      </c>
      <c r="V69" s="8">
        <f>R69*(1+S69)*原始运算表格!$P$2*原始运算表格!$Q$2</f>
        <v>185.12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185.12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3</v>
      </c>
      <c r="F70" s="1">
        <f t="shared" si="2"/>
        <v>3</v>
      </c>
      <c r="H70" s="1">
        <v>1</v>
      </c>
      <c r="N70" s="1">
        <v>1</v>
      </c>
      <c r="R70" s="1">
        <v>26.2</v>
      </c>
      <c r="S70" s="1">
        <v>16.100000000000001</v>
      </c>
      <c r="T70" s="1">
        <v>16.600000000000001</v>
      </c>
      <c r="U70" s="1">
        <v>0.3</v>
      </c>
      <c r="V70" s="8">
        <f>R70*(1+S70)*原始运算表格!$P$2*原始运算表格!$Q$2</f>
        <v>448.02000000000004</v>
      </c>
      <c r="W70" s="8">
        <f>T70*(1+U70)*原始运算表格!$R$2*原始运算表格!$S$2</f>
        <v>107.9</v>
      </c>
      <c r="X70" s="8">
        <f t="shared" si="7"/>
        <v>1667.7600000000002</v>
      </c>
      <c r="Y70" s="8">
        <f t="shared" si="8"/>
        <v>2223.6800000000003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3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4</v>
      </c>
      <c r="F71" s="1">
        <f t="shared" ref="F71:F79" si="9">C71*E71</f>
        <v>4</v>
      </c>
      <c r="H71" s="1">
        <v>1</v>
      </c>
      <c r="N71" s="1">
        <v>1</v>
      </c>
      <c r="R71" s="1">
        <v>23.6</v>
      </c>
      <c r="S71" s="1">
        <v>12</v>
      </c>
      <c r="T71" s="1">
        <v>24.1</v>
      </c>
      <c r="U71" s="1">
        <v>3.3</v>
      </c>
      <c r="V71" s="8">
        <f>R71*(1+S71)*原始运算表格!$P$2*原始运算表格!$Q$2</f>
        <v>306.8</v>
      </c>
      <c r="W71" s="8">
        <f>T71*(1+U71)*原始运算表格!$R$2*原始运算表格!$S$2</f>
        <v>518.15</v>
      </c>
      <c r="X71" s="8">
        <f t="shared" si="7"/>
        <v>2474.85</v>
      </c>
      <c r="Y71" s="8">
        <f t="shared" si="8"/>
        <v>3299.8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3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5</v>
      </c>
      <c r="F72" s="1">
        <f t="shared" si="9"/>
        <v>5</v>
      </c>
      <c r="H72" s="1">
        <v>1</v>
      </c>
      <c r="N72" s="1">
        <v>1</v>
      </c>
      <c r="R72" s="1">
        <v>26.2</v>
      </c>
      <c r="S72" s="1">
        <v>12.2</v>
      </c>
      <c r="T72" s="1">
        <v>27.5</v>
      </c>
      <c r="U72" s="1">
        <v>4</v>
      </c>
      <c r="V72" s="8">
        <f>R72*(1+S72)*原始运算表格!$P$2*原始运算表格!$Q$2</f>
        <v>345.84</v>
      </c>
      <c r="W72" s="8">
        <f>T72*(1+U72)*原始运算表格!$R$2*原始运算表格!$S$2</f>
        <v>687.5</v>
      </c>
      <c r="X72" s="8">
        <f t="shared" si="7"/>
        <v>3100.0199999999995</v>
      </c>
      <c r="Y72" s="8">
        <f t="shared" si="8"/>
        <v>4133.3599999999997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3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6</v>
      </c>
      <c r="F73" s="1">
        <f t="shared" si="9"/>
        <v>6</v>
      </c>
      <c r="N73" s="1">
        <v>1</v>
      </c>
      <c r="R73" s="1">
        <v>28.3</v>
      </c>
      <c r="S73" s="1">
        <v>18.899999999999999</v>
      </c>
      <c r="T73" s="1">
        <v>26</v>
      </c>
      <c r="U73" s="1">
        <v>2.1</v>
      </c>
      <c r="V73" s="8">
        <f>R73*(1+S73)*原始运算表格!$P$2*原始运算表格!$Q$2</f>
        <v>563.16999999999996</v>
      </c>
      <c r="W73" s="8">
        <f>T73*(1+U73)*原始运算表格!$R$2*原始运算表格!$S$2</f>
        <v>403.00000000000006</v>
      </c>
      <c r="X73" s="8">
        <f t="shared" si="7"/>
        <v>966.17000000000019</v>
      </c>
      <c r="Y73" s="8">
        <f t="shared" si="8"/>
        <v>1932.3400000000001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1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7</v>
      </c>
      <c r="F74" s="1">
        <f t="shared" si="9"/>
        <v>7</v>
      </c>
      <c r="G74" s="1">
        <v>1</v>
      </c>
      <c r="H74" s="1">
        <v>1</v>
      </c>
      <c r="N74" s="1">
        <v>1</v>
      </c>
      <c r="R74" s="1">
        <v>29.8</v>
      </c>
      <c r="S74" s="1">
        <v>19.2</v>
      </c>
      <c r="T74" s="1">
        <v>22.6</v>
      </c>
      <c r="U74" s="1">
        <v>2.5</v>
      </c>
      <c r="V74" s="8">
        <f>R74*(1+S74)*原始运算表格!$P$2*原始运算表格!$Q$2</f>
        <v>601.96</v>
      </c>
      <c r="W74" s="8">
        <f>T74*(1+U74)*原始运算表格!$R$2*原始运算表格!$S$2</f>
        <v>395.50000000000006</v>
      </c>
      <c r="X74" s="8">
        <f t="shared" si="7"/>
        <v>10972.060000000001</v>
      </c>
      <c r="Y74" s="8">
        <f t="shared" si="8"/>
        <v>11969.52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11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0</v>
      </c>
      <c r="E75" s="1">
        <f t="shared" si="10"/>
        <v>8</v>
      </c>
      <c r="F75" s="1">
        <f t="shared" si="9"/>
        <v>8</v>
      </c>
      <c r="R75" s="1">
        <v>27.6</v>
      </c>
      <c r="S75" s="1">
        <v>4.8</v>
      </c>
      <c r="V75" s="8">
        <f>R75*(1+S75)*原始运算表格!$P$2*原始运算表格!$Q$2</f>
        <v>160.08000000000001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160.08000000000001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9</v>
      </c>
      <c r="F76" s="1">
        <f t="shared" si="9"/>
        <v>9</v>
      </c>
      <c r="R76" s="1">
        <v>28.2</v>
      </c>
      <c r="S76" s="1">
        <v>14.5</v>
      </c>
      <c r="T76" s="1">
        <v>20.3</v>
      </c>
      <c r="U76" s="1">
        <v>2</v>
      </c>
      <c r="V76" s="8">
        <f>R76*(1+S76)*原始运算表格!$P$2*原始运算表格!$Q$2</f>
        <v>437.09999999999997</v>
      </c>
      <c r="W76" s="8">
        <f>T76*(1+U76)*原始运算表格!$R$2*原始运算表格!$S$2</f>
        <v>304.5</v>
      </c>
      <c r="X76" s="8">
        <f t="shared" si="7"/>
        <v>0</v>
      </c>
      <c r="Y76" s="8">
        <f t="shared" si="8"/>
        <v>741.59999999999991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10</v>
      </c>
      <c r="F77" s="1">
        <f t="shared" si="9"/>
        <v>10</v>
      </c>
      <c r="P77" s="1">
        <v>1</v>
      </c>
      <c r="Q77" s="1">
        <v>1</v>
      </c>
      <c r="R77" s="1">
        <v>27.6</v>
      </c>
      <c r="S77" s="1">
        <v>12</v>
      </c>
      <c r="T77" s="1">
        <v>27.5</v>
      </c>
      <c r="U77" s="1">
        <v>3.1</v>
      </c>
      <c r="V77" s="8">
        <f>R77*(1+S77)*原始运算表格!$P$2*原始运算表格!$Q$2</f>
        <v>358.8</v>
      </c>
      <c r="W77" s="8">
        <f>T77*(1+U77)*原始运算表格!$R$2*原始运算表格!$S$2</f>
        <v>563.74999999999989</v>
      </c>
      <c r="X77" s="8">
        <f t="shared" si="7"/>
        <v>11070.6</v>
      </c>
      <c r="Y77" s="8">
        <f t="shared" si="8"/>
        <v>11993.15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12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11</v>
      </c>
      <c r="F78" s="1">
        <f t="shared" si="9"/>
        <v>11</v>
      </c>
      <c r="N78" s="1">
        <v>1</v>
      </c>
      <c r="P78" s="1">
        <v>1</v>
      </c>
      <c r="Q78" s="1">
        <v>1</v>
      </c>
      <c r="R78" s="1">
        <v>26</v>
      </c>
      <c r="S78" s="1">
        <v>10.4</v>
      </c>
      <c r="T78" s="1">
        <v>25.1</v>
      </c>
      <c r="U78" s="1">
        <v>4</v>
      </c>
      <c r="V78" s="8">
        <f>R78*(1+S78)*原始运算表格!$P$2*原始运算表格!$Q$2</f>
        <v>296.40000000000003</v>
      </c>
      <c r="W78" s="8">
        <f>T78*(1+U78)*原始运算表格!$R$2*原始运算表格!$S$2</f>
        <v>627.5</v>
      </c>
      <c r="X78" s="8">
        <f t="shared" si="7"/>
        <v>12010.700000000003</v>
      </c>
      <c r="Y78" s="8">
        <f t="shared" si="8"/>
        <v>12934.600000000002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13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12</v>
      </c>
      <c r="F79" s="1">
        <f t="shared" si="9"/>
        <v>12</v>
      </c>
      <c r="R79" s="1">
        <v>24.2</v>
      </c>
      <c r="S79" s="1">
        <v>11.5</v>
      </c>
      <c r="T79" s="1">
        <v>26.9</v>
      </c>
      <c r="U79" s="1">
        <v>1.9</v>
      </c>
      <c r="V79" s="8">
        <f>R79*(1+S79)*原始运算表格!$P$2*原始运算表格!$Q$2</f>
        <v>302.5</v>
      </c>
      <c r="W79" s="8">
        <f>T79*(1+U79)*原始运算表格!$R$2*原始运算表格!$S$2</f>
        <v>390.04999999999995</v>
      </c>
      <c r="X79" s="8">
        <f t="shared" si="7"/>
        <v>0</v>
      </c>
      <c r="Y79" s="8">
        <f t="shared" si="8"/>
        <v>692.55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Z79"/>
  <sheetViews>
    <sheetView zoomScale="55" zoomScaleNormal="55" workbookViewId="0">
      <pane ySplit="6" topLeftCell="A7" activePane="bottomLeft" state="frozen"/>
      <selection pane="bottomLeft" activeCell="V1" sqref="V1:Z1048576"/>
    </sheetView>
  </sheetViews>
  <sheetFormatPr defaultColWidth="9.25" defaultRowHeight="15.5" customHeight="1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 ht="15.5" customHeight="1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 ht="15.5" customHeight="1">
      <c r="A2" s="6" t="s">
        <v>3</v>
      </c>
      <c r="B2" s="7" t="s">
        <v>64</v>
      </c>
    </row>
    <row r="5" spans="1:26" s="6" customFormat="1" ht="15.5" customHeight="1">
      <c r="A5" s="6" t="s">
        <v>22</v>
      </c>
      <c r="B5" s="7"/>
      <c r="C5" s="6">
        <f>SUM(C12:C105)</f>
        <v>14</v>
      </c>
      <c r="D5" s="6">
        <f>SUM(D12:D105)</f>
        <v>10</v>
      </c>
      <c r="G5" s="6">
        <f>SUM(G12:G105)</f>
        <v>1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6</v>
      </c>
      <c r="L5" s="6">
        <f t="shared" si="0"/>
        <v>0</v>
      </c>
      <c r="M5" s="6">
        <f t="shared" si="0"/>
        <v>0</v>
      </c>
      <c r="N5" s="6">
        <f t="shared" si="0"/>
        <v>9</v>
      </c>
      <c r="O5" s="6">
        <f t="shared" si="0"/>
        <v>0</v>
      </c>
      <c r="P5" s="6">
        <f t="shared" si="0"/>
        <v>1</v>
      </c>
      <c r="Q5" s="6">
        <f t="shared" si="0"/>
        <v>0</v>
      </c>
      <c r="R5" s="6">
        <f t="shared" si="0"/>
        <v>319.29999999999995</v>
      </c>
      <c r="S5" s="6">
        <f t="shared" si="0"/>
        <v>189.10000000000005</v>
      </c>
      <c r="T5" s="6">
        <f t="shared" si="0"/>
        <v>216.6</v>
      </c>
      <c r="U5" s="6">
        <f t="shared" si="0"/>
        <v>13.6</v>
      </c>
      <c r="V5" s="9">
        <f t="shared" si="0"/>
        <v>4829.17</v>
      </c>
      <c r="W5" s="9">
        <f t="shared" si="0"/>
        <v>2565.6499999999996</v>
      </c>
      <c r="X5" s="9">
        <f t="shared" si="0"/>
        <v>23337.370000000003</v>
      </c>
      <c r="Y5" s="9">
        <f t="shared" si="0"/>
        <v>30732.190000000002</v>
      </c>
      <c r="Z5" s="9">
        <f t="shared" si="0"/>
        <v>33</v>
      </c>
    </row>
    <row r="6" spans="1:26" ht="15.5" customHeight="1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 ht="15.5" customHeight="1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 ht="15.5" customHeight="1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 ht="15.5" customHeight="1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 ht="15.5" customHeight="1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 ht="15.5" customHeight="1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 ht="15.5" customHeight="1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 ht="15.5" customHeight="1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 ht="15.5" customHeight="1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 ht="15.5" customHeight="1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 ht="15.5" customHeight="1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 ht="15.5" customHeight="1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 ht="15.5" customHeight="1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 ht="15.5" customHeight="1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 ht="15.5" customHeight="1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 ht="15.5" customHeight="1">
      <c r="A21" s="1">
        <v>1960</v>
      </c>
      <c r="B21" s="1">
        <f t="shared" si="6"/>
        <v>1961</v>
      </c>
      <c r="C21" s="1">
        <v>1</v>
      </c>
      <c r="D21" s="1">
        <v>0</v>
      </c>
      <c r="E21" s="1">
        <f t="shared" si="5"/>
        <v>1</v>
      </c>
      <c r="F21" s="1">
        <f t="shared" si="2"/>
        <v>1</v>
      </c>
      <c r="K21" s="1">
        <v>1</v>
      </c>
      <c r="N21" s="1">
        <v>1</v>
      </c>
      <c r="R21" s="1">
        <v>25.9</v>
      </c>
      <c r="S21" s="1">
        <v>13.2</v>
      </c>
      <c r="V21" s="8">
        <f>R21*(1+S21)*原始运算表格!$P$2*原始运算表格!$Q$2</f>
        <v>367.78</v>
      </c>
      <c r="W21" s="8">
        <f>T21*(1+U21)*原始运算表格!$R$2*原始运算表格!$S$2</f>
        <v>0</v>
      </c>
      <c r="X21" s="8">
        <f t="shared" si="3"/>
        <v>1103.3399999999999</v>
      </c>
      <c r="Y21" s="8">
        <f t="shared" si="4"/>
        <v>1471.12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3</v>
      </c>
    </row>
    <row r="22" spans="1:26" ht="15.5" customHeight="1">
      <c r="A22" s="1">
        <v>1961</v>
      </c>
      <c r="B22" s="1">
        <f t="shared" si="6"/>
        <v>1962</v>
      </c>
      <c r="C22" s="1">
        <v>1</v>
      </c>
      <c r="D22" s="1">
        <v>1</v>
      </c>
      <c r="E22" s="1">
        <f t="shared" si="5"/>
        <v>2</v>
      </c>
      <c r="F22" s="1">
        <f t="shared" si="2"/>
        <v>2</v>
      </c>
      <c r="K22" s="1">
        <v>1</v>
      </c>
      <c r="N22" s="1">
        <v>1</v>
      </c>
      <c r="R22" s="1">
        <v>26</v>
      </c>
      <c r="S22" s="1">
        <v>15.6</v>
      </c>
      <c r="T22" s="1">
        <v>25.6</v>
      </c>
      <c r="U22" s="1">
        <v>0.8</v>
      </c>
      <c r="V22" s="8">
        <f>R22*(1+S22)*原始运算表格!$P$2*原始运算表格!$Q$2</f>
        <v>431.6</v>
      </c>
      <c r="W22" s="8">
        <f>T22*(1+U22)*原始运算表格!$R$2*原始运算表格!$S$2</f>
        <v>230.40000000000003</v>
      </c>
      <c r="X22" s="8">
        <f t="shared" si="3"/>
        <v>1986</v>
      </c>
      <c r="Y22" s="8">
        <f t="shared" si="4"/>
        <v>2648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3</v>
      </c>
    </row>
    <row r="23" spans="1:26" ht="15.5" customHeight="1">
      <c r="A23" s="1">
        <v>1962</v>
      </c>
      <c r="B23" s="1">
        <f t="shared" si="6"/>
        <v>1963</v>
      </c>
      <c r="C23" s="1">
        <v>1</v>
      </c>
      <c r="D23" s="1">
        <v>1</v>
      </c>
      <c r="E23" s="1">
        <f t="shared" si="5"/>
        <v>3</v>
      </c>
      <c r="F23" s="1">
        <f t="shared" si="2"/>
        <v>3</v>
      </c>
      <c r="N23" s="1">
        <v>1</v>
      </c>
      <c r="R23" s="1">
        <v>24.6</v>
      </c>
      <c r="S23" s="1">
        <v>16.8</v>
      </c>
      <c r="T23" s="1">
        <v>24.7</v>
      </c>
      <c r="U23" s="1">
        <v>2.2999999999999998</v>
      </c>
      <c r="V23" s="8">
        <f>R23*(1+S23)*原始运算表格!$P$2*原始运算表格!$Q$2</f>
        <v>437.88000000000005</v>
      </c>
      <c r="W23" s="8">
        <f>T23*(1+U23)*原始运算表格!$R$2*原始运算表格!$S$2</f>
        <v>407.54999999999995</v>
      </c>
      <c r="X23" s="8">
        <f t="shared" si="3"/>
        <v>845.43000000000006</v>
      </c>
      <c r="Y23" s="8">
        <f t="shared" si="4"/>
        <v>1690.8600000000001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1</v>
      </c>
    </row>
    <row r="24" spans="1:26" ht="15.5" customHeight="1">
      <c r="A24" s="1">
        <v>1963</v>
      </c>
      <c r="B24" s="1">
        <f t="shared" si="6"/>
        <v>1964</v>
      </c>
      <c r="C24" s="1">
        <v>1</v>
      </c>
      <c r="D24" s="1">
        <v>1</v>
      </c>
      <c r="E24" s="1">
        <f t="shared" si="5"/>
        <v>4</v>
      </c>
      <c r="F24" s="1">
        <f t="shared" si="2"/>
        <v>4</v>
      </c>
      <c r="G24" s="1">
        <v>1</v>
      </c>
      <c r="K24" s="1">
        <v>1</v>
      </c>
      <c r="N24" s="1">
        <v>1</v>
      </c>
      <c r="R24" s="1">
        <v>27.6</v>
      </c>
      <c r="S24" s="1">
        <v>20.6</v>
      </c>
      <c r="T24" s="1">
        <v>24.7</v>
      </c>
      <c r="U24" s="1">
        <v>2.4</v>
      </c>
      <c r="V24" s="8">
        <f>R24*(1+S24)*原始运算表格!$P$2*原始运算表格!$Q$2</f>
        <v>596.16000000000008</v>
      </c>
      <c r="W24" s="8">
        <f>T24*(1+U24)*原始运算表格!$R$2*原始运算表格!$S$2</f>
        <v>419.9</v>
      </c>
      <c r="X24" s="8">
        <f t="shared" si="3"/>
        <v>11176.660000000002</v>
      </c>
      <c r="Y24" s="8">
        <f t="shared" si="4"/>
        <v>12192.720000000001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11</v>
      </c>
    </row>
    <row r="25" spans="1:26" ht="15.5" customHeight="1">
      <c r="A25" s="1">
        <v>1964</v>
      </c>
      <c r="B25" s="1">
        <f t="shared" si="6"/>
        <v>1965</v>
      </c>
      <c r="C25" s="1">
        <v>1</v>
      </c>
      <c r="D25" s="1">
        <v>1</v>
      </c>
      <c r="E25" s="1">
        <f t="shared" si="5"/>
        <v>5</v>
      </c>
      <c r="F25" s="1">
        <f t="shared" si="2"/>
        <v>5</v>
      </c>
      <c r="K25" s="1">
        <v>1</v>
      </c>
      <c r="N25" s="1">
        <v>1</v>
      </c>
      <c r="R25" s="1">
        <v>26.7</v>
      </c>
      <c r="S25" s="1">
        <v>17</v>
      </c>
      <c r="T25" s="1">
        <v>20.8</v>
      </c>
      <c r="U25" s="1">
        <v>0.5</v>
      </c>
      <c r="V25" s="8">
        <f>R25*(1+S25)*原始运算表格!$P$2*原始运算表格!$Q$2</f>
        <v>480.59999999999997</v>
      </c>
      <c r="W25" s="8">
        <f>T25*(1+U25)*原始运算表格!$R$2*原始运算表格!$S$2</f>
        <v>156</v>
      </c>
      <c r="X25" s="8">
        <f t="shared" si="3"/>
        <v>1909.7999999999997</v>
      </c>
      <c r="Y25" s="8">
        <f t="shared" si="4"/>
        <v>2546.3999999999996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3</v>
      </c>
    </row>
    <row r="26" spans="1:26" ht="15.5" customHeight="1">
      <c r="A26" s="1">
        <v>1965</v>
      </c>
      <c r="B26" s="1">
        <f t="shared" si="6"/>
        <v>1966</v>
      </c>
      <c r="C26" s="1">
        <v>1</v>
      </c>
      <c r="D26" s="1">
        <v>1</v>
      </c>
      <c r="E26" s="1">
        <f t="shared" si="5"/>
        <v>6</v>
      </c>
      <c r="F26" s="1">
        <f t="shared" si="2"/>
        <v>6</v>
      </c>
      <c r="K26" s="1">
        <v>1</v>
      </c>
      <c r="N26" s="1">
        <v>1</v>
      </c>
      <c r="R26" s="1">
        <v>25.2</v>
      </c>
      <c r="S26" s="1">
        <v>16.899999999999999</v>
      </c>
      <c r="T26" s="1">
        <v>24.3</v>
      </c>
      <c r="U26" s="1">
        <v>0.7</v>
      </c>
      <c r="V26" s="8">
        <f>R26*(1+S26)*原始运算表格!$P$2*原始运算表格!$Q$2</f>
        <v>451.07999999999993</v>
      </c>
      <c r="W26" s="8">
        <f>T26*(1+U26)*原始运算表格!$R$2*原始运算表格!$S$2</f>
        <v>206.55</v>
      </c>
      <c r="X26" s="8">
        <f t="shared" si="3"/>
        <v>1972.8899999999994</v>
      </c>
      <c r="Y26" s="8">
        <f t="shared" si="4"/>
        <v>2630.5199999999995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3</v>
      </c>
    </row>
    <row r="27" spans="1:26" ht="15.5" customHeight="1">
      <c r="A27" s="1">
        <v>1966</v>
      </c>
      <c r="B27" s="1">
        <f t="shared" si="6"/>
        <v>1967</v>
      </c>
      <c r="C27" s="1">
        <v>1</v>
      </c>
      <c r="D27" s="1">
        <v>1</v>
      </c>
      <c r="E27" s="1">
        <f t="shared" si="5"/>
        <v>7</v>
      </c>
      <c r="F27" s="1">
        <f t="shared" si="2"/>
        <v>7</v>
      </c>
      <c r="N27" s="1">
        <v>1</v>
      </c>
      <c r="R27" s="1">
        <v>25.5</v>
      </c>
      <c r="S27" s="1">
        <v>17.399999999999999</v>
      </c>
      <c r="T27" s="1">
        <v>22.9</v>
      </c>
      <c r="U27" s="1">
        <v>0.7</v>
      </c>
      <c r="V27" s="8">
        <f>R27*(1+S27)*原始运算表格!$P$2*原始运算表格!$Q$2</f>
        <v>469.2</v>
      </c>
      <c r="W27" s="8">
        <f>T27*(1+U27)*原始运算表格!$R$2*原始运算表格!$S$2</f>
        <v>194.65</v>
      </c>
      <c r="X27" s="8">
        <f t="shared" si="3"/>
        <v>663.84999999999991</v>
      </c>
      <c r="Y27" s="8">
        <f t="shared" si="4"/>
        <v>1327.7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1</v>
      </c>
    </row>
    <row r="28" spans="1:26" ht="15.5" customHeight="1">
      <c r="A28" s="1">
        <v>1967</v>
      </c>
      <c r="B28" s="1">
        <f t="shared" si="6"/>
        <v>1968</v>
      </c>
      <c r="C28" s="1">
        <v>1</v>
      </c>
      <c r="D28" s="1">
        <v>0</v>
      </c>
      <c r="E28" s="1">
        <f t="shared" si="5"/>
        <v>8</v>
      </c>
      <c r="F28" s="1">
        <f t="shared" si="2"/>
        <v>8</v>
      </c>
      <c r="N28" s="1">
        <v>1</v>
      </c>
      <c r="R28" s="1">
        <v>24.6</v>
      </c>
      <c r="S28" s="1">
        <v>12.3</v>
      </c>
      <c r="V28" s="8">
        <f>R28*(1+S28)*原始运算表格!$P$2*原始运算表格!$Q$2</f>
        <v>327.18000000000006</v>
      </c>
      <c r="W28" s="8">
        <f>T28*(1+U28)*原始运算表格!$R$2*原始运算表格!$S$2</f>
        <v>0</v>
      </c>
      <c r="X28" s="8">
        <f t="shared" si="3"/>
        <v>327.18000000000006</v>
      </c>
      <c r="Y28" s="8">
        <f t="shared" si="4"/>
        <v>654.36000000000013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1</v>
      </c>
    </row>
    <row r="29" spans="1:26" ht="15.5" customHeight="1">
      <c r="A29" s="1">
        <v>1968</v>
      </c>
      <c r="B29" s="1">
        <f t="shared" si="6"/>
        <v>1969</v>
      </c>
      <c r="C29" s="1">
        <v>1</v>
      </c>
      <c r="D29" s="1">
        <v>0</v>
      </c>
      <c r="E29" s="1">
        <f t="shared" si="5"/>
        <v>9</v>
      </c>
      <c r="F29" s="1">
        <f t="shared" si="2"/>
        <v>9</v>
      </c>
      <c r="K29" s="1">
        <v>1</v>
      </c>
      <c r="N29" s="1">
        <v>1</v>
      </c>
      <c r="R29" s="1">
        <v>21.8</v>
      </c>
      <c r="S29" s="1">
        <v>12.9</v>
      </c>
      <c r="V29" s="8">
        <f>R29*(1+S29)*原始运算表格!$P$2*原始运算表格!$Q$2</f>
        <v>303.02000000000004</v>
      </c>
      <c r="W29" s="8">
        <f>T29*(1+U29)*原始运算表格!$R$2*原始运算表格!$S$2</f>
        <v>0</v>
      </c>
      <c r="X29" s="8">
        <f t="shared" si="3"/>
        <v>909.06000000000017</v>
      </c>
      <c r="Y29" s="8">
        <f t="shared" si="4"/>
        <v>1212.0800000000002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3</v>
      </c>
    </row>
    <row r="30" spans="1:26" ht="15.5" customHeight="1">
      <c r="A30" s="1">
        <v>1969</v>
      </c>
      <c r="B30" s="1">
        <f t="shared" si="6"/>
        <v>1970</v>
      </c>
      <c r="C30" s="1">
        <v>1</v>
      </c>
      <c r="D30" s="1">
        <v>0</v>
      </c>
      <c r="E30" s="1">
        <f t="shared" si="5"/>
        <v>10</v>
      </c>
      <c r="F30" s="1">
        <f t="shared" si="2"/>
        <v>10</v>
      </c>
      <c r="R30" s="1">
        <v>21.5</v>
      </c>
      <c r="S30" s="1">
        <v>11.4</v>
      </c>
      <c r="V30" s="8">
        <f>R30*(1+S30)*原始运算表格!$P$2*原始运算表格!$Q$2</f>
        <v>266.60000000000002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266.60000000000002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 ht="15.5" customHeight="1">
      <c r="A31" s="1">
        <v>1970</v>
      </c>
      <c r="B31" s="1">
        <f t="shared" si="6"/>
        <v>1971</v>
      </c>
      <c r="C31" s="1">
        <v>1</v>
      </c>
      <c r="D31" s="1">
        <v>1</v>
      </c>
      <c r="E31" s="1">
        <f t="shared" si="5"/>
        <v>11</v>
      </c>
      <c r="F31" s="1">
        <f t="shared" si="2"/>
        <v>11</v>
      </c>
      <c r="P31" s="1">
        <v>1</v>
      </c>
      <c r="R31" s="1">
        <v>19.600000000000001</v>
      </c>
      <c r="S31" s="1">
        <v>12.4</v>
      </c>
      <c r="T31" s="1">
        <v>21.1</v>
      </c>
      <c r="U31" s="1">
        <v>2.2999999999999998</v>
      </c>
      <c r="V31" s="8">
        <f>R31*(1+S31)*原始运算表格!$P$2*原始运算表格!$Q$2</f>
        <v>262.64000000000004</v>
      </c>
      <c r="W31" s="8">
        <f>T31*(1+U31)*原始运算表格!$R$2*原始运算表格!$S$2</f>
        <v>348.15</v>
      </c>
      <c r="X31" s="8">
        <f t="shared" si="3"/>
        <v>2443.16</v>
      </c>
      <c r="Y31" s="8">
        <f t="shared" si="4"/>
        <v>3053.95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4</v>
      </c>
    </row>
    <row r="32" spans="1:26" ht="15.5" customHeight="1">
      <c r="A32" s="1">
        <v>1971</v>
      </c>
      <c r="B32" s="1">
        <f t="shared" si="6"/>
        <v>1972</v>
      </c>
      <c r="C32" s="1">
        <v>1</v>
      </c>
      <c r="D32" s="1">
        <v>1</v>
      </c>
      <c r="E32" s="1">
        <f t="shared" si="5"/>
        <v>12</v>
      </c>
      <c r="F32" s="1">
        <f t="shared" si="2"/>
        <v>12</v>
      </c>
      <c r="R32" s="1">
        <v>18.899999999999999</v>
      </c>
      <c r="S32" s="1">
        <v>8.3000000000000007</v>
      </c>
      <c r="T32" s="1">
        <v>16.399999999999999</v>
      </c>
      <c r="U32" s="1">
        <v>1.1000000000000001</v>
      </c>
      <c r="V32" s="8">
        <f>R32*(1+S32)*原始运算表格!$P$2*原始运算表格!$Q$2</f>
        <v>175.77</v>
      </c>
      <c r="W32" s="8">
        <f>T32*(1+U32)*原始运算表格!$R$2*原始运算表格!$S$2</f>
        <v>172.2</v>
      </c>
      <c r="X32" s="8">
        <f t="shared" si="3"/>
        <v>0</v>
      </c>
      <c r="Y32" s="8">
        <f t="shared" si="4"/>
        <v>347.97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 ht="15.5" customHeight="1">
      <c r="A33" s="1">
        <v>1972</v>
      </c>
      <c r="B33" s="1">
        <f t="shared" si="6"/>
        <v>1973</v>
      </c>
      <c r="C33" s="1">
        <v>1</v>
      </c>
      <c r="D33" s="1">
        <v>1</v>
      </c>
      <c r="E33" s="1">
        <f t="shared" si="5"/>
        <v>13</v>
      </c>
      <c r="F33" s="1">
        <f t="shared" si="2"/>
        <v>13</v>
      </c>
      <c r="R33" s="1">
        <v>17.2</v>
      </c>
      <c r="S33" s="1">
        <v>8.4</v>
      </c>
      <c r="T33" s="1">
        <v>21</v>
      </c>
      <c r="U33" s="1">
        <v>1.3</v>
      </c>
      <c r="V33" s="8">
        <f>R33*(1+S33)*原始运算表格!$P$2*原始运算表格!$Q$2</f>
        <v>161.68</v>
      </c>
      <c r="W33" s="8">
        <f>T33*(1+U33)*原始运算表格!$R$2*原始运算表格!$S$2</f>
        <v>241.5</v>
      </c>
      <c r="X33" s="8">
        <f t="shared" si="3"/>
        <v>0</v>
      </c>
      <c r="Y33" s="8">
        <f t="shared" si="4"/>
        <v>403.18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 ht="15.5" customHeight="1">
      <c r="A34" s="1">
        <v>1973</v>
      </c>
      <c r="B34" s="1">
        <f t="shared" si="6"/>
        <v>1974</v>
      </c>
      <c r="C34" s="1">
        <v>1</v>
      </c>
      <c r="D34" s="1">
        <v>1</v>
      </c>
      <c r="E34" s="1">
        <f t="shared" si="5"/>
        <v>14</v>
      </c>
      <c r="F34" s="1">
        <f t="shared" si="2"/>
        <v>14</v>
      </c>
      <c r="R34" s="1">
        <v>14.2</v>
      </c>
      <c r="S34" s="1">
        <v>5.9</v>
      </c>
      <c r="T34" s="1">
        <v>15.1</v>
      </c>
      <c r="U34" s="1">
        <v>1.5</v>
      </c>
      <c r="V34" s="8">
        <f>R34*(1+S34)*原始运算表格!$P$2*原始运算表格!$Q$2</f>
        <v>97.98</v>
      </c>
      <c r="W34" s="8">
        <f>T34*(1+U34)*原始运算表格!$R$2*原始运算表格!$S$2</f>
        <v>188.75</v>
      </c>
      <c r="X34" s="8">
        <f t="shared" si="3"/>
        <v>0</v>
      </c>
      <c r="Y34" s="8">
        <f t="shared" si="4"/>
        <v>286.73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 ht="15.5" customHeight="1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14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 ht="15.5" customHeight="1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14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 ht="15.5" customHeight="1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14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 ht="15.5" customHeight="1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14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 ht="15.5" customHeight="1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14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 ht="15.5" customHeight="1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14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 ht="15.5" customHeight="1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14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 ht="15.5" customHeight="1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14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 ht="15.5" customHeight="1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14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 ht="15.5" customHeight="1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14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 ht="15.5" customHeight="1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14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 ht="15.5" customHeight="1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14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 ht="15.5" customHeight="1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14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 ht="15.5" customHeight="1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14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 ht="15.5" customHeight="1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14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 ht="15.5" customHeight="1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14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 ht="15.5" customHeight="1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14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 ht="15.5" customHeight="1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14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 ht="15.5" customHeight="1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14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 ht="15.5" customHeight="1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14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 ht="15.5" customHeight="1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14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 ht="15.5" customHeight="1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14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 ht="15.5" customHeight="1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14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 ht="15.5" customHeight="1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14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 ht="15.5" customHeight="1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14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 ht="15.5" customHeight="1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14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 ht="15.5" customHeight="1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14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 ht="15.5" customHeight="1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14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 ht="15.5" customHeight="1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14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 ht="15.5" customHeight="1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14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 ht="15.5" customHeight="1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14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 ht="15.5" customHeight="1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14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 ht="15.5" customHeight="1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14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 ht="15.5" customHeight="1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14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 ht="15.5" customHeight="1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14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 ht="15.5" customHeight="1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14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 ht="15.5" customHeight="1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14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 ht="15.5" customHeight="1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14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 ht="15.5" customHeight="1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14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 ht="15.5" customHeight="1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14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 ht="15.5" customHeight="1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14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 ht="15.5" customHeight="1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14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 ht="15.5" customHeight="1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14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 ht="15.5" customHeight="1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14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 ht="15.5" customHeight="1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14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Z79"/>
  <sheetViews>
    <sheetView zoomScale="55" zoomScaleNormal="55" workbookViewId="0">
      <pane ySplit="6" topLeftCell="A49" activePane="bottomLeft" state="frozen"/>
      <selection pane="bottomLef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65</v>
      </c>
    </row>
    <row r="5" spans="1:26" s="6" customFormat="1">
      <c r="A5" s="6" t="s">
        <v>22</v>
      </c>
      <c r="B5" s="7"/>
      <c r="C5" s="6">
        <f>SUM(C12:C105)</f>
        <v>14</v>
      </c>
      <c r="D5" s="6">
        <f>SUM(D12:D105)</f>
        <v>12</v>
      </c>
      <c r="G5" s="6">
        <f>SUM(G12:G105)</f>
        <v>1</v>
      </c>
      <c r="H5" s="6">
        <f t="shared" ref="H5:Z5" si="0">SUM(H12:H105)</f>
        <v>1</v>
      </c>
      <c r="I5" s="6">
        <f t="shared" si="0"/>
        <v>0</v>
      </c>
      <c r="J5" s="6">
        <f t="shared" si="0"/>
        <v>1</v>
      </c>
      <c r="K5" s="6">
        <f t="shared" si="0"/>
        <v>0</v>
      </c>
      <c r="L5" s="6">
        <f t="shared" si="0"/>
        <v>0</v>
      </c>
      <c r="M5" s="6">
        <f t="shared" si="0"/>
        <v>1</v>
      </c>
      <c r="N5" s="6">
        <f t="shared" si="0"/>
        <v>4</v>
      </c>
      <c r="O5" s="6">
        <f t="shared" si="0"/>
        <v>4</v>
      </c>
      <c r="P5" s="6">
        <f t="shared" si="0"/>
        <v>2</v>
      </c>
      <c r="Q5" s="6">
        <f t="shared" si="0"/>
        <v>0</v>
      </c>
      <c r="R5" s="6">
        <f t="shared" si="0"/>
        <v>364.70000000000005</v>
      </c>
      <c r="S5" s="6">
        <f t="shared" si="0"/>
        <v>178.79999999999998</v>
      </c>
      <c r="T5" s="6">
        <f t="shared" si="0"/>
        <v>273.59999999999997</v>
      </c>
      <c r="U5" s="6">
        <f t="shared" si="0"/>
        <v>17.5</v>
      </c>
      <c r="V5" s="9">
        <f t="shared" si="0"/>
        <v>5116.1099999999997</v>
      </c>
      <c r="W5" s="9">
        <f t="shared" si="0"/>
        <v>3399.8999999999996</v>
      </c>
      <c r="X5" s="9">
        <f t="shared" si="0"/>
        <v>21597.579999999994</v>
      </c>
      <c r="Y5" s="9">
        <f t="shared" si="0"/>
        <v>30113.59</v>
      </c>
      <c r="Z5" s="9">
        <f t="shared" si="0"/>
        <v>30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1</v>
      </c>
      <c r="D50" s="1">
        <v>1</v>
      </c>
      <c r="E50" s="1">
        <f t="shared" si="5"/>
        <v>1</v>
      </c>
      <c r="F50" s="1">
        <f t="shared" si="2"/>
        <v>1</v>
      </c>
      <c r="R50" s="1">
        <v>26.3</v>
      </c>
      <c r="S50" s="1">
        <v>15.1</v>
      </c>
      <c r="T50" s="1">
        <v>24.4</v>
      </c>
      <c r="U50" s="1">
        <v>1.7</v>
      </c>
      <c r="V50" s="8">
        <f>R50*(1+S50)*原始运算表格!$P$2*原始运算表格!$Q$2</f>
        <v>423.43000000000006</v>
      </c>
      <c r="W50" s="8">
        <f>T50*(1+U50)*原始运算表格!$R$2*原始运算表格!$S$2</f>
        <v>329.4</v>
      </c>
      <c r="X50" s="8">
        <f t="shared" si="7"/>
        <v>0</v>
      </c>
      <c r="Y50" s="8">
        <f t="shared" si="8"/>
        <v>752.83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1</v>
      </c>
      <c r="D51" s="1">
        <v>1</v>
      </c>
      <c r="E51" s="1">
        <f t="shared" si="5"/>
        <v>2</v>
      </c>
      <c r="F51" s="1">
        <f t="shared" si="2"/>
        <v>2</v>
      </c>
      <c r="J51" s="1">
        <v>1</v>
      </c>
      <c r="N51" s="1">
        <v>1</v>
      </c>
      <c r="O51" s="1">
        <v>1</v>
      </c>
      <c r="R51" s="1">
        <v>27.4</v>
      </c>
      <c r="S51" s="1">
        <v>17</v>
      </c>
      <c r="T51" s="1">
        <v>26.1</v>
      </c>
      <c r="U51" s="1">
        <v>0.8</v>
      </c>
      <c r="V51" s="8">
        <f>R51*(1+S51)*原始运算表格!$P$2*原始运算表格!$Q$2</f>
        <v>493.2</v>
      </c>
      <c r="W51" s="8">
        <f>T51*(1+U51)*原始运算表格!$R$2*原始运算表格!$S$2</f>
        <v>234.90000000000003</v>
      </c>
      <c r="X51" s="8">
        <f t="shared" si="7"/>
        <v>2912.4</v>
      </c>
      <c r="Y51" s="8">
        <f t="shared" si="8"/>
        <v>3640.5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4</v>
      </c>
    </row>
    <row r="52" spans="1:26">
      <c r="A52" s="1">
        <v>1991</v>
      </c>
      <c r="B52" s="1">
        <f t="shared" si="6"/>
        <v>1992</v>
      </c>
      <c r="C52" s="1">
        <v>1</v>
      </c>
      <c r="D52" s="1">
        <v>0</v>
      </c>
      <c r="E52" s="1">
        <f t="shared" si="5"/>
        <v>3</v>
      </c>
      <c r="F52" s="1">
        <f t="shared" si="2"/>
        <v>3</v>
      </c>
      <c r="M52" s="1">
        <v>1</v>
      </c>
      <c r="N52" s="1">
        <v>1</v>
      </c>
      <c r="O52" s="1">
        <v>1</v>
      </c>
      <c r="R52" s="1">
        <v>27.5</v>
      </c>
      <c r="S52" s="1">
        <v>13.9</v>
      </c>
      <c r="V52" s="8">
        <f>R52*(1+S52)*原始运算表格!$P$2*原始运算表格!$Q$2</f>
        <v>409.75</v>
      </c>
      <c r="W52" s="8">
        <f>T52*(1+U52)*原始运算表格!$R$2*原始运算表格!$S$2</f>
        <v>0</v>
      </c>
      <c r="X52" s="8">
        <f t="shared" si="7"/>
        <v>1639</v>
      </c>
      <c r="Y52" s="8">
        <f t="shared" si="8"/>
        <v>2048.75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4</v>
      </c>
    </row>
    <row r="53" spans="1:26">
      <c r="A53" s="1">
        <v>1992</v>
      </c>
      <c r="B53" s="1">
        <f t="shared" si="6"/>
        <v>1993</v>
      </c>
      <c r="C53" s="1">
        <v>1</v>
      </c>
      <c r="D53" s="1">
        <v>1</v>
      </c>
      <c r="E53" s="1">
        <f t="shared" si="5"/>
        <v>4</v>
      </c>
      <c r="F53" s="1">
        <f t="shared" si="2"/>
        <v>4</v>
      </c>
      <c r="R53" s="1">
        <v>24.2</v>
      </c>
      <c r="S53" s="1">
        <v>13.2</v>
      </c>
      <c r="T53" s="1">
        <v>21.6</v>
      </c>
      <c r="U53" s="1">
        <v>1.5</v>
      </c>
      <c r="V53" s="8">
        <f>R53*(1+S53)*原始运算表格!$P$2*原始运算表格!$Q$2</f>
        <v>343.64</v>
      </c>
      <c r="W53" s="8">
        <f>T53*(1+U53)*原始运算表格!$R$2*原始运算表格!$S$2</f>
        <v>270</v>
      </c>
      <c r="X53" s="8">
        <f t="shared" si="7"/>
        <v>0</v>
      </c>
      <c r="Y53" s="8">
        <f t="shared" si="8"/>
        <v>613.64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1</v>
      </c>
      <c r="D54" s="1">
        <v>1</v>
      </c>
      <c r="E54" s="1">
        <f t="shared" si="5"/>
        <v>5</v>
      </c>
      <c r="F54" s="1">
        <f t="shared" si="2"/>
        <v>5</v>
      </c>
      <c r="H54" s="1">
        <v>1</v>
      </c>
      <c r="R54" s="1">
        <v>30.7</v>
      </c>
      <c r="S54" s="1">
        <v>20</v>
      </c>
      <c r="T54" s="1">
        <v>22</v>
      </c>
      <c r="U54" s="1">
        <v>0.3</v>
      </c>
      <c r="V54" s="8">
        <f>R54*(1+S54)*原始运算表格!$P$2*原始运算表格!$Q$2</f>
        <v>644.69999999999993</v>
      </c>
      <c r="W54" s="8">
        <f>T54*(1+U54)*原始运算表格!$R$2*原始运算表格!$S$2</f>
        <v>143</v>
      </c>
      <c r="X54" s="8">
        <f t="shared" si="7"/>
        <v>1575.4</v>
      </c>
      <c r="Y54" s="8">
        <f t="shared" si="8"/>
        <v>2363.1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2</v>
      </c>
    </row>
    <row r="55" spans="1:26">
      <c r="A55" s="1">
        <v>1994</v>
      </c>
      <c r="B55" s="1">
        <f t="shared" si="6"/>
        <v>1995</v>
      </c>
      <c r="C55" s="1">
        <v>1</v>
      </c>
      <c r="D55" s="1">
        <v>1</v>
      </c>
      <c r="E55" s="1">
        <f t="shared" si="5"/>
        <v>6</v>
      </c>
      <c r="F55" s="1">
        <f t="shared" si="2"/>
        <v>6</v>
      </c>
      <c r="G55" s="1">
        <v>1</v>
      </c>
      <c r="N55" s="1">
        <v>1</v>
      </c>
      <c r="O55" s="1">
        <v>1</v>
      </c>
      <c r="R55" s="1">
        <v>29.1</v>
      </c>
      <c r="S55" s="1">
        <v>17.5</v>
      </c>
      <c r="T55" s="1">
        <v>22.6</v>
      </c>
      <c r="U55" s="1">
        <v>2.2999999999999998</v>
      </c>
      <c r="V55" s="8">
        <f>R55*(1+S55)*原始运算表格!$P$2*原始运算表格!$Q$2</f>
        <v>538.35</v>
      </c>
      <c r="W55" s="8">
        <f>T55*(1+U55)*原始运算表格!$R$2*原始运算表格!$S$2</f>
        <v>372.9</v>
      </c>
      <c r="X55" s="8">
        <f t="shared" si="7"/>
        <v>9112.5</v>
      </c>
      <c r="Y55" s="8">
        <f t="shared" si="8"/>
        <v>10023.75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10</v>
      </c>
    </row>
    <row r="56" spans="1:26">
      <c r="A56" s="1">
        <v>1995</v>
      </c>
      <c r="B56" s="1">
        <f t="shared" si="6"/>
        <v>1996</v>
      </c>
      <c r="C56" s="1">
        <v>1</v>
      </c>
      <c r="D56" s="1">
        <v>1</v>
      </c>
      <c r="E56" s="1">
        <f t="shared" si="5"/>
        <v>7</v>
      </c>
      <c r="F56" s="1">
        <f t="shared" si="2"/>
        <v>7</v>
      </c>
      <c r="N56" s="1">
        <v>1</v>
      </c>
      <c r="O56" s="1">
        <v>1</v>
      </c>
      <c r="R56" s="1">
        <v>29.4</v>
      </c>
      <c r="S56" s="1">
        <v>18.3</v>
      </c>
      <c r="T56" s="1">
        <v>29.1</v>
      </c>
      <c r="U56" s="1">
        <v>1.6</v>
      </c>
      <c r="V56" s="8">
        <f>R56*(1+S56)*原始运算表格!$P$2*原始运算表格!$Q$2</f>
        <v>567.41999999999996</v>
      </c>
      <c r="W56" s="8">
        <f>T56*(1+U56)*原始运算表格!$R$2*原始运算表格!$S$2</f>
        <v>378.30000000000007</v>
      </c>
      <c r="X56" s="8">
        <f t="shared" si="7"/>
        <v>1891.4399999999996</v>
      </c>
      <c r="Y56" s="8">
        <f t="shared" si="8"/>
        <v>2837.16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2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0</v>
      </c>
      <c r="E57" s="1">
        <f t="shared" si="5"/>
        <v>8</v>
      </c>
      <c r="F57" s="1">
        <f t="shared" si="2"/>
        <v>8</v>
      </c>
      <c r="R57" s="1">
        <v>31</v>
      </c>
      <c r="S57" s="1">
        <v>0.7</v>
      </c>
      <c r="V57" s="8">
        <f>R57*(1+S57)*原始运算表格!$P$2*原始运算表格!$Q$2</f>
        <v>52.699999999999996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52.699999999999996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1</v>
      </c>
      <c r="E58" s="1">
        <f t="shared" si="5"/>
        <v>9</v>
      </c>
      <c r="F58" s="1">
        <f t="shared" si="2"/>
        <v>9</v>
      </c>
      <c r="R58" s="1">
        <v>27.8</v>
      </c>
      <c r="S58" s="1">
        <v>13.8</v>
      </c>
      <c r="T58" s="1">
        <v>24.1</v>
      </c>
      <c r="U58" s="1">
        <v>1.3</v>
      </c>
      <c r="V58" s="8">
        <f>R58*(1+S58)*原始运算表格!$P$2*原始运算表格!$Q$2</f>
        <v>411.44000000000005</v>
      </c>
      <c r="W58" s="8">
        <f>T58*(1+U58)*原始运算表格!$R$2*原始运算表格!$S$2</f>
        <v>277.14999999999998</v>
      </c>
      <c r="X58" s="8">
        <f t="shared" si="7"/>
        <v>0</v>
      </c>
      <c r="Y58" s="8">
        <f t="shared" si="8"/>
        <v>688.59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1</v>
      </c>
      <c r="E59" s="1">
        <f t="shared" si="5"/>
        <v>10</v>
      </c>
      <c r="F59" s="1">
        <f t="shared" si="2"/>
        <v>10</v>
      </c>
      <c r="P59" s="1">
        <v>1</v>
      </c>
      <c r="R59" s="1">
        <v>24.9</v>
      </c>
      <c r="S59" s="1">
        <v>8.4</v>
      </c>
      <c r="T59" s="1">
        <v>23.3</v>
      </c>
      <c r="U59" s="1">
        <v>3</v>
      </c>
      <c r="V59" s="8">
        <f>R59*(1+S59)*原始运算表格!$P$2*原始运算表格!$Q$2</f>
        <v>234.06</v>
      </c>
      <c r="W59" s="8">
        <f>T59*(1+U59)*原始运算表格!$R$2*原始运算表格!$S$2</f>
        <v>466</v>
      </c>
      <c r="X59" s="8">
        <f t="shared" si="7"/>
        <v>2800.24</v>
      </c>
      <c r="Y59" s="8">
        <f t="shared" si="8"/>
        <v>3500.2999999999997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4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1</v>
      </c>
      <c r="E60" s="1">
        <f t="shared" si="5"/>
        <v>11</v>
      </c>
      <c r="F60" s="1">
        <f t="shared" si="2"/>
        <v>11</v>
      </c>
      <c r="R60" s="1">
        <v>24.6</v>
      </c>
      <c r="S60" s="1">
        <v>12.7</v>
      </c>
      <c r="T60" s="1">
        <v>25.6</v>
      </c>
      <c r="U60" s="1">
        <v>0.7</v>
      </c>
      <c r="V60" s="8">
        <f>R60*(1+S60)*原始运算表格!$P$2*原始运算表格!$Q$2</f>
        <v>337.02</v>
      </c>
      <c r="W60" s="8">
        <f>T60*(1+U60)*原始运算表格!$R$2*原始运算表格!$S$2</f>
        <v>217.60000000000002</v>
      </c>
      <c r="X60" s="8">
        <f t="shared" si="7"/>
        <v>0</v>
      </c>
      <c r="Y60" s="8">
        <f t="shared" si="8"/>
        <v>554.62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12</v>
      </c>
      <c r="F61" s="1">
        <f t="shared" si="2"/>
        <v>12</v>
      </c>
      <c r="R61" s="1">
        <v>23.7</v>
      </c>
      <c r="S61" s="1">
        <v>12.1</v>
      </c>
      <c r="T61" s="1">
        <v>24.5</v>
      </c>
      <c r="U61" s="1">
        <v>1.8</v>
      </c>
      <c r="V61" s="8">
        <f>R61*(1+S61)*原始运算表格!$P$2*原始运算表格!$Q$2</f>
        <v>310.46999999999997</v>
      </c>
      <c r="W61" s="8">
        <f>T61*(1+U61)*原始运算表格!$R$2*原始运算表格!$S$2</f>
        <v>343</v>
      </c>
      <c r="X61" s="8">
        <f t="shared" si="7"/>
        <v>0</v>
      </c>
      <c r="Y61" s="8">
        <f t="shared" si="8"/>
        <v>653.47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13</v>
      </c>
      <c r="F62" s="1">
        <f t="shared" si="2"/>
        <v>13</v>
      </c>
      <c r="I62" s="2"/>
      <c r="J62" s="2"/>
      <c r="K62" s="2"/>
      <c r="L62" s="2"/>
      <c r="M62" s="2"/>
      <c r="P62" s="2"/>
      <c r="R62" s="1">
        <v>20.3</v>
      </c>
      <c r="S62" s="1">
        <v>10.1</v>
      </c>
      <c r="T62" s="1">
        <v>12.6</v>
      </c>
      <c r="U62" s="1">
        <v>0.2</v>
      </c>
      <c r="V62" s="8">
        <f>R62*(1+S62)*原始运算表格!$P$2*原始运算表格!$Q$2</f>
        <v>225.33</v>
      </c>
      <c r="W62" s="8">
        <f>T62*(1+U62)*原始运算表格!$R$2*原始运算表格!$S$2</f>
        <v>75.599999999999994</v>
      </c>
      <c r="X62" s="8">
        <f t="shared" si="7"/>
        <v>0</v>
      </c>
      <c r="Y62" s="8">
        <f t="shared" si="8"/>
        <v>300.93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14</v>
      </c>
      <c r="F63" s="1">
        <f t="shared" si="2"/>
        <v>14</v>
      </c>
      <c r="I63" s="2"/>
      <c r="J63" s="2"/>
      <c r="K63" s="2"/>
      <c r="L63" s="2"/>
      <c r="M63" s="2"/>
      <c r="P63" s="1">
        <v>1</v>
      </c>
      <c r="R63" s="1">
        <v>17.8</v>
      </c>
      <c r="S63" s="1">
        <v>6</v>
      </c>
      <c r="T63" s="1">
        <v>17.7</v>
      </c>
      <c r="U63" s="1">
        <v>2.2999999999999998</v>
      </c>
      <c r="V63" s="8">
        <f>R63*(1+S63)*原始运算表格!$P$2*原始运算表格!$Q$2</f>
        <v>124.60000000000001</v>
      </c>
      <c r="W63" s="8">
        <f>T63*(1+U63)*原始运算表格!$R$2*原始运算表格!$S$2</f>
        <v>292.04999999999995</v>
      </c>
      <c r="X63" s="8">
        <f t="shared" si="7"/>
        <v>1666.6000000000001</v>
      </c>
      <c r="Y63" s="8">
        <f t="shared" si="8"/>
        <v>2083.25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4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14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14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14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14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14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14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14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14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14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14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14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14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14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14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14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14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Z79"/>
  <sheetViews>
    <sheetView zoomScale="70" zoomScaleNormal="70" workbookViewId="0">
      <pane ySplit="6" topLeftCell="A60" activePane="bottomLeft" state="frozen"/>
      <selection pane="bottomLef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76</v>
      </c>
    </row>
    <row r="5" spans="1:26" s="6" customFormat="1">
      <c r="A5" s="6" t="s">
        <v>22</v>
      </c>
      <c r="B5" s="7"/>
      <c r="C5" s="6">
        <f>SUM(C12:C105)</f>
        <v>21</v>
      </c>
      <c r="D5" s="6">
        <f>SUM(D12:D105)</f>
        <v>14</v>
      </c>
      <c r="G5" s="6">
        <f>SUM(G12:G105)</f>
        <v>1</v>
      </c>
      <c r="H5" s="6">
        <f t="shared" ref="H5:Z5" si="0">SUM(H12:H105)</f>
        <v>0</v>
      </c>
      <c r="I5" s="6">
        <f t="shared" si="0"/>
        <v>1</v>
      </c>
      <c r="J5" s="6">
        <f t="shared" si="0"/>
        <v>4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4</v>
      </c>
      <c r="O5" s="6">
        <f t="shared" si="0"/>
        <v>9</v>
      </c>
      <c r="P5" s="6">
        <f t="shared" si="0"/>
        <v>1</v>
      </c>
      <c r="Q5" s="6">
        <f t="shared" si="0"/>
        <v>0</v>
      </c>
      <c r="R5" s="6">
        <f t="shared" si="0"/>
        <v>484.00000000000006</v>
      </c>
      <c r="S5" s="6">
        <f t="shared" si="0"/>
        <v>193.39999999999998</v>
      </c>
      <c r="T5" s="6">
        <f t="shared" si="0"/>
        <v>292.70000000000005</v>
      </c>
      <c r="U5" s="6">
        <f t="shared" si="0"/>
        <v>16.5</v>
      </c>
      <c r="V5" s="9">
        <f t="shared" si="0"/>
        <v>5064.7000000000007</v>
      </c>
      <c r="W5" s="9">
        <f t="shared" si="0"/>
        <v>3253.3499999999995</v>
      </c>
      <c r="X5" s="9">
        <f t="shared" si="0"/>
        <v>26505.520000000004</v>
      </c>
      <c r="Y5" s="9">
        <f t="shared" si="0"/>
        <v>34823.570000000014</v>
      </c>
      <c r="Z5" s="9">
        <f t="shared" si="0"/>
        <v>35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1</v>
      </c>
      <c r="D56" s="1">
        <v>0</v>
      </c>
      <c r="E56" s="1">
        <f t="shared" si="5"/>
        <v>1</v>
      </c>
      <c r="F56" s="1">
        <f t="shared" si="2"/>
        <v>1</v>
      </c>
      <c r="R56" s="1">
        <v>15.8</v>
      </c>
      <c r="S56" s="1">
        <v>4.4000000000000004</v>
      </c>
      <c r="V56" s="8">
        <f>R56*(1+S56)*原始运算表格!$P$2*原始运算表格!$Q$2</f>
        <v>85.320000000000007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85.320000000000007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1</v>
      </c>
      <c r="E57" s="1">
        <f t="shared" si="5"/>
        <v>2</v>
      </c>
      <c r="F57" s="1">
        <f t="shared" si="2"/>
        <v>2</v>
      </c>
      <c r="R57" s="1">
        <v>18.2</v>
      </c>
      <c r="S57" s="1">
        <v>7.3</v>
      </c>
      <c r="T57" s="1">
        <v>19.3</v>
      </c>
      <c r="U57" s="1">
        <v>0.1</v>
      </c>
      <c r="V57" s="8">
        <f>R57*(1+S57)*原始运算表格!$P$2*原始运算表格!$Q$2</f>
        <v>151.06</v>
      </c>
      <c r="W57" s="8">
        <f>T57*(1+U57)*原始运算表格!$R$2*原始运算表格!$S$2</f>
        <v>106.15000000000002</v>
      </c>
      <c r="X57" s="8">
        <f t="shared" si="7"/>
        <v>0</v>
      </c>
      <c r="Y57" s="8">
        <f t="shared" si="8"/>
        <v>257.21000000000004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1</v>
      </c>
      <c r="E58" s="1">
        <f t="shared" si="5"/>
        <v>3</v>
      </c>
      <c r="F58" s="1">
        <f t="shared" si="2"/>
        <v>3</v>
      </c>
      <c r="R58" s="1">
        <v>20.399999999999999</v>
      </c>
      <c r="S58" s="1">
        <v>9.6</v>
      </c>
      <c r="T58" s="1">
        <v>15.5</v>
      </c>
      <c r="U58" s="1">
        <v>0</v>
      </c>
      <c r="V58" s="8">
        <f>R58*(1+S58)*原始运算表格!$P$2*原始运算表格!$Q$2</f>
        <v>216.23999999999998</v>
      </c>
      <c r="W58" s="8">
        <f>T58*(1+U58)*原始运算表格!$R$2*原始运算表格!$S$2</f>
        <v>77.5</v>
      </c>
      <c r="X58" s="8">
        <f t="shared" si="7"/>
        <v>0</v>
      </c>
      <c r="Y58" s="8">
        <f t="shared" si="8"/>
        <v>293.74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1</v>
      </c>
      <c r="E59" s="1">
        <f t="shared" si="5"/>
        <v>4</v>
      </c>
      <c r="F59" s="1">
        <f t="shared" si="2"/>
        <v>4</v>
      </c>
      <c r="R59" s="1">
        <v>22.4</v>
      </c>
      <c r="S59" s="1">
        <v>5.4</v>
      </c>
      <c r="T59" s="1">
        <v>24.1</v>
      </c>
      <c r="U59" s="1">
        <v>0.5</v>
      </c>
      <c r="V59" s="8">
        <f>R59*(1+S59)*原始运算表格!$P$2*原始运算表格!$Q$2</f>
        <v>143.35999999999999</v>
      </c>
      <c r="W59" s="8">
        <f>T59*(1+U59)*原始运算表格!$R$2*原始运算表格!$S$2</f>
        <v>180.75000000000003</v>
      </c>
      <c r="X59" s="8">
        <f t="shared" si="7"/>
        <v>0</v>
      </c>
      <c r="Y59" s="8">
        <f t="shared" si="8"/>
        <v>324.11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1</v>
      </c>
      <c r="E60" s="1">
        <f t="shared" si="5"/>
        <v>5</v>
      </c>
      <c r="F60" s="1">
        <f t="shared" si="2"/>
        <v>5</v>
      </c>
      <c r="N60" s="1">
        <v>1</v>
      </c>
      <c r="O60" s="1">
        <v>1</v>
      </c>
      <c r="R60" s="1">
        <v>23.6</v>
      </c>
      <c r="S60" s="1">
        <v>11.6</v>
      </c>
      <c r="T60" s="1">
        <v>20.5</v>
      </c>
      <c r="U60" s="1">
        <v>0.4</v>
      </c>
      <c r="V60" s="8">
        <f>R60*(1+S60)*原始运算表格!$P$2*原始运算表格!$Q$2</f>
        <v>297.36</v>
      </c>
      <c r="W60" s="8">
        <f>T60*(1+U60)*原始运算表格!$R$2*原始运算表格!$S$2</f>
        <v>143.5</v>
      </c>
      <c r="X60" s="8">
        <f t="shared" si="7"/>
        <v>881.71999999999991</v>
      </c>
      <c r="Y60" s="8">
        <f t="shared" si="8"/>
        <v>1322.58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2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6</v>
      </c>
      <c r="F61" s="1">
        <f t="shared" si="2"/>
        <v>6</v>
      </c>
      <c r="O61" s="1">
        <v>1</v>
      </c>
      <c r="R61" s="1">
        <v>23.9</v>
      </c>
      <c r="S61" s="1">
        <v>11.8</v>
      </c>
      <c r="T61" s="1">
        <v>24.9</v>
      </c>
      <c r="U61" s="1">
        <v>0.9</v>
      </c>
      <c r="V61" s="8">
        <f>R61*(1+S61)*原始运算表格!$P$2*原始运算表格!$Q$2</f>
        <v>305.92</v>
      </c>
      <c r="W61" s="8">
        <f>T61*(1+U61)*原始运算表格!$R$2*原始运算表格!$S$2</f>
        <v>236.54999999999998</v>
      </c>
      <c r="X61" s="8">
        <f t="shared" si="7"/>
        <v>542.47</v>
      </c>
      <c r="Y61" s="8">
        <f t="shared" si="8"/>
        <v>1084.94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1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7</v>
      </c>
      <c r="F62" s="1">
        <f t="shared" si="2"/>
        <v>7</v>
      </c>
      <c r="I62" s="2"/>
      <c r="J62" s="2"/>
      <c r="K62" s="2"/>
      <c r="L62" s="2"/>
      <c r="M62" s="2"/>
      <c r="O62" s="1">
        <v>1</v>
      </c>
      <c r="P62" s="2"/>
      <c r="R62" s="1">
        <v>23.8</v>
      </c>
      <c r="S62" s="1">
        <v>12.8</v>
      </c>
      <c r="T62" s="1">
        <v>25.5</v>
      </c>
      <c r="U62" s="1">
        <v>0.3</v>
      </c>
      <c r="V62" s="8">
        <f>R62*(1+S62)*原始运算表格!$P$2*原始运算表格!$Q$2</f>
        <v>328.44000000000005</v>
      </c>
      <c r="W62" s="8">
        <f>T62*(1+U62)*原始运算表格!$R$2*原始运算表格!$S$2</f>
        <v>165.75</v>
      </c>
      <c r="X62" s="8">
        <f t="shared" si="7"/>
        <v>494.19000000000005</v>
      </c>
      <c r="Y62" s="8">
        <f t="shared" si="8"/>
        <v>988.38000000000011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1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8</v>
      </c>
      <c r="F63" s="1">
        <f t="shared" si="2"/>
        <v>8</v>
      </c>
      <c r="I63" s="2"/>
      <c r="J63" s="2"/>
      <c r="K63" s="2"/>
      <c r="L63" s="2"/>
      <c r="M63" s="2"/>
      <c r="N63" s="1">
        <v>1</v>
      </c>
      <c r="O63" s="1">
        <v>1</v>
      </c>
      <c r="P63" s="2"/>
      <c r="R63" s="1">
        <v>26.4</v>
      </c>
      <c r="S63" s="1">
        <v>15.6</v>
      </c>
      <c r="T63" s="1">
        <v>25</v>
      </c>
      <c r="U63" s="1">
        <v>0.8</v>
      </c>
      <c r="V63" s="8">
        <f>R63*(1+S63)*原始运算表格!$P$2*原始运算表格!$Q$2</f>
        <v>438.24</v>
      </c>
      <c r="W63" s="8">
        <f>T63*(1+U63)*原始运算表格!$R$2*原始运算表格!$S$2</f>
        <v>225</v>
      </c>
      <c r="X63" s="8">
        <f t="shared" si="7"/>
        <v>1326.48</v>
      </c>
      <c r="Y63" s="8">
        <f t="shared" si="8"/>
        <v>1989.72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2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9</v>
      </c>
      <c r="F64" s="1">
        <f t="shared" si="2"/>
        <v>9</v>
      </c>
      <c r="G64" s="1">
        <v>1</v>
      </c>
      <c r="J64" s="1">
        <v>1</v>
      </c>
      <c r="N64" s="1">
        <v>1</v>
      </c>
      <c r="O64" s="1">
        <v>1</v>
      </c>
      <c r="R64" s="1">
        <v>29.4</v>
      </c>
      <c r="S64" s="1">
        <v>18.3</v>
      </c>
      <c r="T64" s="1">
        <v>25</v>
      </c>
      <c r="U64" s="1">
        <v>2.7</v>
      </c>
      <c r="V64" s="8">
        <f>R64*(1+S64)*原始运算表格!$P$2*原始运算表格!$Q$2</f>
        <v>567.41999999999996</v>
      </c>
      <c r="W64" s="8">
        <f>T64*(1+U64)*原始运算表格!$R$2*原始运算表格!$S$2</f>
        <v>462.5</v>
      </c>
      <c r="X64" s="8">
        <f t="shared" si="7"/>
        <v>12359.04</v>
      </c>
      <c r="Y64" s="8">
        <f t="shared" si="8"/>
        <v>13388.960000000001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12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0</v>
      </c>
      <c r="E65" s="1">
        <f t="shared" si="5"/>
        <v>10</v>
      </c>
      <c r="F65" s="1">
        <f t="shared" si="2"/>
        <v>10</v>
      </c>
      <c r="J65" s="1">
        <v>1</v>
      </c>
      <c r="O65" s="1">
        <v>1</v>
      </c>
      <c r="R65" s="1">
        <v>28.2</v>
      </c>
      <c r="S65" s="1">
        <v>16.100000000000001</v>
      </c>
      <c r="V65" s="8">
        <f>R65*(1+S65)*原始运算表格!$P$2*原始运算表格!$Q$2</f>
        <v>482.22</v>
      </c>
      <c r="W65" s="8">
        <f>T65*(1+U65)*原始运算表格!$R$2*原始运算表格!$S$2</f>
        <v>0</v>
      </c>
      <c r="X65" s="8">
        <f t="shared" si="7"/>
        <v>1446.66</v>
      </c>
      <c r="Y65" s="8">
        <f t="shared" si="8"/>
        <v>1928.88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3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0</v>
      </c>
      <c r="E66" s="1">
        <f t="shared" si="5"/>
        <v>11</v>
      </c>
      <c r="F66" s="1">
        <f t="shared" si="2"/>
        <v>11</v>
      </c>
      <c r="J66" s="1">
        <v>1</v>
      </c>
      <c r="R66" s="1">
        <v>26.8</v>
      </c>
      <c r="S66" s="1">
        <v>14.9</v>
      </c>
      <c r="V66" s="8">
        <f>R66*(1+S66)*原始运算表格!$P$2*原始运算表格!$Q$2</f>
        <v>426.12</v>
      </c>
      <c r="W66" s="8">
        <f>T66*(1+U66)*原始运算表格!$R$2*原始运算表格!$S$2</f>
        <v>0</v>
      </c>
      <c r="X66" s="8">
        <f t="shared" si="7"/>
        <v>852.24000000000012</v>
      </c>
      <c r="Y66" s="8">
        <f t="shared" si="8"/>
        <v>1278.3600000000001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2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0</v>
      </c>
      <c r="E67" s="1">
        <f t="shared" si="5"/>
        <v>12</v>
      </c>
      <c r="F67" s="1">
        <f t="shared" si="2"/>
        <v>12</v>
      </c>
      <c r="J67" s="1">
        <v>1</v>
      </c>
      <c r="R67" s="1">
        <v>24.1</v>
      </c>
      <c r="S67" s="1">
        <v>10.7</v>
      </c>
      <c r="V67" s="8">
        <f>R67*(1+S67)*原始运算表格!$P$2*原始运算表格!$Q$2</f>
        <v>281.97000000000003</v>
      </c>
      <c r="W67" s="8">
        <f>T67*(1+U67)*原始运算表格!$R$2*原始运算表格!$S$2</f>
        <v>0</v>
      </c>
      <c r="X67" s="8">
        <f t="shared" si="7"/>
        <v>563.94000000000005</v>
      </c>
      <c r="Y67" s="8">
        <f t="shared" si="8"/>
        <v>845.91000000000008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2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13</v>
      </c>
      <c r="F68" s="1">
        <f t="shared" si="2"/>
        <v>13</v>
      </c>
      <c r="I68" s="1">
        <v>1</v>
      </c>
      <c r="N68" s="1">
        <v>1</v>
      </c>
      <c r="O68" s="1">
        <v>1</v>
      </c>
      <c r="P68" s="1">
        <v>1</v>
      </c>
      <c r="R68" s="1">
        <v>25.3</v>
      </c>
      <c r="S68" s="1">
        <v>12.9</v>
      </c>
      <c r="T68" s="1">
        <v>23</v>
      </c>
      <c r="U68" s="1">
        <v>4.0999999999999996</v>
      </c>
      <c r="V68" s="8">
        <f>R68*(1+S68)*原始运算表格!$P$2*原始运算表格!$Q$2</f>
        <v>351.67</v>
      </c>
      <c r="W68" s="8">
        <f>T68*(1+U68)*原始运算表格!$R$2*原始运算表格!$S$2</f>
        <v>586.5</v>
      </c>
      <c r="X68" s="8">
        <f t="shared" si="7"/>
        <v>7505.3600000000006</v>
      </c>
      <c r="Y68" s="8">
        <f t="shared" si="8"/>
        <v>8443.5300000000007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8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0</v>
      </c>
      <c r="E69" s="1">
        <f t="shared" si="5"/>
        <v>14</v>
      </c>
      <c r="F69" s="1">
        <f t="shared" si="2"/>
        <v>14</v>
      </c>
      <c r="O69" s="1">
        <v>1</v>
      </c>
      <c r="R69" s="1">
        <v>21.2</v>
      </c>
      <c r="S69" s="1">
        <v>7.1</v>
      </c>
      <c r="V69" s="8">
        <f>R69*(1+S69)*原始运算表格!$P$2*原始运算表格!$Q$2</f>
        <v>171.72</v>
      </c>
      <c r="W69" s="8">
        <f>T69*(1+U69)*原始运算表格!$R$2*原始运算表格!$S$2</f>
        <v>0</v>
      </c>
      <c r="X69" s="8">
        <f t="shared" si="7"/>
        <v>171.72</v>
      </c>
      <c r="Y69" s="8">
        <f t="shared" si="8"/>
        <v>343.44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1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15</v>
      </c>
      <c r="F70" s="1">
        <f t="shared" si="2"/>
        <v>15</v>
      </c>
      <c r="R70" s="1">
        <v>19.399999999999999</v>
      </c>
      <c r="S70" s="1">
        <v>7.3</v>
      </c>
      <c r="T70" s="1">
        <v>17.600000000000001</v>
      </c>
      <c r="U70" s="1">
        <v>2.4</v>
      </c>
      <c r="V70" s="8">
        <f>R70*(1+S70)*原始运算表格!$P$2*原始运算表格!$Q$2</f>
        <v>161.02000000000001</v>
      </c>
      <c r="W70" s="8">
        <f>T70*(1+U70)*原始运算表格!$R$2*原始运算表格!$S$2</f>
        <v>299.20000000000005</v>
      </c>
      <c r="X70" s="8">
        <f t="shared" si="7"/>
        <v>0</v>
      </c>
      <c r="Y70" s="8">
        <f t="shared" si="8"/>
        <v>460.22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16</v>
      </c>
      <c r="F71" s="1">
        <f t="shared" ref="F71:F79" si="9">C71*E71</f>
        <v>16</v>
      </c>
      <c r="O71" s="1">
        <v>1</v>
      </c>
      <c r="R71" s="1">
        <v>20.6</v>
      </c>
      <c r="S71" s="1">
        <v>9</v>
      </c>
      <c r="T71" s="1">
        <v>17.3</v>
      </c>
      <c r="U71" s="1">
        <v>0.8</v>
      </c>
      <c r="V71" s="8">
        <f>R71*(1+S71)*原始运算表格!$P$2*原始运算表格!$Q$2</f>
        <v>206</v>
      </c>
      <c r="W71" s="8">
        <f>T71*(1+U71)*原始运算表格!$R$2*原始运算表格!$S$2</f>
        <v>155.69999999999999</v>
      </c>
      <c r="X71" s="8">
        <f t="shared" si="7"/>
        <v>361.70000000000005</v>
      </c>
      <c r="Y71" s="8">
        <f t="shared" si="8"/>
        <v>723.4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1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17</v>
      </c>
      <c r="F72" s="1">
        <f t="shared" si="9"/>
        <v>17</v>
      </c>
      <c r="R72" s="1">
        <v>20.399999999999999</v>
      </c>
      <c r="S72" s="1">
        <v>6.9</v>
      </c>
      <c r="T72" s="1">
        <v>20.5</v>
      </c>
      <c r="U72" s="1">
        <v>2.2999999999999998</v>
      </c>
      <c r="V72" s="8">
        <f>R72*(1+S72)*原始运算表格!$P$2*原始运算表格!$Q$2</f>
        <v>161.16</v>
      </c>
      <c r="W72" s="8">
        <f>T72*(1+U72)*原始运算表格!$R$2*原始运算表格!$S$2</f>
        <v>338.24999999999994</v>
      </c>
      <c r="X72" s="8">
        <f t="shared" si="7"/>
        <v>0</v>
      </c>
      <c r="Y72" s="8">
        <f t="shared" si="8"/>
        <v>499.40999999999997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18</v>
      </c>
      <c r="F73" s="1">
        <f t="shared" si="9"/>
        <v>18</v>
      </c>
      <c r="R73" s="1">
        <v>19.2</v>
      </c>
      <c r="S73" s="1">
        <v>5.6</v>
      </c>
      <c r="T73" s="1">
        <v>17.3</v>
      </c>
      <c r="U73" s="1">
        <v>0.6</v>
      </c>
      <c r="V73" s="8">
        <f>R73*(1+S73)*原始运算表格!$P$2*原始运算表格!$Q$2</f>
        <v>126.71999999999998</v>
      </c>
      <c r="W73" s="8">
        <f>T73*(1+U73)*原始运算表格!$R$2*原始运算表格!$S$2</f>
        <v>138.4</v>
      </c>
      <c r="X73" s="8">
        <f t="shared" si="7"/>
        <v>0</v>
      </c>
      <c r="Y73" s="8">
        <f t="shared" si="8"/>
        <v>265.12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19</v>
      </c>
      <c r="F74" s="1">
        <f t="shared" si="9"/>
        <v>19</v>
      </c>
      <c r="R74" s="1">
        <v>13.3</v>
      </c>
      <c r="S74" s="1">
        <v>1.2</v>
      </c>
      <c r="T74" s="1">
        <v>17.2</v>
      </c>
      <c r="U74" s="1">
        <v>0.6</v>
      </c>
      <c r="V74" s="8">
        <f>R74*(1+S74)*原始运算表格!$P$2*原始运算表格!$Q$2</f>
        <v>29.260000000000005</v>
      </c>
      <c r="W74" s="8">
        <f>T74*(1+U74)*原始运算表格!$R$2*原始运算表格!$S$2</f>
        <v>137.6</v>
      </c>
      <c r="X74" s="8">
        <f t="shared" si="7"/>
        <v>0</v>
      </c>
      <c r="Y74" s="8">
        <f t="shared" si="8"/>
        <v>166.86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0</v>
      </c>
      <c r="E75" s="1">
        <f t="shared" si="10"/>
        <v>20</v>
      </c>
      <c r="F75" s="1">
        <f t="shared" si="9"/>
        <v>20</v>
      </c>
      <c r="R75" s="1">
        <v>14.8</v>
      </c>
      <c r="S75" s="1">
        <v>1.6</v>
      </c>
      <c r="V75" s="8">
        <f>R75*(1+S75)*原始运算表格!$P$2*原始运算表格!$Q$2</f>
        <v>38.480000000000004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38.480000000000004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0</v>
      </c>
      <c r="E76" s="1">
        <f t="shared" si="10"/>
        <v>21</v>
      </c>
      <c r="F76" s="1">
        <f t="shared" si="9"/>
        <v>21</v>
      </c>
      <c r="R76" s="1">
        <v>19.3</v>
      </c>
      <c r="S76" s="1">
        <v>0.3</v>
      </c>
      <c r="V76" s="8">
        <f>R76*(1+S76)*原始运算表格!$P$2*原始运算表格!$Q$2</f>
        <v>25.090000000000003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25.090000000000003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21</v>
      </c>
      <c r="F77" s="1">
        <f t="shared" si="9"/>
        <v>0</v>
      </c>
      <c r="R77" s="1">
        <v>15.2</v>
      </c>
      <c r="S77" s="1">
        <v>1.9</v>
      </c>
      <c r="V77" s="8">
        <f>R77*(1+S77)*原始运算表格!$P$2*原始运算表格!$Q$2</f>
        <v>44.08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44.08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21</v>
      </c>
      <c r="F78" s="1">
        <f t="shared" si="9"/>
        <v>0</v>
      </c>
      <c r="R78" s="1">
        <v>12.3</v>
      </c>
      <c r="S78" s="1">
        <v>1.1000000000000001</v>
      </c>
      <c r="V78" s="8">
        <f>R78*(1+S78)*原始运算表格!$P$2*原始运算表格!$Q$2</f>
        <v>25.830000000000002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25.830000000000002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21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Z79"/>
  <sheetViews>
    <sheetView zoomScale="40" zoomScaleNormal="40" workbookViewId="0">
      <selection activeCell="N43" sqref="N43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77</v>
      </c>
    </row>
    <row r="5" spans="1:26" s="6" customFormat="1">
      <c r="A5" s="6" t="s">
        <v>22</v>
      </c>
      <c r="B5" s="7"/>
      <c r="C5" s="6">
        <f>SUM(C12:C105)</f>
        <v>16</v>
      </c>
      <c r="D5" s="6">
        <f>SUM(D12:D105)</f>
        <v>13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4</v>
      </c>
      <c r="O5" s="6">
        <f t="shared" si="0"/>
        <v>5</v>
      </c>
      <c r="P5" s="6">
        <f t="shared" si="0"/>
        <v>8</v>
      </c>
      <c r="Q5" s="6">
        <f t="shared" si="0"/>
        <v>1</v>
      </c>
      <c r="R5" s="6">
        <f t="shared" si="0"/>
        <v>277.3</v>
      </c>
      <c r="S5" s="6">
        <f t="shared" si="0"/>
        <v>131.70000000000002</v>
      </c>
      <c r="T5" s="6">
        <f t="shared" si="0"/>
        <v>219.39999999999998</v>
      </c>
      <c r="U5" s="6">
        <f t="shared" si="0"/>
        <v>19.2</v>
      </c>
      <c r="V5" s="9">
        <f t="shared" si="0"/>
        <v>2623.5</v>
      </c>
      <c r="W5" s="9">
        <f t="shared" si="0"/>
        <v>2869.7</v>
      </c>
      <c r="X5" s="9">
        <f t="shared" si="0"/>
        <v>21123.389999999996</v>
      </c>
      <c r="Y5" s="9">
        <f t="shared" si="0"/>
        <v>26616.59</v>
      </c>
      <c r="Z5" s="9">
        <f t="shared" si="0"/>
        <v>49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1</v>
      </c>
      <c r="D23" s="1">
        <v>1</v>
      </c>
      <c r="E23" s="1">
        <f t="shared" si="5"/>
        <v>1</v>
      </c>
      <c r="F23" s="1">
        <f t="shared" si="2"/>
        <v>1</v>
      </c>
      <c r="P23" s="1">
        <v>1</v>
      </c>
      <c r="R23" s="1">
        <v>15.4</v>
      </c>
      <c r="S23" s="1">
        <v>6.4</v>
      </c>
      <c r="T23" s="1">
        <v>13.5</v>
      </c>
      <c r="U23" s="1">
        <v>0.5</v>
      </c>
      <c r="V23" s="8">
        <f>R23*(1+S23)*原始运算表格!$P$2*原始运算表格!$Q$2</f>
        <v>113.96000000000001</v>
      </c>
      <c r="W23" s="8">
        <f>T23*(1+U23)*原始运算表格!$R$2*原始运算表格!$S$2</f>
        <v>101.25</v>
      </c>
      <c r="X23" s="8">
        <f t="shared" si="3"/>
        <v>860.83999999999992</v>
      </c>
      <c r="Y23" s="8">
        <f t="shared" si="4"/>
        <v>1076.05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4</v>
      </c>
    </row>
    <row r="24" spans="1:26">
      <c r="A24" s="1">
        <v>1963</v>
      </c>
      <c r="B24" s="1">
        <f t="shared" si="6"/>
        <v>1964</v>
      </c>
      <c r="C24" s="1">
        <v>1</v>
      </c>
      <c r="D24" s="1">
        <v>1</v>
      </c>
      <c r="E24" s="1">
        <f t="shared" si="5"/>
        <v>2</v>
      </c>
      <c r="F24" s="1">
        <f t="shared" si="2"/>
        <v>2</v>
      </c>
      <c r="P24" s="1">
        <v>1</v>
      </c>
      <c r="R24" s="1">
        <v>16.899999999999999</v>
      </c>
      <c r="S24" s="1">
        <v>7.7</v>
      </c>
      <c r="T24" s="1">
        <v>15.7</v>
      </c>
      <c r="U24" s="1">
        <v>0.7</v>
      </c>
      <c r="V24" s="8">
        <f>R24*(1+S24)*原始运算表格!$P$2*原始运算表格!$Q$2</f>
        <v>147.02999999999997</v>
      </c>
      <c r="W24" s="8">
        <f>T24*(1+U24)*原始运算表格!$R$2*原始运算表格!$S$2</f>
        <v>133.44999999999999</v>
      </c>
      <c r="X24" s="8">
        <f t="shared" si="3"/>
        <v>1121.9199999999998</v>
      </c>
      <c r="Y24" s="8">
        <f t="shared" si="4"/>
        <v>1402.3999999999999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4</v>
      </c>
    </row>
    <row r="25" spans="1:26">
      <c r="A25" s="1">
        <v>1964</v>
      </c>
      <c r="B25" s="1">
        <f t="shared" si="6"/>
        <v>1965</v>
      </c>
      <c r="C25" s="1">
        <v>1</v>
      </c>
      <c r="D25" s="1">
        <v>1</v>
      </c>
      <c r="E25" s="1">
        <f t="shared" si="5"/>
        <v>3</v>
      </c>
      <c r="F25" s="1">
        <f t="shared" si="2"/>
        <v>3</v>
      </c>
      <c r="P25" s="1">
        <v>1</v>
      </c>
      <c r="R25" s="1">
        <v>16.3</v>
      </c>
      <c r="S25" s="1">
        <v>4.5</v>
      </c>
      <c r="T25" s="1">
        <v>12.3</v>
      </c>
      <c r="U25" s="1">
        <v>0.2</v>
      </c>
      <c r="V25" s="8">
        <f>R25*(1+S25)*原始运算表格!$P$2*原始运算表格!$Q$2</f>
        <v>89.65</v>
      </c>
      <c r="W25" s="8">
        <f>T25*(1+U25)*原始运算表格!$R$2*原始运算表格!$S$2</f>
        <v>73.8</v>
      </c>
      <c r="X25" s="8">
        <f t="shared" si="3"/>
        <v>653.80000000000007</v>
      </c>
      <c r="Y25" s="8">
        <f t="shared" si="4"/>
        <v>817.25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4</v>
      </c>
    </row>
    <row r="26" spans="1:26">
      <c r="A26" s="1">
        <v>1965</v>
      </c>
      <c r="B26" s="1">
        <f t="shared" si="6"/>
        <v>1966</v>
      </c>
      <c r="C26" s="1">
        <v>1</v>
      </c>
      <c r="D26" s="1">
        <v>1</v>
      </c>
      <c r="E26" s="1">
        <f t="shared" si="5"/>
        <v>4</v>
      </c>
      <c r="F26" s="1">
        <f t="shared" si="2"/>
        <v>4</v>
      </c>
      <c r="P26" s="1">
        <v>1</v>
      </c>
      <c r="R26" s="1">
        <v>16.7</v>
      </c>
      <c r="S26" s="1">
        <v>4.3</v>
      </c>
      <c r="T26" s="1">
        <v>16.3</v>
      </c>
      <c r="U26" s="1">
        <v>1.5</v>
      </c>
      <c r="V26" s="8">
        <f>R26*(1+S26)*原始运算表格!$P$2*原始运算表格!$Q$2</f>
        <v>88.509999999999991</v>
      </c>
      <c r="W26" s="8">
        <f>T26*(1+U26)*原始运算表格!$R$2*原始运算表格!$S$2</f>
        <v>203.75</v>
      </c>
      <c r="X26" s="8">
        <f t="shared" si="3"/>
        <v>1169.04</v>
      </c>
      <c r="Y26" s="8">
        <f t="shared" si="4"/>
        <v>1461.3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4</v>
      </c>
    </row>
    <row r="27" spans="1:26">
      <c r="A27" s="1">
        <v>1966</v>
      </c>
      <c r="B27" s="1">
        <f t="shared" si="6"/>
        <v>1967</v>
      </c>
      <c r="C27" s="1">
        <v>1</v>
      </c>
      <c r="D27" s="1">
        <v>1</v>
      </c>
      <c r="E27" s="1">
        <f t="shared" si="5"/>
        <v>5</v>
      </c>
      <c r="F27" s="1">
        <f t="shared" si="2"/>
        <v>5</v>
      </c>
      <c r="R27" s="1">
        <v>19.2</v>
      </c>
      <c r="S27" s="1">
        <v>8.3000000000000007</v>
      </c>
      <c r="T27" s="1">
        <v>20.8</v>
      </c>
      <c r="U27" s="1">
        <v>1.2</v>
      </c>
      <c r="V27" s="8">
        <f>R27*(1+S27)*原始运算表格!$P$2*原始运算表格!$Q$2</f>
        <v>178.56</v>
      </c>
      <c r="W27" s="8">
        <f>T27*(1+U27)*原始运算表格!$R$2*原始运算表格!$S$2</f>
        <v>228.8</v>
      </c>
      <c r="X27" s="8">
        <f t="shared" si="3"/>
        <v>0</v>
      </c>
      <c r="Y27" s="8">
        <f t="shared" si="4"/>
        <v>407.36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1</v>
      </c>
      <c r="D28" s="1">
        <v>1</v>
      </c>
      <c r="E28" s="1">
        <f t="shared" si="5"/>
        <v>6</v>
      </c>
      <c r="F28" s="1">
        <f t="shared" si="2"/>
        <v>6</v>
      </c>
      <c r="P28" s="1">
        <v>1</v>
      </c>
      <c r="R28" s="1">
        <v>17.7</v>
      </c>
      <c r="S28" s="1">
        <v>7.6</v>
      </c>
      <c r="T28" s="1">
        <v>19.899999999999999</v>
      </c>
      <c r="U28" s="1">
        <v>2.8</v>
      </c>
      <c r="V28" s="8">
        <f>R28*(1+S28)*原始运算表格!$P$2*原始运算表格!$Q$2</f>
        <v>152.22</v>
      </c>
      <c r="W28" s="8">
        <f>T28*(1+U28)*原始运算表格!$R$2*原始运算表格!$S$2</f>
        <v>378.09999999999997</v>
      </c>
      <c r="X28" s="8">
        <f t="shared" si="3"/>
        <v>2121.2799999999997</v>
      </c>
      <c r="Y28" s="8">
        <f t="shared" si="4"/>
        <v>2651.5999999999995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4</v>
      </c>
    </row>
    <row r="29" spans="1:26">
      <c r="A29" s="1">
        <v>1968</v>
      </c>
      <c r="B29" s="1">
        <f t="shared" si="6"/>
        <v>1969</v>
      </c>
      <c r="C29" s="1">
        <v>1</v>
      </c>
      <c r="D29" s="1">
        <v>1</v>
      </c>
      <c r="E29" s="1">
        <f t="shared" si="5"/>
        <v>7</v>
      </c>
      <c r="F29" s="1">
        <f t="shared" si="2"/>
        <v>7</v>
      </c>
      <c r="P29" s="1">
        <v>1</v>
      </c>
      <c r="R29" s="1">
        <v>17</v>
      </c>
      <c r="S29" s="1">
        <v>7.3</v>
      </c>
      <c r="T29" s="1">
        <v>19.5</v>
      </c>
      <c r="U29" s="1">
        <v>2.8</v>
      </c>
      <c r="V29" s="8">
        <f>R29*(1+S29)*原始运算表格!$P$2*原始运算表格!$Q$2</f>
        <v>141.10000000000002</v>
      </c>
      <c r="W29" s="8">
        <f>T29*(1+U29)*原始运算表格!$R$2*原始运算表格!$S$2</f>
        <v>370.5</v>
      </c>
      <c r="X29" s="8">
        <f t="shared" si="3"/>
        <v>2046.4</v>
      </c>
      <c r="Y29" s="8">
        <f t="shared" si="4"/>
        <v>2558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4</v>
      </c>
    </row>
    <row r="30" spans="1:26">
      <c r="A30" s="1">
        <v>1969</v>
      </c>
      <c r="B30" s="1">
        <f t="shared" si="6"/>
        <v>1970</v>
      </c>
      <c r="C30" s="1">
        <v>1</v>
      </c>
      <c r="D30" s="1">
        <v>0</v>
      </c>
      <c r="E30" s="1">
        <f t="shared" si="5"/>
        <v>8</v>
      </c>
      <c r="F30" s="1">
        <f t="shared" si="2"/>
        <v>8</v>
      </c>
      <c r="R30" s="1">
        <v>20</v>
      </c>
      <c r="S30" s="1">
        <v>10.6</v>
      </c>
      <c r="V30" s="8">
        <f>R30*(1+S30)*原始运算表格!$P$2*原始运算表格!$Q$2</f>
        <v>232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232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1</v>
      </c>
      <c r="D31" s="1">
        <v>0</v>
      </c>
      <c r="E31" s="1">
        <f t="shared" si="5"/>
        <v>9</v>
      </c>
      <c r="F31" s="1">
        <f t="shared" si="2"/>
        <v>9</v>
      </c>
      <c r="N31" s="1">
        <v>1</v>
      </c>
      <c r="R31" s="1">
        <v>20.8</v>
      </c>
      <c r="S31" s="1">
        <v>12.5</v>
      </c>
      <c r="V31" s="8">
        <f>R31*(1+S31)*原始运算表格!$P$2*原始运算表格!$Q$2</f>
        <v>280.8</v>
      </c>
      <c r="W31" s="8">
        <f>T31*(1+U31)*原始运算表格!$R$2*原始运算表格!$S$2</f>
        <v>0</v>
      </c>
      <c r="X31" s="8">
        <f t="shared" si="3"/>
        <v>280.8</v>
      </c>
      <c r="Y31" s="8">
        <f t="shared" si="4"/>
        <v>561.6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1</v>
      </c>
    </row>
    <row r="32" spans="1:26">
      <c r="A32" s="1">
        <v>1971</v>
      </c>
      <c r="B32" s="1">
        <f t="shared" si="6"/>
        <v>1972</v>
      </c>
      <c r="C32" s="1">
        <v>1</v>
      </c>
      <c r="D32" s="1">
        <v>1</v>
      </c>
      <c r="E32" s="1">
        <f t="shared" si="5"/>
        <v>10</v>
      </c>
      <c r="F32" s="1">
        <f t="shared" si="2"/>
        <v>10</v>
      </c>
      <c r="N32" s="1">
        <v>1</v>
      </c>
      <c r="O32" s="1">
        <v>1</v>
      </c>
      <c r="R32" s="1">
        <v>20.100000000000001</v>
      </c>
      <c r="S32" s="1">
        <v>12.4</v>
      </c>
      <c r="T32" s="1">
        <v>19.899999999999999</v>
      </c>
      <c r="U32" s="1">
        <v>1.5</v>
      </c>
      <c r="V32" s="8">
        <f>R32*(1+S32)*原始运算表格!$P$2*原始运算表格!$Q$2</f>
        <v>269.34000000000003</v>
      </c>
      <c r="W32" s="8">
        <f>T32*(1+U32)*原始运算表格!$R$2*原始运算表格!$S$2</f>
        <v>248.75</v>
      </c>
      <c r="X32" s="8">
        <f t="shared" si="3"/>
        <v>1036.1799999999998</v>
      </c>
      <c r="Y32" s="8">
        <f t="shared" si="4"/>
        <v>1554.27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2</v>
      </c>
    </row>
    <row r="33" spans="1:26">
      <c r="A33" s="1">
        <v>1972</v>
      </c>
      <c r="B33" s="1">
        <f t="shared" si="6"/>
        <v>1973</v>
      </c>
      <c r="C33" s="1">
        <v>1</v>
      </c>
      <c r="D33" s="1">
        <v>1</v>
      </c>
      <c r="E33" s="1">
        <f t="shared" si="5"/>
        <v>11</v>
      </c>
      <c r="F33" s="1">
        <f t="shared" si="2"/>
        <v>11</v>
      </c>
      <c r="N33" s="1">
        <v>1</v>
      </c>
      <c r="O33" s="1">
        <v>1</v>
      </c>
      <c r="R33" s="1">
        <v>18.600000000000001</v>
      </c>
      <c r="S33" s="1">
        <v>12.1</v>
      </c>
      <c r="T33" s="1">
        <v>19.7</v>
      </c>
      <c r="U33" s="1">
        <v>1.7</v>
      </c>
      <c r="V33" s="8">
        <f>R33*(1+S33)*原始运算表格!$P$2*原始运算表格!$Q$2</f>
        <v>243.66000000000003</v>
      </c>
      <c r="W33" s="8">
        <f>T33*(1+U33)*原始运算表格!$R$2*原始运算表格!$S$2</f>
        <v>265.95000000000005</v>
      </c>
      <c r="X33" s="8">
        <f t="shared" si="3"/>
        <v>1019.22</v>
      </c>
      <c r="Y33" s="8">
        <f t="shared" si="4"/>
        <v>1528.8300000000002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2</v>
      </c>
    </row>
    <row r="34" spans="1:26">
      <c r="A34" s="1">
        <v>1973</v>
      </c>
      <c r="B34" s="1">
        <f t="shared" si="6"/>
        <v>1974</v>
      </c>
      <c r="C34" s="1">
        <v>1</v>
      </c>
      <c r="D34" s="1">
        <v>1</v>
      </c>
      <c r="E34" s="1">
        <f t="shared" si="5"/>
        <v>12</v>
      </c>
      <c r="F34" s="1">
        <f t="shared" si="2"/>
        <v>12</v>
      </c>
      <c r="N34" s="1">
        <v>1</v>
      </c>
      <c r="O34" s="1">
        <v>1</v>
      </c>
      <c r="P34" s="1">
        <v>1</v>
      </c>
      <c r="Q34" s="1">
        <v>1</v>
      </c>
      <c r="R34" s="1">
        <v>17.399999999999999</v>
      </c>
      <c r="S34" s="1">
        <v>9.6999999999999993</v>
      </c>
      <c r="T34" s="1">
        <v>20.5</v>
      </c>
      <c r="U34" s="1">
        <v>3.5</v>
      </c>
      <c r="V34" s="8">
        <f>R34*(1+S34)*原始运算表格!$P$2*原始运算表格!$Q$2</f>
        <v>186.17999999999998</v>
      </c>
      <c r="W34" s="8">
        <f>T34*(1+U34)*原始运算表格!$R$2*原始运算表格!$S$2</f>
        <v>461.25</v>
      </c>
      <c r="X34" s="8">
        <f t="shared" si="3"/>
        <v>9064.0199999999986</v>
      </c>
      <c r="Y34" s="8">
        <f t="shared" si="4"/>
        <v>9711.4499999999989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14</v>
      </c>
    </row>
    <row r="35" spans="1:26">
      <c r="A35" s="1">
        <v>1974</v>
      </c>
      <c r="B35" s="1">
        <f t="shared" si="6"/>
        <v>1975</v>
      </c>
      <c r="C35" s="1">
        <v>1</v>
      </c>
      <c r="D35" s="1">
        <v>1</v>
      </c>
      <c r="E35" s="1">
        <f t="shared" si="5"/>
        <v>13</v>
      </c>
      <c r="F35" s="1">
        <f t="shared" si="2"/>
        <v>13</v>
      </c>
      <c r="O35" s="1">
        <v>1</v>
      </c>
      <c r="R35" s="1">
        <v>16.7</v>
      </c>
      <c r="S35" s="1">
        <v>9.6999999999999993</v>
      </c>
      <c r="T35" s="1">
        <v>15.7</v>
      </c>
      <c r="U35" s="1">
        <v>1.2</v>
      </c>
      <c r="V35" s="8">
        <f>R35*(1+S35)*原始运算表格!$P$2*原始运算表格!$Q$2</f>
        <v>178.68999999999997</v>
      </c>
      <c r="W35" s="8">
        <f>T35*(1+U35)*原始运算表格!$R$2*原始运算表格!$S$2</f>
        <v>172.7</v>
      </c>
      <c r="X35" s="8">
        <f t="shared" si="3"/>
        <v>351.39</v>
      </c>
      <c r="Y35" s="8">
        <f t="shared" si="4"/>
        <v>702.78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1</v>
      </c>
    </row>
    <row r="36" spans="1:26">
      <c r="A36" s="1">
        <v>1975</v>
      </c>
      <c r="B36" s="1">
        <f t="shared" si="6"/>
        <v>1976</v>
      </c>
      <c r="C36" s="1">
        <v>1</v>
      </c>
      <c r="D36" s="1">
        <v>1</v>
      </c>
      <c r="E36" s="1">
        <f t="shared" si="5"/>
        <v>14</v>
      </c>
      <c r="F36" s="1">
        <f t="shared" si="2"/>
        <v>14</v>
      </c>
      <c r="O36" s="1">
        <v>1</v>
      </c>
      <c r="P36" s="1">
        <v>1</v>
      </c>
      <c r="R36" s="1">
        <v>15.5</v>
      </c>
      <c r="S36" s="1">
        <v>7.4</v>
      </c>
      <c r="T36" s="1">
        <v>13</v>
      </c>
      <c r="U36" s="1">
        <v>1.3</v>
      </c>
      <c r="V36" s="8">
        <f>R36*(1+S36)*原始运算表格!$P$2*原始运算表格!$Q$2</f>
        <v>130.20000000000002</v>
      </c>
      <c r="W36" s="8">
        <f>T36*(1+U36)*原始运算表格!$R$2*原始运算表格!$S$2</f>
        <v>149.5</v>
      </c>
      <c r="X36" s="8">
        <f t="shared" si="3"/>
        <v>1398.5000000000002</v>
      </c>
      <c r="Y36" s="8">
        <f t="shared" si="4"/>
        <v>1678.2000000000003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5</v>
      </c>
    </row>
    <row r="37" spans="1:26">
      <c r="A37" s="1">
        <v>1976</v>
      </c>
      <c r="B37" s="1">
        <f t="shared" si="6"/>
        <v>1977</v>
      </c>
      <c r="C37" s="1">
        <v>1</v>
      </c>
      <c r="D37" s="1">
        <v>1</v>
      </c>
      <c r="E37" s="1">
        <f t="shared" si="5"/>
        <v>15</v>
      </c>
      <c r="F37" s="1">
        <f t="shared" si="2"/>
        <v>15</v>
      </c>
      <c r="R37" s="1">
        <v>14.7</v>
      </c>
      <c r="S37" s="1">
        <v>6.1</v>
      </c>
      <c r="T37" s="1">
        <v>12.6</v>
      </c>
      <c r="U37" s="1">
        <v>0.3</v>
      </c>
      <c r="V37" s="8">
        <f>R37*(1+S37)*原始运算表格!$P$2*原始运算表格!$Q$2</f>
        <v>104.36999999999999</v>
      </c>
      <c r="W37" s="8">
        <f>T37*(1+U37)*原始运算表格!$R$2*原始运算表格!$S$2</f>
        <v>81.899999999999991</v>
      </c>
      <c r="X37" s="8">
        <f t="shared" si="3"/>
        <v>0</v>
      </c>
      <c r="Y37" s="8">
        <f t="shared" si="4"/>
        <v>186.26999999999998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1</v>
      </c>
      <c r="D38" s="1">
        <v>0</v>
      </c>
      <c r="E38" s="1">
        <f t="shared" si="5"/>
        <v>16</v>
      </c>
      <c r="F38" s="1">
        <f t="shared" si="2"/>
        <v>16</v>
      </c>
      <c r="R38" s="1">
        <v>14.3</v>
      </c>
      <c r="S38" s="1">
        <v>5.0999999999999996</v>
      </c>
      <c r="V38" s="8">
        <f>R38*(1+S38)*原始运算表格!$P$2*原始运算表格!$Q$2</f>
        <v>87.23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87.23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16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16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16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16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16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16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16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16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16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16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16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16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16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16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16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16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16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16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16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16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16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16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16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16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16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16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16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16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16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16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16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16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16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16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16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16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16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16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16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16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16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Z79"/>
  <sheetViews>
    <sheetView zoomScale="55" zoomScaleNormal="55" workbookViewId="0">
      <pane ySplit="6" topLeftCell="A43" activePane="bottomLeft" state="frozen"/>
      <selection pane="bottomLef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78</v>
      </c>
    </row>
    <row r="5" spans="1:26" s="6" customFormat="1">
      <c r="A5" s="6" t="s">
        <v>22</v>
      </c>
      <c r="B5" s="7"/>
      <c r="C5" s="6">
        <f>SUM(C12:C105)</f>
        <v>16</v>
      </c>
      <c r="D5" s="6">
        <f>SUM(D12:D105)</f>
        <v>13</v>
      </c>
      <c r="G5" s="6">
        <f>SUM(G12:G105)</f>
        <v>1</v>
      </c>
      <c r="H5" s="6">
        <f t="shared" ref="H5:Z5" si="0">SUM(H12:H105)</f>
        <v>0</v>
      </c>
      <c r="I5" s="6">
        <f t="shared" si="0"/>
        <v>0</v>
      </c>
      <c r="J5" s="6">
        <f t="shared" si="0"/>
        <v>1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5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387.10000000000008</v>
      </c>
      <c r="S5" s="6">
        <f t="shared" si="0"/>
        <v>177.10000000000002</v>
      </c>
      <c r="T5" s="6">
        <f t="shared" si="0"/>
        <v>312.2</v>
      </c>
      <c r="U5" s="6">
        <f t="shared" si="0"/>
        <v>19.600000000000001</v>
      </c>
      <c r="V5" s="9">
        <f t="shared" si="0"/>
        <v>4818.3100000000004</v>
      </c>
      <c r="W5" s="9">
        <f t="shared" si="0"/>
        <v>3960.9999999999995</v>
      </c>
      <c r="X5" s="9">
        <f t="shared" si="0"/>
        <v>13564.749999999996</v>
      </c>
      <c r="Y5" s="9">
        <f t="shared" si="0"/>
        <v>22344.06</v>
      </c>
      <c r="Z5" s="9">
        <f t="shared" si="0"/>
        <v>15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1</v>
      </c>
      <c r="D45" s="1">
        <v>1</v>
      </c>
      <c r="E45" s="1">
        <f t="shared" si="5"/>
        <v>1</v>
      </c>
      <c r="F45" s="1">
        <f t="shared" si="2"/>
        <v>1</v>
      </c>
      <c r="R45" s="1">
        <v>18.3</v>
      </c>
      <c r="S45" s="1">
        <v>7.5</v>
      </c>
      <c r="T45" s="1">
        <v>19.600000000000001</v>
      </c>
      <c r="U45" s="1">
        <v>1.4</v>
      </c>
      <c r="V45" s="8">
        <f>R45*(1+S45)*原始运算表格!$P$2*原始运算表格!$Q$2</f>
        <v>155.55000000000001</v>
      </c>
      <c r="W45" s="8">
        <f>T45*(1+U45)*原始运算表格!$R$2*原始运算表格!$S$2</f>
        <v>235.2</v>
      </c>
      <c r="X45" s="8">
        <f>Y45-W45-V45</f>
        <v>0</v>
      </c>
      <c r="Y45" s="8">
        <f>(V45+W45)*(1+Z45)</f>
        <v>390.75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1</v>
      </c>
      <c r="D46" s="1">
        <v>1</v>
      </c>
      <c r="E46" s="1">
        <f t="shared" si="5"/>
        <v>2</v>
      </c>
      <c r="F46" s="1">
        <f t="shared" si="2"/>
        <v>2</v>
      </c>
      <c r="R46" s="1">
        <v>22.4</v>
      </c>
      <c r="S46" s="1">
        <v>10.8</v>
      </c>
      <c r="T46" s="1">
        <v>23.8</v>
      </c>
      <c r="U46" s="1">
        <v>2</v>
      </c>
      <c r="V46" s="8">
        <f>R46*(1+S46)*原始运算表格!$P$2*原始运算表格!$Q$2</f>
        <v>264.32</v>
      </c>
      <c r="W46" s="8">
        <f>T46*(1+U46)*原始运算表格!$R$2*原始运算表格!$S$2</f>
        <v>357</v>
      </c>
      <c r="X46" s="8">
        <f t="shared" ref="X46:X79" si="7">Y46-W46-V46</f>
        <v>0</v>
      </c>
      <c r="Y46" s="8">
        <f t="shared" ref="Y46:Y79" si="8">(V46+W46)*(1+Z46)</f>
        <v>621.31999999999994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1</v>
      </c>
      <c r="D47" s="1">
        <v>1</v>
      </c>
      <c r="E47" s="1">
        <f t="shared" si="5"/>
        <v>3</v>
      </c>
      <c r="F47" s="1">
        <f t="shared" si="2"/>
        <v>3</v>
      </c>
      <c r="J47" s="1">
        <v>1</v>
      </c>
      <c r="R47" s="1">
        <v>25.1</v>
      </c>
      <c r="S47" s="1">
        <v>12</v>
      </c>
      <c r="T47" s="1">
        <v>20.2</v>
      </c>
      <c r="U47" s="1">
        <v>0.7</v>
      </c>
      <c r="V47" s="8">
        <f>R47*(1+S47)*原始运算表格!$P$2*原始运算表格!$Q$2</f>
        <v>326.3</v>
      </c>
      <c r="W47" s="8">
        <f>T47*(1+U47)*原始运算表格!$R$2*原始运算表格!$S$2</f>
        <v>171.7</v>
      </c>
      <c r="X47" s="8">
        <f t="shared" si="7"/>
        <v>996</v>
      </c>
      <c r="Y47" s="8">
        <f t="shared" si="8"/>
        <v>1494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2</v>
      </c>
    </row>
    <row r="48" spans="1:26">
      <c r="A48" s="1">
        <v>1987</v>
      </c>
      <c r="B48" s="1">
        <f t="shared" si="6"/>
        <v>1988</v>
      </c>
      <c r="C48" s="1">
        <v>1</v>
      </c>
      <c r="D48" s="1">
        <v>0</v>
      </c>
      <c r="E48" s="1">
        <f t="shared" si="5"/>
        <v>4</v>
      </c>
      <c r="F48" s="1">
        <f t="shared" si="2"/>
        <v>4</v>
      </c>
      <c r="N48" s="1">
        <v>1</v>
      </c>
      <c r="R48" s="1">
        <v>27.6</v>
      </c>
      <c r="S48" s="1">
        <v>16.7</v>
      </c>
      <c r="V48" s="8">
        <f>R48*(1+S48)*原始运算表格!$P$2*原始运算表格!$Q$2</f>
        <v>488.52</v>
      </c>
      <c r="W48" s="8">
        <f>T48*(1+U48)*原始运算表格!$R$2*原始运算表格!$S$2</f>
        <v>0</v>
      </c>
      <c r="X48" s="8">
        <f t="shared" si="7"/>
        <v>488.52</v>
      </c>
      <c r="Y48" s="8">
        <f t="shared" si="8"/>
        <v>977.04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1</v>
      </c>
    </row>
    <row r="49" spans="1:26">
      <c r="A49" s="1">
        <v>1988</v>
      </c>
      <c r="B49" s="1">
        <f t="shared" si="6"/>
        <v>1989</v>
      </c>
      <c r="C49" s="1">
        <v>1</v>
      </c>
      <c r="D49" s="1">
        <v>1</v>
      </c>
      <c r="E49" s="1">
        <f t="shared" si="5"/>
        <v>5</v>
      </c>
      <c r="F49" s="1">
        <f t="shared" si="2"/>
        <v>5</v>
      </c>
      <c r="N49" s="1">
        <v>1</v>
      </c>
      <c r="R49" s="1">
        <v>27</v>
      </c>
      <c r="S49" s="1">
        <v>16.100000000000001</v>
      </c>
      <c r="T49" s="1">
        <v>24.3</v>
      </c>
      <c r="U49" s="1">
        <v>0.6</v>
      </c>
      <c r="V49" s="8">
        <f>R49*(1+S49)*原始运算表格!$P$2*原始运算表格!$Q$2</f>
        <v>461.70000000000005</v>
      </c>
      <c r="W49" s="8">
        <f>T49*(1+U49)*原始运算表格!$R$2*原始运算表格!$S$2</f>
        <v>194.4</v>
      </c>
      <c r="X49" s="8">
        <f t="shared" si="7"/>
        <v>656.09999999999991</v>
      </c>
      <c r="Y49" s="8">
        <f t="shared" si="8"/>
        <v>1312.2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1</v>
      </c>
    </row>
    <row r="50" spans="1:26">
      <c r="A50" s="1">
        <v>1989</v>
      </c>
      <c r="B50" s="1">
        <f t="shared" si="6"/>
        <v>1990</v>
      </c>
      <c r="C50" s="1">
        <v>1</v>
      </c>
      <c r="D50" s="1">
        <v>1</v>
      </c>
      <c r="E50" s="1">
        <f t="shared" si="5"/>
        <v>6</v>
      </c>
      <c r="F50" s="1">
        <f t="shared" si="2"/>
        <v>6</v>
      </c>
      <c r="N50" s="1">
        <v>1</v>
      </c>
      <c r="R50" s="1">
        <v>27.1</v>
      </c>
      <c r="S50" s="1">
        <v>17.3</v>
      </c>
      <c r="T50" s="1">
        <v>25</v>
      </c>
      <c r="U50" s="1">
        <v>1.5</v>
      </c>
      <c r="V50" s="8">
        <f>R50*(1+S50)*原始运算表格!$P$2*原始运算表格!$Q$2</f>
        <v>495.93000000000006</v>
      </c>
      <c r="W50" s="8">
        <f>T50*(1+U50)*原始运算表格!$R$2*原始运算表格!$S$2</f>
        <v>312.5</v>
      </c>
      <c r="X50" s="8">
        <f t="shared" si="7"/>
        <v>808.43000000000006</v>
      </c>
      <c r="Y50" s="8">
        <f t="shared" si="8"/>
        <v>1616.8600000000001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1</v>
      </c>
    </row>
    <row r="51" spans="1:26">
      <c r="A51" s="1">
        <v>1990</v>
      </c>
      <c r="B51" s="1">
        <f t="shared" si="6"/>
        <v>1991</v>
      </c>
      <c r="C51" s="1">
        <v>1</v>
      </c>
      <c r="D51" s="1">
        <v>1</v>
      </c>
      <c r="E51" s="1">
        <f t="shared" si="5"/>
        <v>7</v>
      </c>
      <c r="F51" s="1">
        <f t="shared" si="2"/>
        <v>7</v>
      </c>
      <c r="N51" s="1">
        <v>1</v>
      </c>
      <c r="R51" s="1">
        <v>28.9</v>
      </c>
      <c r="S51" s="1">
        <v>13.4</v>
      </c>
      <c r="T51" s="1">
        <v>26.8</v>
      </c>
      <c r="U51" s="1">
        <v>1.5</v>
      </c>
      <c r="V51" s="8">
        <f>R51*(1+S51)*原始运算表格!$P$2*原始运算表格!$Q$2</f>
        <v>416.15999999999997</v>
      </c>
      <c r="W51" s="8">
        <f>T51*(1+U51)*原始运算表格!$R$2*原始运算表格!$S$2</f>
        <v>335</v>
      </c>
      <c r="X51" s="8">
        <f t="shared" si="7"/>
        <v>751.16</v>
      </c>
      <c r="Y51" s="8">
        <f t="shared" si="8"/>
        <v>1502.32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1</v>
      </c>
    </row>
    <row r="52" spans="1:26">
      <c r="A52" s="1">
        <v>1991</v>
      </c>
      <c r="B52" s="1">
        <f t="shared" si="6"/>
        <v>1992</v>
      </c>
      <c r="C52" s="1">
        <v>1</v>
      </c>
      <c r="D52" s="1">
        <v>0</v>
      </c>
      <c r="E52" s="1">
        <f t="shared" si="5"/>
        <v>8</v>
      </c>
      <c r="F52" s="1">
        <f t="shared" si="2"/>
        <v>8</v>
      </c>
      <c r="R52" s="1">
        <v>24.5</v>
      </c>
      <c r="S52" s="1">
        <v>12.3</v>
      </c>
      <c r="V52" s="8">
        <f>R52*(1+S52)*原始运算表格!$P$2*原始运算表格!$Q$2</f>
        <v>325.85000000000002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325.85000000000002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1</v>
      </c>
      <c r="D53" s="1">
        <v>1</v>
      </c>
      <c r="E53" s="1">
        <f t="shared" si="5"/>
        <v>9</v>
      </c>
      <c r="F53" s="1">
        <f t="shared" si="2"/>
        <v>9</v>
      </c>
      <c r="G53" s="1">
        <v>1</v>
      </c>
      <c r="N53" s="1">
        <v>1</v>
      </c>
      <c r="R53" s="1">
        <v>25.9</v>
      </c>
      <c r="S53" s="1">
        <v>14.4</v>
      </c>
      <c r="T53" s="1">
        <v>24.9</v>
      </c>
      <c r="U53" s="1">
        <v>4.5999999999999996</v>
      </c>
      <c r="V53" s="8">
        <f>R53*(1+S53)*原始运算表格!$P$2*原始运算表格!$Q$2</f>
        <v>398.86</v>
      </c>
      <c r="W53" s="8">
        <f>T53*(1+U53)*原始运算表格!$R$2*原始运算表格!$S$2</f>
        <v>697.19999999999982</v>
      </c>
      <c r="X53" s="8">
        <f t="shared" si="7"/>
        <v>9864.5399999999972</v>
      </c>
      <c r="Y53" s="8">
        <f t="shared" si="8"/>
        <v>10960.599999999999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9</v>
      </c>
    </row>
    <row r="54" spans="1:26">
      <c r="A54" s="1">
        <v>1993</v>
      </c>
      <c r="B54" s="1">
        <f t="shared" si="6"/>
        <v>1994</v>
      </c>
      <c r="C54" s="1">
        <v>1</v>
      </c>
      <c r="D54" s="1">
        <v>1</v>
      </c>
      <c r="E54" s="1">
        <f t="shared" si="5"/>
        <v>10</v>
      </c>
      <c r="F54" s="1">
        <f t="shared" si="2"/>
        <v>10</v>
      </c>
      <c r="R54" s="1">
        <v>22.8</v>
      </c>
      <c r="S54" s="1">
        <v>8.8000000000000007</v>
      </c>
      <c r="T54" s="1">
        <v>27.8</v>
      </c>
      <c r="U54" s="1">
        <v>1.8</v>
      </c>
      <c r="V54" s="8">
        <f>R54*(1+S54)*原始运算表格!$P$2*原始运算表格!$Q$2</f>
        <v>223.44000000000003</v>
      </c>
      <c r="W54" s="8">
        <f>T54*(1+U54)*原始运算表格!$R$2*原始运算表格!$S$2</f>
        <v>389.20000000000005</v>
      </c>
      <c r="X54" s="8">
        <f t="shared" si="7"/>
        <v>0</v>
      </c>
      <c r="Y54" s="8">
        <f t="shared" si="8"/>
        <v>612.6400000000001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1</v>
      </c>
      <c r="D55" s="1">
        <v>1</v>
      </c>
      <c r="E55" s="1">
        <f t="shared" si="5"/>
        <v>11</v>
      </c>
      <c r="F55" s="1">
        <f t="shared" si="2"/>
        <v>11</v>
      </c>
      <c r="R55" s="1">
        <v>25.2</v>
      </c>
      <c r="S55" s="1">
        <v>10.6</v>
      </c>
      <c r="T55" s="1">
        <v>26.6</v>
      </c>
      <c r="U55" s="1">
        <v>1.7</v>
      </c>
      <c r="V55" s="8">
        <f>R55*(1+S55)*原始运算表格!$P$2*原始运算表格!$Q$2</f>
        <v>292.32</v>
      </c>
      <c r="W55" s="8">
        <f>T55*(1+U55)*原始运算表格!$R$2*原始运算表格!$S$2</f>
        <v>359.1</v>
      </c>
      <c r="X55" s="8">
        <f t="shared" si="7"/>
        <v>0</v>
      </c>
      <c r="Y55" s="8">
        <f t="shared" si="8"/>
        <v>651.42000000000007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1</v>
      </c>
      <c r="D56" s="1">
        <v>1</v>
      </c>
      <c r="E56" s="1">
        <f t="shared" si="5"/>
        <v>12</v>
      </c>
      <c r="F56" s="1">
        <f t="shared" si="2"/>
        <v>12</v>
      </c>
      <c r="R56" s="1">
        <v>24.8</v>
      </c>
      <c r="S56" s="1">
        <v>10.5</v>
      </c>
      <c r="T56" s="1">
        <v>27.5</v>
      </c>
      <c r="U56" s="1">
        <v>0.7</v>
      </c>
      <c r="V56" s="8">
        <f>R56*(1+S56)*原始运算表格!$P$2*原始运算表格!$Q$2</f>
        <v>285.2</v>
      </c>
      <c r="W56" s="8">
        <f>T56*(1+U56)*原始运算表格!$R$2*原始运算表格!$S$2</f>
        <v>233.75</v>
      </c>
      <c r="X56" s="8">
        <f t="shared" si="7"/>
        <v>0</v>
      </c>
      <c r="Y56" s="8">
        <f t="shared" si="8"/>
        <v>518.95000000000005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1</v>
      </c>
      <c r="E57" s="1">
        <f t="shared" si="5"/>
        <v>13</v>
      </c>
      <c r="F57" s="1">
        <f t="shared" si="2"/>
        <v>13</v>
      </c>
      <c r="R57" s="1">
        <v>23</v>
      </c>
      <c r="S57" s="1">
        <v>9.4</v>
      </c>
      <c r="T57" s="1">
        <v>20.5</v>
      </c>
      <c r="U57" s="1">
        <v>2.1</v>
      </c>
      <c r="V57" s="8">
        <f>R57*(1+S57)*原始运算表格!$P$2*原始运算表格!$Q$2</f>
        <v>239.20000000000002</v>
      </c>
      <c r="W57" s="8">
        <f>T57*(1+U57)*原始运算表格!$R$2*原始运算表格!$S$2</f>
        <v>317.75</v>
      </c>
      <c r="X57" s="8">
        <f t="shared" si="7"/>
        <v>0</v>
      </c>
      <c r="Y57" s="8">
        <f t="shared" si="8"/>
        <v>556.95000000000005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1</v>
      </c>
      <c r="E58" s="1">
        <f t="shared" si="5"/>
        <v>14</v>
      </c>
      <c r="F58" s="1">
        <f t="shared" si="2"/>
        <v>14</v>
      </c>
      <c r="R58" s="1">
        <v>21.6</v>
      </c>
      <c r="S58" s="1">
        <v>8.6</v>
      </c>
      <c r="T58" s="1">
        <v>16.2</v>
      </c>
      <c r="U58" s="1">
        <v>0.2</v>
      </c>
      <c r="V58" s="8">
        <f>R58*(1+S58)*原始运算表格!$P$2*原始运算表格!$Q$2</f>
        <v>207.36</v>
      </c>
      <c r="W58" s="8">
        <f>T58*(1+U58)*原始运算表格!$R$2*原始运算表格!$S$2</f>
        <v>97.199999999999989</v>
      </c>
      <c r="X58" s="8">
        <f t="shared" si="7"/>
        <v>0</v>
      </c>
      <c r="Y58" s="8">
        <f t="shared" si="8"/>
        <v>304.56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1</v>
      </c>
      <c r="E59" s="1">
        <f t="shared" si="5"/>
        <v>15</v>
      </c>
      <c r="F59" s="1">
        <f t="shared" si="2"/>
        <v>15</v>
      </c>
      <c r="R59" s="1">
        <v>23.1</v>
      </c>
      <c r="S59" s="1">
        <v>6.8</v>
      </c>
      <c r="T59" s="1">
        <v>29</v>
      </c>
      <c r="U59" s="1">
        <v>0.8</v>
      </c>
      <c r="V59" s="8">
        <f>R59*(1+S59)*原始运算表格!$P$2*原始运算表格!$Q$2</f>
        <v>180.18</v>
      </c>
      <c r="W59" s="8">
        <f>T59*(1+U59)*原始运算表格!$R$2*原始运算表格!$S$2</f>
        <v>261</v>
      </c>
      <c r="X59" s="8">
        <f t="shared" si="7"/>
        <v>0</v>
      </c>
      <c r="Y59" s="8">
        <f t="shared" si="8"/>
        <v>441.18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0</v>
      </c>
      <c r="E60" s="1">
        <f t="shared" si="5"/>
        <v>16</v>
      </c>
      <c r="F60" s="1">
        <f t="shared" si="2"/>
        <v>16</v>
      </c>
      <c r="R60" s="1">
        <v>19.8</v>
      </c>
      <c r="S60" s="1">
        <v>1.9</v>
      </c>
      <c r="V60" s="8">
        <f>R60*(1+S60)*原始运算表格!$P$2*原始运算表格!$Q$2</f>
        <v>57.42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57.42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16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16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16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16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16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16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16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16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16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16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16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16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16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16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16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16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16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16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16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Z79"/>
  <sheetViews>
    <sheetView zoomScale="55" zoomScaleNormal="55" workbookViewId="0">
      <pane ySplit="6" topLeftCell="A59" activePane="bottomLeft" state="frozen"/>
      <selection pane="bottomLeft" activeCell="G76" sqref="G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79</v>
      </c>
    </row>
    <row r="5" spans="1:26" s="6" customFormat="1">
      <c r="A5" s="6" t="s">
        <v>22</v>
      </c>
      <c r="B5" s="7"/>
      <c r="C5" s="6">
        <f>SUM(C12:C105)</f>
        <v>16</v>
      </c>
      <c r="D5" s="6">
        <f>SUM(D12:D105)</f>
        <v>13</v>
      </c>
      <c r="G5" s="6">
        <f>SUM(G12:G105)</f>
        <v>0</v>
      </c>
      <c r="H5" s="6">
        <f t="shared" ref="H5:Z5" si="0">SUM(H12:H105)</f>
        <v>1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2</v>
      </c>
      <c r="O5" s="6">
        <f t="shared" si="0"/>
        <v>0</v>
      </c>
      <c r="P5" s="6">
        <f t="shared" si="0"/>
        <v>3</v>
      </c>
      <c r="Q5" s="6">
        <f t="shared" si="0"/>
        <v>1</v>
      </c>
      <c r="R5" s="6">
        <f t="shared" si="0"/>
        <v>366</v>
      </c>
      <c r="S5" s="6">
        <f t="shared" si="0"/>
        <v>120.7</v>
      </c>
      <c r="T5" s="6">
        <f t="shared" si="0"/>
        <v>280.5</v>
      </c>
      <c r="U5" s="6">
        <f t="shared" si="0"/>
        <v>21.6</v>
      </c>
      <c r="V5" s="9">
        <f t="shared" si="0"/>
        <v>3407.9300000000003</v>
      </c>
      <c r="W5" s="9">
        <f t="shared" si="0"/>
        <v>3988.5</v>
      </c>
      <c r="X5" s="9">
        <f t="shared" si="0"/>
        <v>22231.459999999995</v>
      </c>
      <c r="Y5" s="9">
        <f t="shared" si="0"/>
        <v>29627.890000000003</v>
      </c>
      <c r="Z5" s="9">
        <f t="shared" si="0"/>
        <v>24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1</v>
      </c>
      <c r="F64" s="1">
        <f t="shared" si="2"/>
        <v>1</v>
      </c>
      <c r="R64" s="1">
        <v>17.600000000000001</v>
      </c>
      <c r="S64" s="1">
        <v>4.5999999999999996</v>
      </c>
      <c r="T64" s="1">
        <v>17.7</v>
      </c>
      <c r="U64" s="1">
        <v>1.1000000000000001</v>
      </c>
      <c r="V64" s="8">
        <f>R64*(1+S64)*原始运算表格!$P$2*原始运算表格!$Q$2</f>
        <v>98.56</v>
      </c>
      <c r="W64" s="8">
        <f>T64*(1+U64)*原始运算表格!$R$2*原始运算表格!$S$2</f>
        <v>185.85000000000002</v>
      </c>
      <c r="X64" s="8">
        <f t="shared" si="7"/>
        <v>0</v>
      </c>
      <c r="Y64" s="8">
        <f t="shared" si="8"/>
        <v>284.41000000000003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2</v>
      </c>
      <c r="F65" s="1">
        <f t="shared" si="2"/>
        <v>2</v>
      </c>
      <c r="R65" s="1">
        <v>23.1</v>
      </c>
      <c r="S65" s="1">
        <v>11</v>
      </c>
      <c r="T65" s="1">
        <v>24.3</v>
      </c>
      <c r="U65" s="1">
        <v>2.1</v>
      </c>
      <c r="V65" s="8">
        <f>R65*(1+S65)*原始运算表格!$P$2*原始运算表格!$Q$2</f>
        <v>277.20000000000005</v>
      </c>
      <c r="W65" s="8">
        <f>T65*(1+U65)*原始运算表格!$R$2*原始运算表格!$S$2</f>
        <v>376.65</v>
      </c>
      <c r="X65" s="8">
        <f t="shared" si="7"/>
        <v>0</v>
      </c>
      <c r="Y65" s="8">
        <f t="shared" si="8"/>
        <v>653.85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1</v>
      </c>
      <c r="E66" s="1">
        <f t="shared" si="5"/>
        <v>3</v>
      </c>
      <c r="F66" s="1">
        <f t="shared" si="2"/>
        <v>3</v>
      </c>
      <c r="P66" s="1">
        <v>1</v>
      </c>
      <c r="Q66" s="1">
        <v>1</v>
      </c>
      <c r="R66" s="1">
        <v>27.6</v>
      </c>
      <c r="S66" s="1">
        <v>14.4</v>
      </c>
      <c r="T66" s="1">
        <v>26.9</v>
      </c>
      <c r="U66" s="1">
        <v>4.8</v>
      </c>
      <c r="V66" s="8">
        <f>R66*(1+S66)*原始运算表格!$P$2*原始运算表格!$Q$2</f>
        <v>425.04</v>
      </c>
      <c r="W66" s="8">
        <f>T66*(1+U66)*原始运算表格!$R$2*原始运算表格!$S$2</f>
        <v>780.09999999999991</v>
      </c>
      <c r="X66" s="8">
        <f t="shared" si="7"/>
        <v>14461.679999999997</v>
      </c>
      <c r="Y66" s="8">
        <f t="shared" si="8"/>
        <v>15666.819999999998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12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4</v>
      </c>
      <c r="F67" s="1">
        <f t="shared" si="2"/>
        <v>4</v>
      </c>
      <c r="R67" s="1">
        <v>28.9</v>
      </c>
      <c r="S67" s="1">
        <v>8.8000000000000007</v>
      </c>
      <c r="T67" s="1">
        <v>15.2</v>
      </c>
      <c r="U67" s="1">
        <v>-0.2</v>
      </c>
      <c r="V67" s="8">
        <f>R67*(1+S67)*原始运算表格!$P$2*原始运算表格!$Q$2</f>
        <v>283.22000000000003</v>
      </c>
      <c r="W67" s="8">
        <f>T67*(1+U67)*原始运算表格!$R$2*原始运算表格!$S$2</f>
        <v>60.8</v>
      </c>
      <c r="X67" s="8">
        <f t="shared" si="7"/>
        <v>0</v>
      </c>
      <c r="Y67" s="8">
        <f t="shared" si="8"/>
        <v>344.02000000000004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0</v>
      </c>
      <c r="E68" s="1">
        <f t="shared" si="5"/>
        <v>5</v>
      </c>
      <c r="F68" s="1">
        <f t="shared" si="2"/>
        <v>5</v>
      </c>
      <c r="R68" s="1">
        <v>21.5</v>
      </c>
      <c r="S68" s="1">
        <v>3.3</v>
      </c>
      <c r="V68" s="8">
        <f>R68*(1+S68)*原始运算表格!$P$2*原始运算表格!$Q$2</f>
        <v>92.45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92.45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1</v>
      </c>
      <c r="E69" s="1">
        <f t="shared" si="5"/>
        <v>6</v>
      </c>
      <c r="F69" s="1">
        <f t="shared" si="2"/>
        <v>6</v>
      </c>
      <c r="H69" s="1">
        <v>1</v>
      </c>
      <c r="N69" s="1">
        <v>1</v>
      </c>
      <c r="R69" s="1">
        <v>30.4</v>
      </c>
      <c r="S69" s="1">
        <v>14.7</v>
      </c>
      <c r="T69" s="1">
        <v>26.3</v>
      </c>
      <c r="U69" s="1">
        <v>1.2</v>
      </c>
      <c r="V69" s="8">
        <f>R69*(1+S69)*原始运算表格!$P$2*原始运算表格!$Q$2</f>
        <v>477.28</v>
      </c>
      <c r="W69" s="8">
        <f>T69*(1+U69)*原始运算表格!$R$2*原始运算表格!$S$2</f>
        <v>289.3</v>
      </c>
      <c r="X69" s="8">
        <f t="shared" si="7"/>
        <v>2299.7399999999998</v>
      </c>
      <c r="Y69" s="8">
        <f t="shared" si="8"/>
        <v>3066.3199999999997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3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7</v>
      </c>
      <c r="F70" s="1">
        <f t="shared" si="2"/>
        <v>7</v>
      </c>
      <c r="N70" s="1">
        <v>1</v>
      </c>
      <c r="R70" s="1">
        <v>28</v>
      </c>
      <c r="S70" s="1">
        <v>13</v>
      </c>
      <c r="T70" s="1">
        <v>29.4</v>
      </c>
      <c r="U70" s="1">
        <v>1</v>
      </c>
      <c r="V70" s="8">
        <f>R70*(1+S70)*原始运算表格!$P$2*原始运算表格!$Q$2</f>
        <v>392</v>
      </c>
      <c r="W70" s="8">
        <f>T70*(1+U70)*原始运算表格!$R$2*原始运算表格!$S$2</f>
        <v>294</v>
      </c>
      <c r="X70" s="8">
        <f t="shared" si="7"/>
        <v>686</v>
      </c>
      <c r="Y70" s="8">
        <f t="shared" si="8"/>
        <v>1372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1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8</v>
      </c>
      <c r="F71" s="1">
        <f t="shared" ref="F71:F79" si="9">C71*E71</f>
        <v>8</v>
      </c>
      <c r="R71" s="1">
        <v>25.6</v>
      </c>
      <c r="S71" s="1">
        <v>12.8</v>
      </c>
      <c r="T71" s="1">
        <v>26.3</v>
      </c>
      <c r="U71" s="1">
        <v>3.7</v>
      </c>
      <c r="V71" s="8">
        <f>R71*(1+S71)*原始运算表格!$P$2*原始运算表格!$Q$2</f>
        <v>353.28000000000003</v>
      </c>
      <c r="W71" s="8">
        <f>T71*(1+U71)*原始运算表格!$R$2*原始运算表格!$S$2</f>
        <v>618.05000000000007</v>
      </c>
      <c r="X71" s="8">
        <f t="shared" si="7"/>
        <v>0</v>
      </c>
      <c r="Y71" s="8">
        <f t="shared" si="8"/>
        <v>971.33000000000015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9</v>
      </c>
      <c r="F72" s="1">
        <f t="shared" si="9"/>
        <v>9</v>
      </c>
      <c r="P72" s="1">
        <v>1</v>
      </c>
      <c r="R72" s="1">
        <v>26.3</v>
      </c>
      <c r="S72" s="1">
        <v>7.7</v>
      </c>
      <c r="T72" s="1">
        <v>22</v>
      </c>
      <c r="U72" s="1">
        <v>3.1</v>
      </c>
      <c r="V72" s="8">
        <f>R72*(1+S72)*原始运算表格!$P$2*原始运算表格!$Q$2</f>
        <v>228.80999999999997</v>
      </c>
      <c r="W72" s="8">
        <f>T72*(1+U72)*原始运算表格!$R$2*原始运算表格!$S$2</f>
        <v>450.99999999999994</v>
      </c>
      <c r="X72" s="8">
        <f t="shared" si="7"/>
        <v>2719.24</v>
      </c>
      <c r="Y72" s="8">
        <f t="shared" si="8"/>
        <v>3399.0499999999997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4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10</v>
      </c>
      <c r="F73" s="1">
        <f t="shared" si="9"/>
        <v>10</v>
      </c>
      <c r="P73" s="1">
        <v>1</v>
      </c>
      <c r="R73" s="1">
        <v>24</v>
      </c>
      <c r="S73" s="1">
        <v>9.6</v>
      </c>
      <c r="T73" s="1">
        <v>18.7</v>
      </c>
      <c r="U73" s="1">
        <v>1.8</v>
      </c>
      <c r="V73" s="8">
        <f>R73*(1+S73)*原始运算表格!$P$2*原始运算表格!$Q$2</f>
        <v>254.39999999999998</v>
      </c>
      <c r="W73" s="8">
        <f>T73*(1+U73)*原始运算表格!$R$2*原始运算表格!$S$2</f>
        <v>261.79999999999995</v>
      </c>
      <c r="X73" s="8">
        <f t="shared" si="7"/>
        <v>2064.7999999999997</v>
      </c>
      <c r="Y73" s="8">
        <f t="shared" si="8"/>
        <v>2580.9999999999995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4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11</v>
      </c>
      <c r="F74" s="1">
        <f t="shared" si="9"/>
        <v>11</v>
      </c>
      <c r="R74" s="1">
        <v>22</v>
      </c>
      <c r="S74" s="1">
        <v>5.5</v>
      </c>
      <c r="T74" s="1">
        <v>18.5</v>
      </c>
      <c r="U74" s="1">
        <v>1.2</v>
      </c>
      <c r="V74" s="8">
        <f>R74*(1+S74)*原始运算表格!$P$2*原始运算表格!$Q$2</f>
        <v>143</v>
      </c>
      <c r="W74" s="8">
        <f>T74*(1+U74)*原始运算表格!$R$2*原始运算表格!$S$2</f>
        <v>203.5</v>
      </c>
      <c r="X74" s="8">
        <f t="shared" si="7"/>
        <v>0</v>
      </c>
      <c r="Y74" s="8">
        <f t="shared" si="8"/>
        <v>346.5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0</v>
      </c>
      <c r="E75" s="1">
        <f t="shared" si="10"/>
        <v>12</v>
      </c>
      <c r="F75" s="1">
        <f t="shared" si="9"/>
        <v>12</v>
      </c>
      <c r="R75" s="1">
        <v>21.4</v>
      </c>
      <c r="S75" s="1">
        <v>3.5</v>
      </c>
      <c r="V75" s="8">
        <f>R75*(1+S75)*原始运算表格!$P$2*原始运算表格!$Q$2</f>
        <v>96.3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96.3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13</v>
      </c>
      <c r="F76" s="1">
        <f t="shared" si="9"/>
        <v>13</v>
      </c>
      <c r="R76" s="1">
        <v>20.3</v>
      </c>
      <c r="S76" s="1">
        <v>4.9000000000000004</v>
      </c>
      <c r="T76" s="1">
        <v>22.3</v>
      </c>
      <c r="U76" s="1">
        <v>1.5</v>
      </c>
      <c r="V76" s="8">
        <f>R76*(1+S76)*原始运算表格!$P$2*原始运算表格!$Q$2</f>
        <v>119.77000000000001</v>
      </c>
      <c r="W76" s="8">
        <f>T76*(1+U76)*原始运算表格!$R$2*原始运算表格!$S$2</f>
        <v>278.75</v>
      </c>
      <c r="X76" s="8">
        <f t="shared" si="7"/>
        <v>0</v>
      </c>
      <c r="Y76" s="8">
        <f t="shared" si="8"/>
        <v>398.52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14</v>
      </c>
      <c r="F77" s="1">
        <f t="shared" si="9"/>
        <v>14</v>
      </c>
      <c r="R77" s="1">
        <v>18.5</v>
      </c>
      <c r="S77" s="1">
        <v>3.4</v>
      </c>
      <c r="T77" s="1">
        <v>15.5</v>
      </c>
      <c r="U77" s="1">
        <v>0.2</v>
      </c>
      <c r="V77" s="8">
        <f>R77*(1+S77)*原始运算表格!$P$2*原始运算表格!$Q$2</f>
        <v>81.400000000000006</v>
      </c>
      <c r="W77" s="8">
        <f>T77*(1+U77)*原始运算表格!$R$2*原始运算表格!$S$2</f>
        <v>92.999999999999986</v>
      </c>
      <c r="X77" s="8">
        <f t="shared" si="7"/>
        <v>0</v>
      </c>
      <c r="Y77" s="8">
        <f t="shared" si="8"/>
        <v>174.39999999999998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15</v>
      </c>
      <c r="F78" s="1">
        <f t="shared" si="9"/>
        <v>15</v>
      </c>
      <c r="R78" s="1">
        <v>15</v>
      </c>
      <c r="S78" s="1">
        <v>1.1000000000000001</v>
      </c>
      <c r="T78" s="1">
        <v>17.399999999999999</v>
      </c>
      <c r="U78" s="1">
        <v>0.1</v>
      </c>
      <c r="V78" s="8">
        <f>R78*(1+S78)*原始运算表格!$P$2*原始运算表格!$Q$2</f>
        <v>31.5</v>
      </c>
      <c r="W78" s="8">
        <f>T78*(1+U78)*原始运算表格!$R$2*原始运算表格!$S$2</f>
        <v>95.7</v>
      </c>
      <c r="X78" s="8">
        <f t="shared" si="7"/>
        <v>0</v>
      </c>
      <c r="Y78" s="8">
        <f t="shared" si="8"/>
        <v>127.2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1</v>
      </c>
      <c r="D79" s="1">
        <v>0</v>
      </c>
      <c r="E79" s="1">
        <f t="shared" si="10"/>
        <v>16</v>
      </c>
      <c r="F79" s="1">
        <f t="shared" si="9"/>
        <v>16</v>
      </c>
      <c r="R79" s="1">
        <v>15.8</v>
      </c>
      <c r="S79" s="1">
        <v>2.4</v>
      </c>
      <c r="V79" s="8">
        <f>R79*(1+S79)*原始运算表格!$P$2*原始运算表格!$Q$2</f>
        <v>53.72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53.72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Z79"/>
  <sheetViews>
    <sheetView zoomScale="55" zoomScaleNormal="55" workbookViewId="0">
      <pane ySplit="6" topLeftCell="A64" activePane="bottomLeft" state="frozen"/>
      <selection pane="bottomLeft" activeCell="B2" sqref="B2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80</v>
      </c>
    </row>
    <row r="5" spans="1:26" s="6" customFormat="1">
      <c r="A5" s="6" t="s">
        <v>22</v>
      </c>
      <c r="B5" s="7"/>
      <c r="C5" s="6">
        <f>SUM(C12:C105)</f>
        <v>10</v>
      </c>
      <c r="D5" s="6">
        <f>SUM(D12:D105)</f>
        <v>7</v>
      </c>
      <c r="G5" s="6">
        <f>SUM(G12:G105)</f>
        <v>2</v>
      </c>
      <c r="H5" s="6">
        <f t="shared" ref="H5:Z5" si="0">SUM(H12:H105)</f>
        <v>1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1</v>
      </c>
      <c r="M5" s="6">
        <f t="shared" si="0"/>
        <v>0</v>
      </c>
      <c r="N5" s="6">
        <f t="shared" si="0"/>
        <v>3</v>
      </c>
      <c r="O5" s="6">
        <f t="shared" si="0"/>
        <v>0</v>
      </c>
      <c r="P5" s="6">
        <f t="shared" si="0"/>
        <v>3</v>
      </c>
      <c r="Q5" s="6">
        <f t="shared" si="0"/>
        <v>0</v>
      </c>
      <c r="R5" s="6">
        <f t="shared" si="0"/>
        <v>239</v>
      </c>
      <c r="S5" s="6">
        <f t="shared" si="0"/>
        <v>103.09999999999998</v>
      </c>
      <c r="T5" s="6">
        <f t="shared" si="0"/>
        <v>158.19999999999999</v>
      </c>
      <c r="U5" s="6">
        <f t="shared" si="0"/>
        <v>17.100000000000001</v>
      </c>
      <c r="V5" s="9">
        <f t="shared" si="0"/>
        <v>2858.5</v>
      </c>
      <c r="W5" s="9">
        <f t="shared" si="0"/>
        <v>2799.4500000000003</v>
      </c>
      <c r="X5" s="9">
        <f t="shared" si="0"/>
        <v>32819.199999999997</v>
      </c>
      <c r="Y5" s="9">
        <f t="shared" si="0"/>
        <v>38477.15</v>
      </c>
      <c r="Z5" s="9">
        <f t="shared" si="0"/>
        <v>35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0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0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0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0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0</v>
      </c>
      <c r="E70" s="1">
        <f t="shared" si="5"/>
        <v>1</v>
      </c>
      <c r="F70" s="1">
        <f t="shared" si="2"/>
        <v>1</v>
      </c>
      <c r="R70" s="1">
        <v>16.3</v>
      </c>
      <c r="S70" s="1">
        <v>4.7</v>
      </c>
      <c r="V70" s="8">
        <f>R70*(1+S70)*原始运算表格!$P$2*原始运算表格!$Q$2</f>
        <v>92.910000000000011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92.910000000000011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0</v>
      </c>
      <c r="E71" s="1">
        <f t="shared" si="5"/>
        <v>2</v>
      </c>
      <c r="F71" s="1">
        <f t="shared" ref="F71:F79" si="9">C71*E71</f>
        <v>2</v>
      </c>
      <c r="R71" s="1">
        <v>19.399999999999999</v>
      </c>
      <c r="S71" s="1">
        <v>6.6</v>
      </c>
      <c r="V71" s="8">
        <f>R71*(1+S71)*原始运算表格!$P$2*原始运算表格!$Q$2</f>
        <v>147.43999999999997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147.43999999999997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0</v>
      </c>
      <c r="E72" s="1">
        <f t="shared" si="5"/>
        <v>3</v>
      </c>
      <c r="F72" s="1">
        <f t="shared" si="9"/>
        <v>3</v>
      </c>
      <c r="R72" s="1">
        <v>21.2</v>
      </c>
      <c r="S72" s="1">
        <v>2.2000000000000002</v>
      </c>
      <c r="V72" s="8">
        <f>R72*(1+S72)*原始运算表格!$P$2*原始运算表格!$Q$2</f>
        <v>67.84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67.84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4</v>
      </c>
      <c r="F73" s="1">
        <f t="shared" si="9"/>
        <v>4</v>
      </c>
      <c r="R73" s="1">
        <v>21.3</v>
      </c>
      <c r="S73" s="1">
        <v>11.2</v>
      </c>
      <c r="T73" s="1">
        <v>20.5</v>
      </c>
      <c r="U73" s="1">
        <v>1.7</v>
      </c>
      <c r="V73" s="8">
        <f>R73*(1+S73)*原始运算表格!$P$2*原始运算表格!$Q$2</f>
        <v>259.86</v>
      </c>
      <c r="W73" s="8">
        <f>T73*(1+U73)*原始运算表格!$R$2*原始运算表格!$S$2</f>
        <v>276.75</v>
      </c>
      <c r="X73" s="8">
        <f t="shared" si="7"/>
        <v>0</v>
      </c>
      <c r="Y73" s="8">
        <f t="shared" si="8"/>
        <v>536.61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5</v>
      </c>
      <c r="F74" s="1">
        <f t="shared" si="9"/>
        <v>5</v>
      </c>
      <c r="R74" s="1">
        <v>24.1</v>
      </c>
      <c r="S74" s="1">
        <v>13.4</v>
      </c>
      <c r="T74" s="1">
        <v>18.8</v>
      </c>
      <c r="U74" s="1">
        <v>0.8</v>
      </c>
      <c r="V74" s="8">
        <f>R74*(1+S74)*原始运算表格!$P$2*原始运算表格!$Q$2</f>
        <v>347.04</v>
      </c>
      <c r="W74" s="8">
        <f>T74*(1+U74)*原始运算表格!$R$2*原始运算表格!$S$2</f>
        <v>169.20000000000002</v>
      </c>
      <c r="X74" s="8">
        <f t="shared" si="7"/>
        <v>0</v>
      </c>
      <c r="Y74" s="8">
        <f t="shared" si="8"/>
        <v>516.24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6</v>
      </c>
      <c r="F75" s="1">
        <f t="shared" si="9"/>
        <v>6</v>
      </c>
      <c r="G75" s="1">
        <v>1</v>
      </c>
      <c r="N75" s="1">
        <v>1</v>
      </c>
      <c r="P75" s="1">
        <v>1</v>
      </c>
      <c r="R75" s="1">
        <v>28</v>
      </c>
      <c r="S75" s="1">
        <v>15.7</v>
      </c>
      <c r="T75" s="1">
        <v>24.5</v>
      </c>
      <c r="U75" s="1">
        <v>3.9</v>
      </c>
      <c r="V75" s="8">
        <f>R75*(1+S75)*原始运算表格!$P$2*原始运算表格!$Q$2</f>
        <v>467.59999999999997</v>
      </c>
      <c r="W75" s="8">
        <f>T75*(1+U75)*原始运算表格!$R$2*原始运算表格!$S$2</f>
        <v>600.25</v>
      </c>
      <c r="X75" s="8">
        <f t="shared" si="7"/>
        <v>13882.049999999997</v>
      </c>
      <c r="Y75" s="8">
        <f t="shared" si="8"/>
        <v>14949.899999999998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13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7</v>
      </c>
      <c r="F76" s="1">
        <f t="shared" si="9"/>
        <v>7</v>
      </c>
      <c r="G76" s="1">
        <v>1</v>
      </c>
      <c r="H76" s="1">
        <v>1</v>
      </c>
      <c r="L76" s="1">
        <v>1</v>
      </c>
      <c r="N76" s="1">
        <v>1</v>
      </c>
      <c r="R76" s="1">
        <v>31.5</v>
      </c>
      <c r="S76" s="1">
        <v>17.899999999999999</v>
      </c>
      <c r="T76" s="1">
        <v>22.3</v>
      </c>
      <c r="U76" s="1">
        <v>1.9</v>
      </c>
      <c r="V76" s="8">
        <f>R76*(1+S76)*原始运算表格!$P$2*原始运算表格!$Q$2</f>
        <v>595.34999999999991</v>
      </c>
      <c r="W76" s="8">
        <f>T76*(1+U76)*原始运算表格!$R$2*原始运算表格!$S$2</f>
        <v>323.35000000000002</v>
      </c>
      <c r="X76" s="8">
        <f t="shared" si="7"/>
        <v>11943.099999999999</v>
      </c>
      <c r="Y76" s="8">
        <f t="shared" si="8"/>
        <v>12861.8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13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8</v>
      </c>
      <c r="F77" s="1">
        <f t="shared" si="9"/>
        <v>8</v>
      </c>
      <c r="P77" s="1">
        <v>1</v>
      </c>
      <c r="R77" s="1">
        <v>24.6</v>
      </c>
      <c r="S77" s="1">
        <v>12.6</v>
      </c>
      <c r="T77" s="1">
        <v>27.1</v>
      </c>
      <c r="U77" s="1">
        <v>3.4</v>
      </c>
      <c r="V77" s="8">
        <f>R77*(1+S77)*原始运算表格!$P$2*原始运算表格!$Q$2</f>
        <v>334.56</v>
      </c>
      <c r="W77" s="8">
        <f>T77*(1+U77)*原始运算表格!$R$2*原始运算表格!$S$2</f>
        <v>596.20000000000005</v>
      </c>
      <c r="X77" s="8">
        <f t="shared" si="7"/>
        <v>3723.0400000000004</v>
      </c>
      <c r="Y77" s="8">
        <f t="shared" si="8"/>
        <v>4653.8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4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9</v>
      </c>
      <c r="F78" s="1">
        <f t="shared" si="9"/>
        <v>9</v>
      </c>
      <c r="P78" s="1">
        <v>1</v>
      </c>
      <c r="R78" s="1">
        <v>28.2</v>
      </c>
      <c r="S78" s="1">
        <v>9.1</v>
      </c>
      <c r="T78" s="1">
        <v>22.3</v>
      </c>
      <c r="U78" s="1">
        <v>2.1</v>
      </c>
      <c r="V78" s="8">
        <f>R78*(1+S78)*原始运算表格!$P$2*原始运算表格!$Q$2</f>
        <v>284.82</v>
      </c>
      <c r="W78" s="8">
        <f>T78*(1+U78)*原始运算表格!$R$2*原始运算表格!$S$2</f>
        <v>345.65000000000003</v>
      </c>
      <c r="X78" s="8">
        <f t="shared" si="7"/>
        <v>2521.88</v>
      </c>
      <c r="Y78" s="8">
        <f t="shared" si="8"/>
        <v>3152.3500000000004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4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10</v>
      </c>
      <c r="F79" s="1">
        <f t="shared" si="9"/>
        <v>10</v>
      </c>
      <c r="N79" s="1">
        <v>1</v>
      </c>
      <c r="R79" s="1">
        <v>24.4</v>
      </c>
      <c r="S79" s="1">
        <v>9.6999999999999993</v>
      </c>
      <c r="T79" s="1">
        <v>22.7</v>
      </c>
      <c r="U79" s="1">
        <v>3.3</v>
      </c>
      <c r="V79" s="8">
        <f>R79*(1+S79)*原始运算表格!$P$2*原始运算表格!$Q$2</f>
        <v>261.08</v>
      </c>
      <c r="W79" s="8">
        <f>T79*(1+U79)*原始运算表格!$R$2*原始运算表格!$S$2</f>
        <v>488.05</v>
      </c>
      <c r="X79" s="8">
        <f t="shared" si="7"/>
        <v>749.13000000000011</v>
      </c>
      <c r="Y79" s="8">
        <f t="shared" si="8"/>
        <v>1498.26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1</v>
      </c>
    </row>
  </sheetData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Z79"/>
  <sheetViews>
    <sheetView zoomScale="55" zoomScaleNormal="55" workbookViewId="0">
      <pane ySplit="6" topLeftCell="A49" activePane="bottomLeft" state="frozen"/>
      <selection pane="bottomLeft" activeCell="D65" sqref="D65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81</v>
      </c>
    </row>
    <row r="5" spans="1:26" s="6" customFormat="1">
      <c r="A5" s="6" t="s">
        <v>22</v>
      </c>
      <c r="B5" s="7"/>
      <c r="C5" s="6">
        <f>SUM(C12:C105)</f>
        <v>17</v>
      </c>
      <c r="D5" s="6">
        <f>SUM(D12:D105)</f>
        <v>16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1</v>
      </c>
      <c r="M5" s="6">
        <f t="shared" si="0"/>
        <v>0</v>
      </c>
      <c r="N5" s="6">
        <f t="shared" si="0"/>
        <v>3</v>
      </c>
      <c r="O5" s="6">
        <f t="shared" si="0"/>
        <v>8</v>
      </c>
      <c r="P5" s="6">
        <f t="shared" si="0"/>
        <v>6</v>
      </c>
      <c r="Q5" s="6">
        <f t="shared" si="0"/>
        <v>0</v>
      </c>
      <c r="R5" s="6">
        <f t="shared" si="0"/>
        <v>305</v>
      </c>
      <c r="S5" s="6">
        <f t="shared" si="0"/>
        <v>125.09999999999998</v>
      </c>
      <c r="T5" s="6">
        <f t="shared" si="0"/>
        <v>277.79999999999995</v>
      </c>
      <c r="U5" s="6">
        <f t="shared" si="0"/>
        <v>23.5</v>
      </c>
      <c r="V5" s="9">
        <f t="shared" si="0"/>
        <v>2759.82</v>
      </c>
      <c r="W5" s="9">
        <f t="shared" si="0"/>
        <v>3654.2</v>
      </c>
      <c r="X5" s="9">
        <f t="shared" si="0"/>
        <v>21601.75</v>
      </c>
      <c r="Y5" s="9">
        <f t="shared" si="0"/>
        <v>28015.769999999997</v>
      </c>
      <c r="Z5" s="9">
        <f t="shared" si="0"/>
        <v>37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1</v>
      </c>
      <c r="D48" s="1">
        <v>1</v>
      </c>
      <c r="E48" s="1">
        <f t="shared" si="5"/>
        <v>1</v>
      </c>
      <c r="F48" s="1">
        <f t="shared" si="2"/>
        <v>1</v>
      </c>
      <c r="R48" s="1">
        <v>12.9</v>
      </c>
      <c r="S48" s="1">
        <v>2.2999999999999998</v>
      </c>
      <c r="T48" s="1">
        <v>10</v>
      </c>
      <c r="U48" s="1">
        <v>0.1</v>
      </c>
      <c r="V48" s="8">
        <f>R48*(1+S48)*原始运算表格!$P$2*原始运算表格!$Q$2</f>
        <v>42.57</v>
      </c>
      <c r="W48" s="8">
        <f>T48*(1+U48)*原始运算表格!$R$2*原始运算表格!$S$2</f>
        <v>55</v>
      </c>
      <c r="X48" s="8">
        <f t="shared" si="7"/>
        <v>0</v>
      </c>
      <c r="Y48" s="8">
        <f t="shared" si="8"/>
        <v>97.57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1</v>
      </c>
      <c r="D49" s="1">
        <v>1</v>
      </c>
      <c r="E49" s="1">
        <f t="shared" si="5"/>
        <v>2</v>
      </c>
      <c r="F49" s="1">
        <f t="shared" si="2"/>
        <v>2</v>
      </c>
      <c r="R49" s="1">
        <v>14.9</v>
      </c>
      <c r="S49" s="1">
        <v>4</v>
      </c>
      <c r="T49" s="1">
        <v>14.4</v>
      </c>
      <c r="U49" s="1">
        <v>1.3</v>
      </c>
      <c r="V49" s="8">
        <f>R49*(1+S49)*原始运算表格!$P$2*原始运算表格!$Q$2</f>
        <v>74.5</v>
      </c>
      <c r="W49" s="8">
        <f>T49*(1+U49)*原始运算表格!$R$2*原始运算表格!$S$2</f>
        <v>165.6</v>
      </c>
      <c r="X49" s="8">
        <f t="shared" si="7"/>
        <v>0</v>
      </c>
      <c r="Y49" s="8">
        <f t="shared" si="8"/>
        <v>240.1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1</v>
      </c>
      <c r="D50" s="1">
        <v>1</v>
      </c>
      <c r="E50" s="1">
        <f t="shared" si="5"/>
        <v>3</v>
      </c>
      <c r="F50" s="1">
        <f t="shared" si="2"/>
        <v>3</v>
      </c>
      <c r="R50" s="1">
        <v>16.3</v>
      </c>
      <c r="S50" s="1">
        <v>5.7</v>
      </c>
      <c r="T50" s="1">
        <v>18.7</v>
      </c>
      <c r="U50" s="1">
        <v>1.9</v>
      </c>
      <c r="V50" s="8">
        <f>R50*(1+S50)*原始运算表格!$P$2*原始运算表格!$Q$2</f>
        <v>109.21000000000001</v>
      </c>
      <c r="W50" s="8">
        <f>T50*(1+U50)*原始运算表格!$R$2*原始运算表格!$S$2</f>
        <v>271.14999999999998</v>
      </c>
      <c r="X50" s="8">
        <f t="shared" si="7"/>
        <v>0</v>
      </c>
      <c r="Y50" s="8">
        <f t="shared" si="8"/>
        <v>380.36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1</v>
      </c>
      <c r="D51" s="1">
        <v>1</v>
      </c>
      <c r="E51" s="1">
        <f t="shared" si="5"/>
        <v>4</v>
      </c>
      <c r="F51" s="1">
        <f t="shared" si="2"/>
        <v>4</v>
      </c>
      <c r="O51" s="1">
        <v>1</v>
      </c>
      <c r="P51" s="1">
        <v>1</v>
      </c>
      <c r="R51" s="1">
        <v>20.6</v>
      </c>
      <c r="S51" s="1">
        <v>11.2</v>
      </c>
      <c r="T51" s="1">
        <v>22</v>
      </c>
      <c r="U51" s="1">
        <v>2.9</v>
      </c>
      <c r="V51" s="8">
        <f>R51*(1+S51)*原始运算表格!$P$2*原始运算表格!$Q$2</f>
        <v>251.32</v>
      </c>
      <c r="W51" s="8">
        <f>T51*(1+U51)*原始运算表格!$R$2*原始运算表格!$S$2</f>
        <v>429</v>
      </c>
      <c r="X51" s="8">
        <f t="shared" si="7"/>
        <v>3401.5999999999995</v>
      </c>
      <c r="Y51" s="8">
        <f t="shared" si="8"/>
        <v>4081.9199999999996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5</v>
      </c>
    </row>
    <row r="52" spans="1:26">
      <c r="A52" s="1">
        <v>1991</v>
      </c>
      <c r="B52" s="1">
        <f t="shared" si="6"/>
        <v>1992</v>
      </c>
      <c r="C52" s="1">
        <v>1</v>
      </c>
      <c r="D52" s="1">
        <v>1</v>
      </c>
      <c r="E52" s="1">
        <f t="shared" si="5"/>
        <v>5</v>
      </c>
      <c r="F52" s="1">
        <f t="shared" si="2"/>
        <v>5</v>
      </c>
      <c r="O52" s="1">
        <v>1</v>
      </c>
      <c r="P52" s="1">
        <v>1</v>
      </c>
      <c r="R52" s="1">
        <v>21.5</v>
      </c>
      <c r="S52" s="1">
        <v>12.7</v>
      </c>
      <c r="T52" s="1">
        <v>20.100000000000001</v>
      </c>
      <c r="U52" s="1">
        <v>3.1</v>
      </c>
      <c r="V52" s="8">
        <f>R52*(1+S52)*原始运算表格!$P$2*原始运算表格!$Q$2</f>
        <v>294.55</v>
      </c>
      <c r="W52" s="8">
        <f>T52*(1+U52)*原始运算表格!$R$2*原始运算表格!$S$2</f>
        <v>412.04999999999995</v>
      </c>
      <c r="X52" s="8">
        <f t="shared" si="7"/>
        <v>3532.9999999999991</v>
      </c>
      <c r="Y52" s="8">
        <f t="shared" si="8"/>
        <v>4239.5999999999995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5</v>
      </c>
    </row>
    <row r="53" spans="1:26">
      <c r="A53" s="1">
        <v>1992</v>
      </c>
      <c r="B53" s="1">
        <f t="shared" si="6"/>
        <v>1993</v>
      </c>
      <c r="C53" s="1">
        <v>1</v>
      </c>
      <c r="D53" s="1">
        <v>1</v>
      </c>
      <c r="E53" s="1">
        <f t="shared" si="5"/>
        <v>6</v>
      </c>
      <c r="F53" s="1">
        <f t="shared" si="2"/>
        <v>6</v>
      </c>
      <c r="O53" s="1">
        <v>1</v>
      </c>
      <c r="P53" s="1">
        <v>1</v>
      </c>
      <c r="R53" s="1">
        <v>19.2</v>
      </c>
      <c r="S53" s="1">
        <v>8.6</v>
      </c>
      <c r="T53" s="1">
        <v>16.899999999999999</v>
      </c>
      <c r="U53" s="1">
        <v>1.4</v>
      </c>
      <c r="V53" s="8">
        <f>R53*(1+S53)*原始运算表格!$P$2*原始运算表格!$Q$2</f>
        <v>184.32</v>
      </c>
      <c r="W53" s="8">
        <f>T53*(1+U53)*原始运算表格!$R$2*原始运算表格!$S$2</f>
        <v>202.79999999999998</v>
      </c>
      <c r="X53" s="8">
        <f t="shared" si="7"/>
        <v>1935.6000000000001</v>
      </c>
      <c r="Y53" s="8">
        <f t="shared" si="8"/>
        <v>2322.7200000000003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5</v>
      </c>
    </row>
    <row r="54" spans="1:26">
      <c r="A54" s="1">
        <v>1993</v>
      </c>
      <c r="B54" s="1">
        <f t="shared" si="6"/>
        <v>1994</v>
      </c>
      <c r="C54" s="1">
        <v>1</v>
      </c>
      <c r="D54" s="1">
        <v>1</v>
      </c>
      <c r="E54" s="1">
        <f t="shared" si="5"/>
        <v>7</v>
      </c>
      <c r="F54" s="1">
        <f t="shared" si="2"/>
        <v>7</v>
      </c>
      <c r="N54" s="1">
        <v>1</v>
      </c>
      <c r="O54" s="1">
        <v>1</v>
      </c>
      <c r="R54" s="1">
        <v>23.2</v>
      </c>
      <c r="S54" s="1">
        <v>11.2</v>
      </c>
      <c r="T54" s="1">
        <v>22.8</v>
      </c>
      <c r="U54" s="1">
        <v>1.2</v>
      </c>
      <c r="V54" s="8">
        <f>R54*(1+S54)*原始运算表格!$P$2*原始运算表格!$Q$2</f>
        <v>283.03999999999996</v>
      </c>
      <c r="W54" s="8">
        <f>T54*(1+U54)*原始运算表格!$R$2*原始运算表格!$S$2</f>
        <v>250.8</v>
      </c>
      <c r="X54" s="8">
        <f t="shared" si="7"/>
        <v>1067.6799999999998</v>
      </c>
      <c r="Y54" s="8">
        <f t="shared" si="8"/>
        <v>1601.5199999999998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2</v>
      </c>
    </row>
    <row r="55" spans="1:26">
      <c r="A55" s="1">
        <v>1994</v>
      </c>
      <c r="B55" s="1">
        <f t="shared" si="6"/>
        <v>1995</v>
      </c>
      <c r="C55" s="1">
        <v>1</v>
      </c>
      <c r="D55" s="1">
        <v>1</v>
      </c>
      <c r="E55" s="1">
        <f t="shared" si="5"/>
        <v>8</v>
      </c>
      <c r="F55" s="1">
        <f t="shared" si="2"/>
        <v>8</v>
      </c>
      <c r="L55" s="1">
        <v>1</v>
      </c>
      <c r="N55" s="1">
        <v>1</v>
      </c>
      <c r="O55" s="1">
        <v>1</v>
      </c>
      <c r="R55" s="1">
        <v>22.6</v>
      </c>
      <c r="S55" s="1">
        <v>11.8</v>
      </c>
      <c r="T55" s="1">
        <v>18.899999999999999</v>
      </c>
      <c r="U55" s="1">
        <v>1.2</v>
      </c>
      <c r="V55" s="8">
        <f>R55*(1+S55)*原始运算表格!$P$2*原始运算表格!$Q$2</f>
        <v>289.28000000000003</v>
      </c>
      <c r="W55" s="8">
        <f>T55*(1+U55)*原始运算表格!$R$2*原始运算表格!$S$2</f>
        <v>207.89999999999998</v>
      </c>
      <c r="X55" s="8">
        <f t="shared" si="7"/>
        <v>1988.72</v>
      </c>
      <c r="Y55" s="8">
        <f t="shared" si="8"/>
        <v>2485.9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4</v>
      </c>
    </row>
    <row r="56" spans="1:26">
      <c r="A56" s="1">
        <v>1995</v>
      </c>
      <c r="B56" s="1">
        <f t="shared" si="6"/>
        <v>1996</v>
      </c>
      <c r="C56" s="1">
        <v>1</v>
      </c>
      <c r="D56" s="1">
        <v>1</v>
      </c>
      <c r="E56" s="1">
        <f t="shared" si="5"/>
        <v>9</v>
      </c>
      <c r="F56" s="1">
        <f t="shared" si="2"/>
        <v>9</v>
      </c>
      <c r="N56" s="1">
        <v>1</v>
      </c>
      <c r="O56" s="1">
        <v>1</v>
      </c>
      <c r="P56" s="1">
        <v>1</v>
      </c>
      <c r="R56" s="1">
        <v>21</v>
      </c>
      <c r="S56" s="1">
        <v>12.3</v>
      </c>
      <c r="T56" s="1">
        <v>19.399999999999999</v>
      </c>
      <c r="U56" s="1">
        <v>3</v>
      </c>
      <c r="V56" s="8">
        <f>R56*(1+S56)*原始运算表格!$P$2*原始运算表格!$Q$2</f>
        <v>279.3</v>
      </c>
      <c r="W56" s="8">
        <f>T56*(1+U56)*原始运算表格!$R$2*原始运算表格!$S$2</f>
        <v>388</v>
      </c>
      <c r="X56" s="8">
        <f t="shared" si="7"/>
        <v>4003.7999999999993</v>
      </c>
      <c r="Y56" s="8">
        <f t="shared" si="8"/>
        <v>4671.0999999999995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6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1</v>
      </c>
      <c r="E57" s="1">
        <f t="shared" si="5"/>
        <v>10</v>
      </c>
      <c r="F57" s="1">
        <f t="shared" si="2"/>
        <v>10</v>
      </c>
      <c r="O57" s="1">
        <v>1</v>
      </c>
      <c r="P57" s="1">
        <v>1</v>
      </c>
      <c r="R57" s="1">
        <v>21.3</v>
      </c>
      <c r="S57" s="1">
        <v>13.1</v>
      </c>
      <c r="T57" s="1">
        <v>18.100000000000001</v>
      </c>
      <c r="U57" s="1">
        <v>2.2999999999999998</v>
      </c>
      <c r="V57" s="8">
        <f>R57*(1+S57)*原始运算表格!$P$2*原始运算表格!$Q$2</f>
        <v>300.33</v>
      </c>
      <c r="W57" s="8">
        <f>T57*(1+U57)*原始运算表格!$R$2*原始运算表格!$S$2</f>
        <v>298.65000000000003</v>
      </c>
      <c r="X57" s="8">
        <f t="shared" si="7"/>
        <v>2994.9</v>
      </c>
      <c r="Y57" s="8">
        <f t="shared" si="8"/>
        <v>3593.88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5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1</v>
      </c>
      <c r="E58" s="1">
        <f t="shared" si="5"/>
        <v>11</v>
      </c>
      <c r="F58" s="1">
        <f t="shared" si="2"/>
        <v>11</v>
      </c>
      <c r="O58" s="1">
        <v>1</v>
      </c>
      <c r="P58" s="1">
        <v>1</v>
      </c>
      <c r="R58" s="1">
        <v>20.399999999999999</v>
      </c>
      <c r="S58" s="1">
        <v>6.6</v>
      </c>
      <c r="T58" s="1">
        <v>19.5</v>
      </c>
      <c r="U58" s="1">
        <v>2.9</v>
      </c>
      <c r="V58" s="8">
        <f>R58*(1+S58)*原始运算表格!$P$2*原始运算表格!$Q$2</f>
        <v>155.04</v>
      </c>
      <c r="W58" s="8">
        <f>T58*(1+U58)*原始运算表格!$R$2*原始运算表格!$S$2</f>
        <v>380.25</v>
      </c>
      <c r="X58" s="8">
        <f t="shared" si="7"/>
        <v>2676.45</v>
      </c>
      <c r="Y58" s="8">
        <f t="shared" si="8"/>
        <v>3211.74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5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1</v>
      </c>
      <c r="E59" s="1">
        <f t="shared" si="5"/>
        <v>12</v>
      </c>
      <c r="F59" s="1">
        <f t="shared" si="2"/>
        <v>12</v>
      </c>
      <c r="R59" s="1">
        <v>16.8</v>
      </c>
      <c r="S59" s="1">
        <v>4.9000000000000004</v>
      </c>
      <c r="T59" s="1">
        <v>18.7</v>
      </c>
      <c r="U59" s="1">
        <v>0.3</v>
      </c>
      <c r="V59" s="8">
        <f>R59*(1+S59)*原始运算表格!$P$2*原始运算表格!$Q$2</f>
        <v>99.12</v>
      </c>
      <c r="W59" s="8">
        <f>T59*(1+U59)*原始运算表格!$R$2*原始运算表格!$S$2</f>
        <v>121.55</v>
      </c>
      <c r="X59" s="8">
        <f t="shared" si="7"/>
        <v>0</v>
      </c>
      <c r="Y59" s="8">
        <f t="shared" si="8"/>
        <v>220.67000000000002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1</v>
      </c>
      <c r="E60" s="1">
        <f t="shared" si="5"/>
        <v>13</v>
      </c>
      <c r="F60" s="1">
        <f t="shared" si="2"/>
        <v>13</v>
      </c>
      <c r="R60" s="1">
        <v>16.399999999999999</v>
      </c>
      <c r="S60" s="1">
        <v>7.8</v>
      </c>
      <c r="T60" s="1">
        <v>17.5</v>
      </c>
      <c r="U60" s="1">
        <v>1.8</v>
      </c>
      <c r="V60" s="8">
        <f>R60*(1+S60)*原始运算表格!$P$2*原始运算表格!$Q$2</f>
        <v>144.32</v>
      </c>
      <c r="W60" s="8">
        <f>T60*(1+U60)*原始运算表格!$R$2*原始运算表格!$S$2</f>
        <v>245</v>
      </c>
      <c r="X60" s="8">
        <f t="shared" si="7"/>
        <v>0</v>
      </c>
      <c r="Y60" s="8">
        <f t="shared" si="8"/>
        <v>389.32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14</v>
      </c>
      <c r="F61" s="1">
        <f t="shared" si="2"/>
        <v>14</v>
      </c>
      <c r="R61" s="1">
        <v>15.3</v>
      </c>
      <c r="S61" s="1">
        <v>5.0999999999999996</v>
      </c>
      <c r="T61" s="1">
        <v>9.8000000000000007</v>
      </c>
      <c r="U61" s="1">
        <v>-0.2</v>
      </c>
      <c r="V61" s="8">
        <f>R61*(1+S61)*原始运算表格!$P$2*原始运算表格!$Q$2</f>
        <v>93.33</v>
      </c>
      <c r="W61" s="8">
        <f>T61*(1+U61)*原始运算表格!$R$2*原始运算表格!$S$2</f>
        <v>39.200000000000003</v>
      </c>
      <c r="X61" s="8">
        <f t="shared" si="7"/>
        <v>0</v>
      </c>
      <c r="Y61" s="8">
        <f t="shared" si="8"/>
        <v>132.53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15</v>
      </c>
      <c r="F62" s="1">
        <f t="shared" si="2"/>
        <v>15</v>
      </c>
      <c r="I62" s="2"/>
      <c r="J62" s="2"/>
      <c r="K62" s="2"/>
      <c r="L62" s="2"/>
      <c r="M62" s="2"/>
      <c r="P62" s="2"/>
      <c r="R62" s="1">
        <v>14.9</v>
      </c>
      <c r="S62" s="1">
        <v>3.7</v>
      </c>
      <c r="T62" s="1">
        <v>21.5</v>
      </c>
      <c r="U62" s="1">
        <v>0.3</v>
      </c>
      <c r="V62" s="8">
        <f>R62*(1+S62)*原始运算表格!$P$2*原始运算表格!$Q$2</f>
        <v>70.03</v>
      </c>
      <c r="W62" s="8">
        <f>T62*(1+U62)*原始运算表格!$R$2*原始运算表格!$S$2</f>
        <v>139.75</v>
      </c>
      <c r="X62" s="8">
        <f t="shared" si="7"/>
        <v>0</v>
      </c>
      <c r="Y62" s="8">
        <f t="shared" si="8"/>
        <v>209.78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16</v>
      </c>
      <c r="F63" s="1">
        <f t="shared" si="2"/>
        <v>16</v>
      </c>
      <c r="I63" s="2"/>
      <c r="J63" s="2"/>
      <c r="K63" s="2"/>
      <c r="L63" s="2"/>
      <c r="M63" s="2"/>
      <c r="P63" s="2"/>
      <c r="R63" s="1">
        <v>15.3</v>
      </c>
      <c r="S63" s="1">
        <v>3.8</v>
      </c>
      <c r="T63" s="1">
        <v>9.5</v>
      </c>
      <c r="U63" s="1">
        <v>0</v>
      </c>
      <c r="V63" s="8">
        <f>R63*(1+S63)*原始运算表格!$P$2*原始运算表格!$Q$2</f>
        <v>73.44</v>
      </c>
      <c r="W63" s="8">
        <f>T63*(1+U63)*原始运算表格!$R$2*原始运算表格!$S$2</f>
        <v>47.5</v>
      </c>
      <c r="X63" s="8">
        <f t="shared" si="7"/>
        <v>0</v>
      </c>
      <c r="Y63" s="8">
        <f t="shared" si="8"/>
        <v>120.94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0</v>
      </c>
      <c r="E64" s="1">
        <f t="shared" si="5"/>
        <v>17</v>
      </c>
      <c r="F64" s="1">
        <f t="shared" si="2"/>
        <v>17</v>
      </c>
      <c r="R64" s="1">
        <v>12.4</v>
      </c>
      <c r="S64" s="1">
        <v>0.3</v>
      </c>
      <c r="V64" s="8">
        <f>R64*(1+S64)*原始运算表格!$P$2*原始运算表格!$Q$2</f>
        <v>16.12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16.12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17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17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17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17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17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17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17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17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17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17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17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17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17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17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17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Z79"/>
  <sheetViews>
    <sheetView zoomScale="55" zoomScaleNormal="55" workbookViewId="0">
      <selection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82</v>
      </c>
    </row>
    <row r="5" spans="1:26" s="6" customFormat="1">
      <c r="A5" s="6" t="s">
        <v>22</v>
      </c>
      <c r="B5" s="7"/>
      <c r="C5" s="6">
        <f>SUM(C12:C105)</f>
        <v>19</v>
      </c>
      <c r="D5" s="6">
        <f>SUM(D12:D105)</f>
        <v>19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9</v>
      </c>
      <c r="L5" s="6">
        <f t="shared" si="0"/>
        <v>2</v>
      </c>
      <c r="M5" s="6">
        <f t="shared" si="0"/>
        <v>0</v>
      </c>
      <c r="N5" s="6">
        <f t="shared" si="0"/>
        <v>2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407.90000000000003</v>
      </c>
      <c r="S5" s="6">
        <f t="shared" si="0"/>
        <v>207.6</v>
      </c>
      <c r="T5" s="6">
        <f t="shared" si="0"/>
        <v>372.59999999999997</v>
      </c>
      <c r="U5" s="6">
        <f t="shared" si="0"/>
        <v>21.5</v>
      </c>
      <c r="V5" s="9">
        <f t="shared" si="0"/>
        <v>4999.8899999999994</v>
      </c>
      <c r="W5" s="9">
        <f t="shared" si="0"/>
        <v>4040.2</v>
      </c>
      <c r="X5" s="9">
        <f t="shared" si="0"/>
        <v>13550.07</v>
      </c>
      <c r="Y5" s="9">
        <f t="shared" si="0"/>
        <v>22590.159999999996</v>
      </c>
      <c r="Z5" s="9">
        <f t="shared" si="0"/>
        <v>24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1</v>
      </c>
      <c r="D45" s="1">
        <v>1</v>
      </c>
      <c r="E45" s="1">
        <f t="shared" si="5"/>
        <v>1</v>
      </c>
      <c r="F45" s="1">
        <f t="shared" si="2"/>
        <v>1</v>
      </c>
      <c r="R45" s="1">
        <v>13.3</v>
      </c>
      <c r="S45" s="1">
        <v>3.1</v>
      </c>
      <c r="T45" s="1">
        <v>14.2</v>
      </c>
      <c r="U45" s="1">
        <v>0.5</v>
      </c>
      <c r="V45" s="8">
        <f>R45*(1+S45)*原始运算表格!$P$2*原始运算表格!$Q$2</f>
        <v>54.53</v>
      </c>
      <c r="W45" s="8">
        <f>T45*(1+U45)*原始运算表格!$R$2*原始运算表格!$S$2</f>
        <v>106.49999999999999</v>
      </c>
      <c r="X45" s="8">
        <f>Y45-W45-V45</f>
        <v>0</v>
      </c>
      <c r="Y45" s="8">
        <f>(V45+W45)*(1+Z45)</f>
        <v>161.02999999999997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1</v>
      </c>
      <c r="D46" s="1">
        <v>1</v>
      </c>
      <c r="E46" s="1">
        <f t="shared" si="5"/>
        <v>2</v>
      </c>
      <c r="F46" s="1">
        <f t="shared" si="2"/>
        <v>2</v>
      </c>
      <c r="R46" s="1">
        <v>17</v>
      </c>
      <c r="S46" s="1">
        <v>5.9</v>
      </c>
      <c r="T46" s="1">
        <v>17.2</v>
      </c>
      <c r="U46" s="1">
        <v>0.2</v>
      </c>
      <c r="V46" s="8">
        <f>R46*(1+S46)*原始运算表格!$P$2*原始运算表格!$Q$2</f>
        <v>117.30000000000001</v>
      </c>
      <c r="W46" s="8">
        <f>T46*(1+U46)*原始运算表格!$R$2*原始运算表格!$S$2</f>
        <v>103.19999999999999</v>
      </c>
      <c r="X46" s="8">
        <f t="shared" ref="X46:X79" si="7">Y46-W46-V46</f>
        <v>0</v>
      </c>
      <c r="Y46" s="8">
        <f t="shared" ref="Y46:Y79" si="8">(V46+W46)*(1+Z46)</f>
        <v>220.5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1</v>
      </c>
      <c r="D47" s="1">
        <v>1</v>
      </c>
      <c r="E47" s="1">
        <f t="shared" si="5"/>
        <v>3</v>
      </c>
      <c r="F47" s="1">
        <f t="shared" si="2"/>
        <v>3</v>
      </c>
      <c r="R47" s="1">
        <v>19</v>
      </c>
      <c r="S47" s="1">
        <v>6.7</v>
      </c>
      <c r="T47" s="1">
        <v>18.2</v>
      </c>
      <c r="U47" s="1">
        <v>0.7</v>
      </c>
      <c r="V47" s="8">
        <f>R47*(1+S47)*原始运算表格!$P$2*原始运算表格!$Q$2</f>
        <v>146.30000000000001</v>
      </c>
      <c r="W47" s="8">
        <f>T47*(1+U47)*原始运算表格!$R$2*原始运算表格!$S$2</f>
        <v>154.69999999999999</v>
      </c>
      <c r="X47" s="8">
        <f t="shared" si="7"/>
        <v>0</v>
      </c>
      <c r="Y47" s="8">
        <f t="shared" si="8"/>
        <v>301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1</v>
      </c>
      <c r="D48" s="1">
        <v>1</v>
      </c>
      <c r="E48" s="1">
        <f t="shared" si="5"/>
        <v>4</v>
      </c>
      <c r="F48" s="1">
        <f t="shared" si="2"/>
        <v>4</v>
      </c>
      <c r="K48" s="1">
        <v>1</v>
      </c>
      <c r="R48" s="1">
        <v>23.2</v>
      </c>
      <c r="S48" s="1">
        <v>14.1</v>
      </c>
      <c r="T48" s="1">
        <v>22.5</v>
      </c>
      <c r="U48" s="1">
        <v>2</v>
      </c>
      <c r="V48" s="8">
        <f>R48*(1+S48)*原始运算表格!$P$2*原始运算表格!$Q$2</f>
        <v>350.32</v>
      </c>
      <c r="W48" s="8">
        <f>T48*(1+U48)*原始运算表格!$R$2*原始运算表格!$S$2</f>
        <v>337.5</v>
      </c>
      <c r="X48" s="8">
        <f t="shared" si="7"/>
        <v>1375.64</v>
      </c>
      <c r="Y48" s="8">
        <f t="shared" si="8"/>
        <v>2063.46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2</v>
      </c>
    </row>
    <row r="49" spans="1:26">
      <c r="A49" s="1">
        <v>1988</v>
      </c>
      <c r="B49" s="1">
        <f t="shared" si="6"/>
        <v>1989</v>
      </c>
      <c r="C49" s="1">
        <v>1</v>
      </c>
      <c r="D49" s="1">
        <v>1</v>
      </c>
      <c r="E49" s="1">
        <f t="shared" si="5"/>
        <v>5</v>
      </c>
      <c r="F49" s="1">
        <f t="shared" si="2"/>
        <v>5</v>
      </c>
      <c r="K49" s="1">
        <v>1</v>
      </c>
      <c r="L49" s="1">
        <v>1</v>
      </c>
      <c r="R49" s="1">
        <v>22.9</v>
      </c>
      <c r="S49" s="1">
        <v>15.6</v>
      </c>
      <c r="T49" s="1">
        <v>25.9</v>
      </c>
      <c r="U49" s="1">
        <v>0.7</v>
      </c>
      <c r="V49" s="8">
        <f>R49*(1+S49)*原始运算表格!$P$2*原始运算表格!$Q$2</f>
        <v>380.14</v>
      </c>
      <c r="W49" s="8">
        <f>T49*(1+U49)*原始运算表格!$R$2*原始运算表格!$S$2</f>
        <v>220.14999999999998</v>
      </c>
      <c r="X49" s="8">
        <f t="shared" si="7"/>
        <v>2401.16</v>
      </c>
      <c r="Y49" s="8">
        <f t="shared" si="8"/>
        <v>3001.45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4</v>
      </c>
    </row>
    <row r="50" spans="1:26">
      <c r="A50" s="1">
        <v>1989</v>
      </c>
      <c r="B50" s="1">
        <f t="shared" si="6"/>
        <v>1990</v>
      </c>
      <c r="C50" s="1">
        <v>1</v>
      </c>
      <c r="D50" s="1">
        <v>1</v>
      </c>
      <c r="E50" s="1">
        <f t="shared" si="5"/>
        <v>6</v>
      </c>
      <c r="F50" s="1">
        <f t="shared" si="2"/>
        <v>6</v>
      </c>
      <c r="K50" s="1">
        <v>1</v>
      </c>
      <c r="R50" s="1">
        <v>23.9</v>
      </c>
      <c r="S50" s="1">
        <v>14.4</v>
      </c>
      <c r="T50" s="1">
        <v>18</v>
      </c>
      <c r="U50" s="1">
        <v>0.4</v>
      </c>
      <c r="V50" s="8">
        <f>R50*(1+S50)*原始运算表格!$P$2*原始运算表格!$Q$2</f>
        <v>368.06</v>
      </c>
      <c r="W50" s="8">
        <f>T50*(1+U50)*原始运算表格!$R$2*原始运算表格!$S$2</f>
        <v>126</v>
      </c>
      <c r="X50" s="8">
        <f t="shared" si="7"/>
        <v>988.12000000000012</v>
      </c>
      <c r="Y50" s="8">
        <f t="shared" si="8"/>
        <v>1482.18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2</v>
      </c>
    </row>
    <row r="51" spans="1:26">
      <c r="A51" s="1">
        <v>1990</v>
      </c>
      <c r="B51" s="1">
        <f t="shared" si="6"/>
        <v>1991</v>
      </c>
      <c r="C51" s="1">
        <v>1</v>
      </c>
      <c r="D51" s="1">
        <v>1</v>
      </c>
      <c r="E51" s="1">
        <f t="shared" si="5"/>
        <v>7</v>
      </c>
      <c r="F51" s="1">
        <f t="shared" si="2"/>
        <v>7</v>
      </c>
      <c r="K51" s="1">
        <v>1</v>
      </c>
      <c r="R51" s="1">
        <v>23.4</v>
      </c>
      <c r="S51" s="1">
        <v>14</v>
      </c>
      <c r="T51" s="1">
        <v>21.8</v>
      </c>
      <c r="U51" s="1">
        <v>1.6</v>
      </c>
      <c r="V51" s="8">
        <f>R51*(1+S51)*原始运算表格!$P$2*原始运算表格!$Q$2</f>
        <v>351</v>
      </c>
      <c r="W51" s="8">
        <f>T51*(1+U51)*原始运算表格!$R$2*原始运算表格!$S$2</f>
        <v>283.40000000000003</v>
      </c>
      <c r="X51" s="8">
        <f t="shared" si="7"/>
        <v>1268.8000000000002</v>
      </c>
      <c r="Y51" s="8">
        <f t="shared" si="8"/>
        <v>1903.2000000000003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2</v>
      </c>
    </row>
    <row r="52" spans="1:26">
      <c r="A52" s="1">
        <v>1991</v>
      </c>
      <c r="B52" s="1">
        <f t="shared" si="6"/>
        <v>1992</v>
      </c>
      <c r="C52" s="1">
        <v>1</v>
      </c>
      <c r="D52" s="1">
        <v>1</v>
      </c>
      <c r="E52" s="1">
        <f t="shared" si="5"/>
        <v>8</v>
      </c>
      <c r="F52" s="1">
        <f t="shared" si="2"/>
        <v>8</v>
      </c>
      <c r="K52" s="1">
        <v>1</v>
      </c>
      <c r="L52" s="1">
        <v>1</v>
      </c>
      <c r="R52" s="1">
        <v>22.8</v>
      </c>
      <c r="S52" s="1">
        <v>13.4</v>
      </c>
      <c r="T52" s="1">
        <v>19.399999999999999</v>
      </c>
      <c r="U52" s="1">
        <v>1.6</v>
      </c>
      <c r="V52" s="8">
        <f>R52*(1+S52)*原始运算表格!$P$2*原始运算表格!$Q$2</f>
        <v>328.32</v>
      </c>
      <c r="W52" s="8">
        <f>T52*(1+U52)*原始运算表格!$R$2*原始运算表格!$S$2</f>
        <v>252.2</v>
      </c>
      <c r="X52" s="8">
        <f t="shared" si="7"/>
        <v>2322.08</v>
      </c>
      <c r="Y52" s="8">
        <f t="shared" si="8"/>
        <v>2902.6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4</v>
      </c>
    </row>
    <row r="53" spans="1:26">
      <c r="A53" s="1">
        <v>1992</v>
      </c>
      <c r="B53" s="1">
        <f t="shared" si="6"/>
        <v>1993</v>
      </c>
      <c r="C53" s="1">
        <v>1</v>
      </c>
      <c r="D53" s="1">
        <v>1</v>
      </c>
      <c r="E53" s="1">
        <f t="shared" si="5"/>
        <v>9</v>
      </c>
      <c r="F53" s="1">
        <f t="shared" si="2"/>
        <v>9</v>
      </c>
      <c r="K53" s="1">
        <v>1</v>
      </c>
      <c r="R53" s="1">
        <v>21.3</v>
      </c>
      <c r="S53" s="1">
        <v>10.6</v>
      </c>
      <c r="T53" s="1">
        <v>18.600000000000001</v>
      </c>
      <c r="U53" s="1">
        <v>0.6</v>
      </c>
      <c r="V53" s="8">
        <f>R53*(1+S53)*原始运算表格!$P$2*原始运算表格!$Q$2</f>
        <v>247.08</v>
      </c>
      <c r="W53" s="8">
        <f>T53*(1+U53)*原始运算表格!$R$2*原始运算表格!$S$2</f>
        <v>148.80000000000001</v>
      </c>
      <c r="X53" s="8">
        <f t="shared" si="7"/>
        <v>791.75999999999988</v>
      </c>
      <c r="Y53" s="8">
        <f t="shared" si="8"/>
        <v>1187.6399999999999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2</v>
      </c>
    </row>
    <row r="54" spans="1:26">
      <c r="A54" s="1">
        <v>1993</v>
      </c>
      <c r="B54" s="1">
        <f t="shared" si="6"/>
        <v>1994</v>
      </c>
      <c r="C54" s="1">
        <v>1</v>
      </c>
      <c r="D54" s="1">
        <v>1</v>
      </c>
      <c r="E54" s="1">
        <f t="shared" si="5"/>
        <v>10</v>
      </c>
      <c r="F54" s="1">
        <f t="shared" si="2"/>
        <v>10</v>
      </c>
      <c r="K54" s="1">
        <v>1</v>
      </c>
      <c r="N54" s="1">
        <v>1</v>
      </c>
      <c r="R54" s="1">
        <v>22.5</v>
      </c>
      <c r="S54" s="1">
        <v>13.2</v>
      </c>
      <c r="T54" s="1">
        <v>19.899999999999999</v>
      </c>
      <c r="U54" s="1">
        <v>1.8</v>
      </c>
      <c r="V54" s="8">
        <f>R54*(1+S54)*原始运算表格!$P$2*原始运算表格!$Q$2</f>
        <v>319.5</v>
      </c>
      <c r="W54" s="8">
        <f>T54*(1+U54)*原始运算表格!$R$2*原始运算表格!$S$2</f>
        <v>278.59999999999997</v>
      </c>
      <c r="X54" s="8">
        <f t="shared" si="7"/>
        <v>1794.2999999999997</v>
      </c>
      <c r="Y54" s="8">
        <f t="shared" si="8"/>
        <v>2392.3999999999996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3</v>
      </c>
    </row>
    <row r="55" spans="1:26">
      <c r="A55" s="1">
        <v>1994</v>
      </c>
      <c r="B55" s="1">
        <f t="shared" si="6"/>
        <v>1995</v>
      </c>
      <c r="C55" s="1">
        <v>1</v>
      </c>
      <c r="D55" s="1">
        <v>1</v>
      </c>
      <c r="E55" s="1">
        <f t="shared" si="5"/>
        <v>11</v>
      </c>
      <c r="F55" s="1">
        <f t="shared" si="2"/>
        <v>11</v>
      </c>
      <c r="K55" s="1">
        <v>1</v>
      </c>
      <c r="N55" s="1">
        <v>1</v>
      </c>
      <c r="R55" s="1">
        <v>23.3</v>
      </c>
      <c r="S55" s="1">
        <v>13.9</v>
      </c>
      <c r="T55" s="1">
        <v>19.5</v>
      </c>
      <c r="U55" s="1">
        <v>0.4</v>
      </c>
      <c r="V55" s="8">
        <f>R55*(1+S55)*原始运算表格!$P$2*原始运算表格!$Q$2</f>
        <v>347.17</v>
      </c>
      <c r="W55" s="8">
        <f>T55*(1+U55)*原始运算表格!$R$2*原始运算表格!$S$2</f>
        <v>136.5</v>
      </c>
      <c r="X55" s="8">
        <f t="shared" si="7"/>
        <v>1451.01</v>
      </c>
      <c r="Y55" s="8">
        <f t="shared" si="8"/>
        <v>1934.68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3</v>
      </c>
    </row>
    <row r="56" spans="1:26">
      <c r="A56" s="1">
        <v>1995</v>
      </c>
      <c r="B56" s="1">
        <f t="shared" si="6"/>
        <v>1996</v>
      </c>
      <c r="C56" s="1">
        <v>1</v>
      </c>
      <c r="D56" s="1">
        <v>1</v>
      </c>
      <c r="E56" s="1">
        <f t="shared" si="5"/>
        <v>12</v>
      </c>
      <c r="F56" s="1">
        <f t="shared" si="2"/>
        <v>12</v>
      </c>
      <c r="K56" s="1">
        <v>1</v>
      </c>
      <c r="R56" s="1">
        <v>21.9</v>
      </c>
      <c r="S56" s="1">
        <v>13</v>
      </c>
      <c r="T56" s="1">
        <v>17</v>
      </c>
      <c r="U56" s="1">
        <v>2.2000000000000002</v>
      </c>
      <c r="V56" s="8">
        <f>R56*(1+S56)*原始运算表格!$P$2*原始运算表格!$Q$2</f>
        <v>306.59999999999997</v>
      </c>
      <c r="W56" s="8">
        <f>T56*(1+U56)*原始运算表格!$R$2*原始运算表格!$S$2</f>
        <v>272</v>
      </c>
      <c r="X56" s="8">
        <f t="shared" si="7"/>
        <v>1157.1999999999998</v>
      </c>
      <c r="Y56" s="8">
        <f t="shared" si="8"/>
        <v>1735.7999999999997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2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1</v>
      </c>
      <c r="E57" s="1">
        <f t="shared" si="5"/>
        <v>13</v>
      </c>
      <c r="F57" s="1">
        <f t="shared" si="2"/>
        <v>13</v>
      </c>
      <c r="R57" s="1">
        <v>22.1</v>
      </c>
      <c r="S57" s="1">
        <v>13.6</v>
      </c>
      <c r="T57" s="1">
        <v>22.7</v>
      </c>
      <c r="U57" s="1">
        <v>3.1</v>
      </c>
      <c r="V57" s="8">
        <f>R57*(1+S57)*原始运算表格!$P$2*原始运算表格!$Q$2</f>
        <v>322.66000000000003</v>
      </c>
      <c r="W57" s="8">
        <f>T57*(1+U57)*原始运算表格!$R$2*原始运算表格!$S$2</f>
        <v>465.34999999999997</v>
      </c>
      <c r="X57" s="8">
        <f t="shared" si="7"/>
        <v>0</v>
      </c>
      <c r="Y57" s="8">
        <f t="shared" si="8"/>
        <v>788.01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1</v>
      </c>
      <c r="E58" s="1">
        <f t="shared" si="5"/>
        <v>14</v>
      </c>
      <c r="F58" s="1">
        <f t="shared" si="2"/>
        <v>14</v>
      </c>
      <c r="R58" s="1">
        <v>21.8</v>
      </c>
      <c r="S58" s="1">
        <v>8</v>
      </c>
      <c r="T58" s="1">
        <v>20</v>
      </c>
      <c r="U58" s="1">
        <v>2.2000000000000002</v>
      </c>
      <c r="V58" s="8">
        <f>R58*(1+S58)*原始运算表格!$P$2*原始运算表格!$Q$2</f>
        <v>196.20000000000002</v>
      </c>
      <c r="W58" s="8">
        <f>T58*(1+U58)*原始运算表格!$R$2*原始运算表格!$S$2</f>
        <v>320</v>
      </c>
      <c r="X58" s="8">
        <f t="shared" si="7"/>
        <v>0</v>
      </c>
      <c r="Y58" s="8">
        <f t="shared" si="8"/>
        <v>516.20000000000005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1</v>
      </c>
      <c r="E59" s="1">
        <f t="shared" si="5"/>
        <v>15</v>
      </c>
      <c r="F59" s="1">
        <f t="shared" si="2"/>
        <v>15</v>
      </c>
      <c r="R59" s="1">
        <v>21.9</v>
      </c>
      <c r="S59" s="1">
        <v>6.4</v>
      </c>
      <c r="T59" s="1">
        <v>18.100000000000001</v>
      </c>
      <c r="U59" s="1">
        <v>0.8</v>
      </c>
      <c r="V59" s="8">
        <f>R59*(1+S59)*原始运算表格!$P$2*原始运算表格!$Q$2</f>
        <v>162.06</v>
      </c>
      <c r="W59" s="8">
        <f>T59*(1+U59)*原始运算表格!$R$2*原始运算表格!$S$2</f>
        <v>162.90000000000003</v>
      </c>
      <c r="X59" s="8">
        <f t="shared" si="7"/>
        <v>0</v>
      </c>
      <c r="Y59" s="8">
        <f t="shared" si="8"/>
        <v>324.96000000000004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1</v>
      </c>
      <c r="E60" s="1">
        <f t="shared" si="5"/>
        <v>16</v>
      </c>
      <c r="F60" s="1">
        <f t="shared" si="2"/>
        <v>16</v>
      </c>
      <c r="R60" s="1">
        <v>22.4</v>
      </c>
      <c r="S60" s="1">
        <v>11.2</v>
      </c>
      <c r="T60" s="1">
        <v>18.399999999999999</v>
      </c>
      <c r="U60" s="1">
        <v>1</v>
      </c>
      <c r="V60" s="8">
        <f>R60*(1+S60)*原始运算表格!$P$2*原始运算表格!$Q$2</f>
        <v>273.27999999999997</v>
      </c>
      <c r="W60" s="8">
        <f>T60*(1+U60)*原始运算表格!$R$2*原始运算表格!$S$2</f>
        <v>184</v>
      </c>
      <c r="X60" s="8">
        <f t="shared" si="7"/>
        <v>0</v>
      </c>
      <c r="Y60" s="8">
        <f t="shared" si="8"/>
        <v>457.28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17</v>
      </c>
      <c r="F61" s="1">
        <f t="shared" si="2"/>
        <v>17</v>
      </c>
      <c r="R61" s="1">
        <v>22.3</v>
      </c>
      <c r="S61" s="1">
        <v>10.8</v>
      </c>
      <c r="T61" s="1">
        <v>21.9</v>
      </c>
      <c r="U61" s="1">
        <v>0.8</v>
      </c>
      <c r="V61" s="8">
        <f>R61*(1+S61)*原始运算表格!$P$2*原始运算表格!$Q$2</f>
        <v>263.14000000000004</v>
      </c>
      <c r="W61" s="8">
        <f>T61*(1+U61)*原始运算表格!$R$2*原始运算表格!$S$2</f>
        <v>197.10000000000002</v>
      </c>
      <c r="X61" s="8">
        <f t="shared" si="7"/>
        <v>0</v>
      </c>
      <c r="Y61" s="8">
        <f t="shared" si="8"/>
        <v>460.24000000000007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18</v>
      </c>
      <c r="F62" s="1">
        <f t="shared" si="2"/>
        <v>18</v>
      </c>
      <c r="I62" s="2"/>
      <c r="J62" s="2"/>
      <c r="K62" s="2"/>
      <c r="L62" s="2"/>
      <c r="M62" s="2"/>
      <c r="P62" s="2"/>
      <c r="R62" s="1">
        <v>21.9</v>
      </c>
      <c r="S62" s="1">
        <v>10.7</v>
      </c>
      <c r="T62" s="1">
        <v>22.2</v>
      </c>
      <c r="U62" s="1">
        <v>0.7</v>
      </c>
      <c r="V62" s="8">
        <f>R62*(1+S62)*原始运算表格!$P$2*原始运算表格!$Q$2</f>
        <v>256.22999999999996</v>
      </c>
      <c r="W62" s="8">
        <f>T62*(1+U62)*原始运算表格!$R$2*原始运算表格!$S$2</f>
        <v>188.7</v>
      </c>
      <c r="X62" s="8">
        <f t="shared" si="7"/>
        <v>0</v>
      </c>
      <c r="Y62" s="8">
        <f t="shared" si="8"/>
        <v>444.92999999999995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19</v>
      </c>
      <c r="F63" s="1">
        <f t="shared" si="2"/>
        <v>19</v>
      </c>
      <c r="I63" s="2"/>
      <c r="J63" s="2"/>
      <c r="K63" s="2"/>
      <c r="L63" s="2"/>
      <c r="M63" s="2"/>
      <c r="P63" s="2"/>
      <c r="R63" s="1">
        <v>21</v>
      </c>
      <c r="S63" s="1">
        <v>9</v>
      </c>
      <c r="T63" s="1">
        <v>17.100000000000001</v>
      </c>
      <c r="U63" s="1">
        <v>0.2</v>
      </c>
      <c r="V63" s="8">
        <f>R63*(1+S63)*原始运算表格!$P$2*原始运算表格!$Q$2</f>
        <v>210</v>
      </c>
      <c r="W63" s="8">
        <f>T63*(1+U63)*原始运算表格!$R$2*原始运算表格!$S$2</f>
        <v>102.6</v>
      </c>
      <c r="X63" s="8">
        <f t="shared" si="7"/>
        <v>0</v>
      </c>
      <c r="Y63" s="8">
        <f t="shared" si="8"/>
        <v>312.60000000000002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19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19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19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19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19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19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19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19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19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19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19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19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19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19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19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19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Z79"/>
  <sheetViews>
    <sheetView zoomScale="55" zoomScaleNormal="55" workbookViewId="0">
      <pane ySplit="6" topLeftCell="A55" activePane="bottomLeft" state="frozen"/>
      <selection pane="bottomLeft" activeCell="H70" sqref="H70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83</v>
      </c>
    </row>
    <row r="5" spans="1:26" s="6" customFormat="1">
      <c r="A5" s="6" t="s">
        <v>22</v>
      </c>
      <c r="B5" s="7"/>
      <c r="C5" s="6">
        <f>SUM(C12:C105)</f>
        <v>18</v>
      </c>
      <c r="D5" s="6">
        <f>SUM(D12:D105)</f>
        <v>12</v>
      </c>
      <c r="G5" s="6">
        <f>SUM(G12:G105)</f>
        <v>2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5</v>
      </c>
      <c r="L5" s="6">
        <f t="shared" si="0"/>
        <v>0</v>
      </c>
      <c r="M5" s="6">
        <f t="shared" si="0"/>
        <v>0</v>
      </c>
      <c r="N5" s="6">
        <f t="shared" si="0"/>
        <v>3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334.80000000000007</v>
      </c>
      <c r="S5" s="6">
        <f t="shared" si="0"/>
        <v>130</v>
      </c>
      <c r="T5" s="6">
        <f t="shared" si="0"/>
        <v>199.10000000000002</v>
      </c>
      <c r="U5" s="6">
        <f t="shared" si="0"/>
        <v>11.9</v>
      </c>
      <c r="V5" s="9">
        <f t="shared" si="0"/>
        <v>3041.2200000000003</v>
      </c>
      <c r="W5" s="9">
        <f t="shared" si="0"/>
        <v>2235.3999999999996</v>
      </c>
      <c r="X5" s="9">
        <f t="shared" si="0"/>
        <v>17793.880000000005</v>
      </c>
      <c r="Y5" s="9">
        <f t="shared" si="0"/>
        <v>23070.499999999996</v>
      </c>
      <c r="Z5" s="9">
        <f t="shared" si="0"/>
        <v>29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1</v>
      </c>
      <c r="E57" s="1">
        <f t="shared" si="5"/>
        <v>1</v>
      </c>
      <c r="F57" s="1">
        <f t="shared" si="2"/>
        <v>1</v>
      </c>
      <c r="R57" s="1">
        <v>10.8</v>
      </c>
      <c r="S57" s="1">
        <v>0.7</v>
      </c>
      <c r="T57" s="1">
        <v>-5.0999999999999996</v>
      </c>
      <c r="U57" s="1">
        <v>-0.1</v>
      </c>
      <c r="V57" s="8">
        <f>R57*(1+S57)*原始运算表格!$P$2*原始运算表格!$Q$2</f>
        <v>18.36</v>
      </c>
      <c r="W57" s="8">
        <f>T57*(1+U57)*原始运算表格!$R$2*原始运算表格!$S$2</f>
        <v>-22.95</v>
      </c>
      <c r="X57" s="8">
        <f t="shared" si="7"/>
        <v>0</v>
      </c>
      <c r="Y57" s="8">
        <f t="shared" si="8"/>
        <v>-4.59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1</v>
      </c>
      <c r="E58" s="1">
        <f t="shared" si="5"/>
        <v>2</v>
      </c>
      <c r="F58" s="1">
        <f t="shared" si="2"/>
        <v>2</v>
      </c>
      <c r="R58" s="1">
        <v>15.6</v>
      </c>
      <c r="S58" s="1">
        <v>4.8</v>
      </c>
      <c r="T58" s="1">
        <v>16.5</v>
      </c>
      <c r="U58" s="1">
        <v>0.1</v>
      </c>
      <c r="V58" s="8">
        <f>R58*(1+S58)*原始运算表格!$P$2*原始运算表格!$Q$2</f>
        <v>90.47999999999999</v>
      </c>
      <c r="W58" s="8">
        <f>T58*(1+U58)*原始运算表格!$R$2*原始运算表格!$S$2</f>
        <v>90.750000000000014</v>
      </c>
      <c r="X58" s="8">
        <f t="shared" si="7"/>
        <v>0</v>
      </c>
      <c r="Y58" s="8">
        <f t="shared" si="8"/>
        <v>181.23000000000002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0</v>
      </c>
      <c r="E59" s="1">
        <f t="shared" si="5"/>
        <v>3</v>
      </c>
      <c r="F59" s="1">
        <f t="shared" si="2"/>
        <v>3</v>
      </c>
      <c r="R59" s="1">
        <v>10.9</v>
      </c>
      <c r="S59" s="1">
        <v>1</v>
      </c>
      <c r="V59" s="8">
        <f>R59*(1+S59)*原始运算表格!$P$2*原始运算表格!$Q$2</f>
        <v>21.8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21.8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0</v>
      </c>
      <c r="E60" s="1">
        <f t="shared" si="5"/>
        <v>4</v>
      </c>
      <c r="F60" s="1">
        <f t="shared" si="2"/>
        <v>4</v>
      </c>
      <c r="R60" s="1">
        <v>13.5</v>
      </c>
      <c r="S60" s="1">
        <v>3</v>
      </c>
      <c r="V60" s="8">
        <f>R60*(1+S60)*原始运算表格!$P$2*原始运算表格!$Q$2</f>
        <v>54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54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5</v>
      </c>
      <c r="F61" s="1">
        <f t="shared" si="2"/>
        <v>5</v>
      </c>
      <c r="R61" s="1">
        <v>19.600000000000001</v>
      </c>
      <c r="S61" s="1">
        <v>8.4</v>
      </c>
      <c r="T61" s="1">
        <v>15.1</v>
      </c>
      <c r="U61" s="1">
        <v>0.6</v>
      </c>
      <c r="V61" s="8">
        <f>R61*(1+S61)*原始运算表格!$P$2*原始运算表格!$Q$2</f>
        <v>184.24</v>
      </c>
      <c r="W61" s="8">
        <f>T61*(1+U61)*原始运算表格!$R$2*原始运算表格!$S$2</f>
        <v>120.8</v>
      </c>
      <c r="X61" s="8">
        <f t="shared" si="7"/>
        <v>0</v>
      </c>
      <c r="Y61" s="8">
        <f t="shared" si="8"/>
        <v>305.04000000000002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6</v>
      </c>
      <c r="F62" s="1">
        <f t="shared" si="2"/>
        <v>6</v>
      </c>
      <c r="I62" s="2"/>
      <c r="J62" s="2"/>
      <c r="K62" s="2"/>
      <c r="L62" s="2"/>
      <c r="M62" s="2"/>
      <c r="P62" s="2"/>
      <c r="R62" s="1">
        <v>20.7</v>
      </c>
      <c r="S62" s="1">
        <v>9.9</v>
      </c>
      <c r="T62" s="1">
        <v>18.7</v>
      </c>
      <c r="U62" s="1">
        <v>0.7</v>
      </c>
      <c r="V62" s="8">
        <f>R62*(1+S62)*原始运算表格!$P$2*原始运算表格!$Q$2</f>
        <v>225.63</v>
      </c>
      <c r="W62" s="8">
        <f>T62*(1+U62)*原始运算表格!$R$2*原始运算表格!$S$2</f>
        <v>158.94999999999999</v>
      </c>
      <c r="X62" s="8">
        <f t="shared" si="7"/>
        <v>0</v>
      </c>
      <c r="Y62" s="8">
        <f t="shared" si="8"/>
        <v>384.58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7</v>
      </c>
      <c r="F63" s="1">
        <f t="shared" si="2"/>
        <v>7</v>
      </c>
      <c r="I63" s="2"/>
      <c r="J63" s="2"/>
      <c r="K63" s="2"/>
      <c r="L63" s="2"/>
      <c r="M63" s="2"/>
      <c r="P63" s="2"/>
      <c r="R63" s="1">
        <v>22.6</v>
      </c>
      <c r="S63" s="1">
        <v>11.6</v>
      </c>
      <c r="T63" s="1">
        <v>18.100000000000001</v>
      </c>
      <c r="U63" s="1">
        <v>1.7</v>
      </c>
      <c r="V63" s="8">
        <f>R63*(1+S63)*原始运算表格!$P$2*原始运算表格!$Q$2</f>
        <v>284.76</v>
      </c>
      <c r="W63" s="8">
        <f>T63*(1+U63)*原始运算表格!$R$2*原始运算表格!$S$2</f>
        <v>244.35000000000002</v>
      </c>
      <c r="X63" s="8">
        <f t="shared" si="7"/>
        <v>0</v>
      </c>
      <c r="Y63" s="8">
        <f t="shared" si="8"/>
        <v>529.11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8</v>
      </c>
      <c r="F64" s="1">
        <f t="shared" si="2"/>
        <v>8</v>
      </c>
      <c r="R64" s="1">
        <v>20.5</v>
      </c>
      <c r="S64" s="1">
        <v>8.8000000000000007</v>
      </c>
      <c r="T64" s="1">
        <v>15.5</v>
      </c>
      <c r="U64" s="1">
        <v>0.4</v>
      </c>
      <c r="V64" s="8">
        <f>R64*(1+S64)*原始运算表格!$P$2*原始运算表格!$Q$2</f>
        <v>200.9</v>
      </c>
      <c r="W64" s="8">
        <f>T64*(1+U64)*原始运算表格!$R$2*原始运算表格!$S$2</f>
        <v>108.5</v>
      </c>
      <c r="X64" s="8">
        <f t="shared" si="7"/>
        <v>0</v>
      </c>
      <c r="Y64" s="8">
        <f t="shared" si="8"/>
        <v>309.39999999999998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9</v>
      </c>
      <c r="F65" s="1">
        <f t="shared" si="2"/>
        <v>9</v>
      </c>
      <c r="G65" s="1">
        <v>1</v>
      </c>
      <c r="K65" s="1">
        <v>1</v>
      </c>
      <c r="N65" s="1">
        <v>1</v>
      </c>
      <c r="R65" s="1">
        <v>22</v>
      </c>
      <c r="S65" s="1">
        <v>10.9</v>
      </c>
      <c r="T65" s="1">
        <v>23.4</v>
      </c>
      <c r="U65" s="1">
        <v>2.1</v>
      </c>
      <c r="V65" s="8">
        <f>R65*(1+S65)*原始运算表格!$P$2*原始运算表格!$Q$2</f>
        <v>261.8</v>
      </c>
      <c r="W65" s="8">
        <f>T65*(1+U65)*原始运算表格!$R$2*原始运算表格!$S$2</f>
        <v>362.69999999999993</v>
      </c>
      <c r="X65" s="8">
        <f t="shared" si="7"/>
        <v>6869.5</v>
      </c>
      <c r="Y65" s="8">
        <f t="shared" si="8"/>
        <v>7494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11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1</v>
      </c>
      <c r="E66" s="1">
        <f t="shared" si="5"/>
        <v>10</v>
      </c>
      <c r="F66" s="1">
        <f t="shared" si="2"/>
        <v>10</v>
      </c>
      <c r="G66" s="1">
        <v>1</v>
      </c>
      <c r="K66" s="1">
        <v>1</v>
      </c>
      <c r="N66" s="1">
        <v>1</v>
      </c>
      <c r="R66" s="1">
        <v>23.3</v>
      </c>
      <c r="S66" s="1">
        <v>12.4</v>
      </c>
      <c r="T66" s="1">
        <v>21.3</v>
      </c>
      <c r="U66" s="1">
        <v>2.6</v>
      </c>
      <c r="V66" s="8">
        <f>R66*(1+S66)*原始运算表格!$P$2*原始运算表格!$Q$2</f>
        <v>312.22000000000003</v>
      </c>
      <c r="W66" s="8">
        <f>T66*(1+U66)*原始运算表格!$R$2*原始运算表格!$S$2</f>
        <v>383.40000000000003</v>
      </c>
      <c r="X66" s="8">
        <f t="shared" si="7"/>
        <v>7651.8200000000024</v>
      </c>
      <c r="Y66" s="8">
        <f t="shared" si="8"/>
        <v>8347.4400000000023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11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11</v>
      </c>
      <c r="F67" s="1">
        <f t="shared" si="2"/>
        <v>11</v>
      </c>
      <c r="K67" s="1">
        <v>1</v>
      </c>
      <c r="N67" s="1">
        <v>1</v>
      </c>
      <c r="R67" s="1">
        <v>23.8</v>
      </c>
      <c r="S67" s="1">
        <v>12.6</v>
      </c>
      <c r="T67" s="1">
        <v>21.9</v>
      </c>
      <c r="U67" s="1">
        <v>1.4</v>
      </c>
      <c r="V67" s="8">
        <f>R67*(1+S67)*原始运算表格!$P$2*原始运算表格!$Q$2</f>
        <v>323.68</v>
      </c>
      <c r="W67" s="8">
        <f>T67*(1+U67)*原始运算表格!$R$2*原始运算表格!$S$2</f>
        <v>262.79999999999995</v>
      </c>
      <c r="X67" s="8">
        <f t="shared" si="7"/>
        <v>1759.4399999999998</v>
      </c>
      <c r="Y67" s="8">
        <f t="shared" si="8"/>
        <v>2345.92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3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12</v>
      </c>
      <c r="F68" s="1">
        <f t="shared" si="2"/>
        <v>12</v>
      </c>
      <c r="R68" s="1">
        <v>21.1</v>
      </c>
      <c r="S68" s="1">
        <v>10.5</v>
      </c>
      <c r="T68" s="1">
        <v>16.8</v>
      </c>
      <c r="U68" s="1">
        <v>0.4</v>
      </c>
      <c r="V68" s="8">
        <f>R68*(1+S68)*原始运算表格!$P$2*原始运算表格!$Q$2</f>
        <v>242.65</v>
      </c>
      <c r="W68" s="8">
        <f>T68*(1+U68)*原始运算表格!$R$2*原始运算表格!$S$2</f>
        <v>117.6</v>
      </c>
      <c r="X68" s="8">
        <f t="shared" si="7"/>
        <v>0</v>
      </c>
      <c r="Y68" s="8">
        <f t="shared" si="8"/>
        <v>360.25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0</v>
      </c>
      <c r="E69" s="1">
        <f t="shared" si="5"/>
        <v>13</v>
      </c>
      <c r="F69" s="1">
        <f t="shared" si="2"/>
        <v>13</v>
      </c>
      <c r="R69" s="1">
        <v>19.5</v>
      </c>
      <c r="S69" s="1">
        <v>7.3</v>
      </c>
      <c r="V69" s="8">
        <f>R69*(1+S69)*原始运算表格!$P$2*原始运算表格!$Q$2</f>
        <v>161.85000000000002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161.85000000000002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14</v>
      </c>
      <c r="F70" s="1">
        <f t="shared" si="2"/>
        <v>14</v>
      </c>
      <c r="K70" s="1">
        <v>1</v>
      </c>
      <c r="R70" s="1">
        <v>21.6</v>
      </c>
      <c r="S70" s="1">
        <v>9.9</v>
      </c>
      <c r="T70" s="1">
        <v>22.4</v>
      </c>
      <c r="U70" s="1">
        <v>2</v>
      </c>
      <c r="V70" s="8">
        <f>R70*(1+S70)*原始运算表格!$P$2*原始运算表格!$Q$2</f>
        <v>235.44000000000003</v>
      </c>
      <c r="W70" s="8">
        <f>T70*(1+U70)*原始运算表格!$R$2*原始运算表格!$S$2</f>
        <v>335.99999999999994</v>
      </c>
      <c r="X70" s="8">
        <f t="shared" si="7"/>
        <v>1142.8799999999997</v>
      </c>
      <c r="Y70" s="8">
        <f t="shared" si="8"/>
        <v>1714.3199999999997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2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0</v>
      </c>
      <c r="E71" s="1">
        <f t="shared" si="5"/>
        <v>15</v>
      </c>
      <c r="F71" s="1">
        <f t="shared" ref="F71:F79" si="9">C71*E71</f>
        <v>15</v>
      </c>
      <c r="K71" s="1">
        <v>1</v>
      </c>
      <c r="R71" s="1">
        <v>20.8</v>
      </c>
      <c r="S71" s="1">
        <v>7.9</v>
      </c>
      <c r="V71" s="8">
        <f>R71*(1+S71)*原始运算表格!$P$2*原始运算表格!$Q$2</f>
        <v>185.12</v>
      </c>
      <c r="W71" s="8">
        <f>T71*(1+U71)*原始运算表格!$R$2*原始运算表格!$S$2</f>
        <v>0</v>
      </c>
      <c r="X71" s="8">
        <f t="shared" si="7"/>
        <v>370.24</v>
      </c>
      <c r="Y71" s="8">
        <f t="shared" si="8"/>
        <v>555.36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2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0</v>
      </c>
      <c r="E72" s="1">
        <f t="shared" si="5"/>
        <v>16</v>
      </c>
      <c r="F72" s="1">
        <f t="shared" si="9"/>
        <v>16</v>
      </c>
      <c r="R72" s="1">
        <v>20.3</v>
      </c>
      <c r="S72" s="1">
        <v>5.9</v>
      </c>
      <c r="V72" s="8">
        <f>R72*(1+S72)*原始运算表格!$P$2*原始运算表格!$Q$2</f>
        <v>140.07000000000002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140.07000000000002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17</v>
      </c>
      <c r="F73" s="1">
        <f t="shared" si="9"/>
        <v>17</v>
      </c>
      <c r="R73" s="1">
        <v>16</v>
      </c>
      <c r="S73" s="1">
        <v>4.3</v>
      </c>
      <c r="T73" s="1">
        <v>14.5</v>
      </c>
      <c r="U73" s="1">
        <v>0</v>
      </c>
      <c r="V73" s="8">
        <f>R73*(1+S73)*原始运算表格!$P$2*原始运算表格!$Q$2</f>
        <v>84.8</v>
      </c>
      <c r="W73" s="8">
        <f>T73*(1+U73)*原始运算表格!$R$2*原始运算表格!$S$2</f>
        <v>72.5</v>
      </c>
      <c r="X73" s="8">
        <f t="shared" si="7"/>
        <v>0</v>
      </c>
      <c r="Y73" s="8">
        <f t="shared" si="8"/>
        <v>157.30000000000001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0</v>
      </c>
      <c r="E74" s="1">
        <f t="shared" si="10"/>
        <v>18</v>
      </c>
      <c r="F74" s="1">
        <f t="shared" si="9"/>
        <v>18</v>
      </c>
      <c r="R74" s="1">
        <v>12.2</v>
      </c>
      <c r="S74" s="1">
        <v>0.1</v>
      </c>
      <c r="V74" s="8">
        <f>R74*(1+S74)*原始运算表格!$P$2*原始运算表格!$Q$2</f>
        <v>13.42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13.42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18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18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18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18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18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Z79"/>
  <sheetViews>
    <sheetView zoomScale="55" zoomScaleNormal="55" workbookViewId="0">
      <pane ySplit="6" topLeftCell="A61" activePane="bottomLeft" state="frozen"/>
      <selection pane="bottomLef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84</v>
      </c>
    </row>
    <row r="5" spans="1:26" s="6" customFormat="1">
      <c r="A5" s="6" t="s">
        <v>22</v>
      </c>
      <c r="B5" s="7"/>
      <c r="C5" s="6">
        <f>SUM(C12:C105)</f>
        <v>14</v>
      </c>
      <c r="D5" s="6">
        <f>SUM(D12:D105)</f>
        <v>11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4</v>
      </c>
      <c r="L5" s="6">
        <f t="shared" si="0"/>
        <v>6</v>
      </c>
      <c r="M5" s="6">
        <f t="shared" si="0"/>
        <v>0</v>
      </c>
      <c r="N5" s="6">
        <f t="shared" si="0"/>
        <v>4</v>
      </c>
      <c r="O5" s="6">
        <f t="shared" si="0"/>
        <v>7</v>
      </c>
      <c r="P5" s="6">
        <f t="shared" si="0"/>
        <v>0</v>
      </c>
      <c r="Q5" s="6">
        <f t="shared" si="0"/>
        <v>0</v>
      </c>
      <c r="R5" s="6">
        <f t="shared" si="0"/>
        <v>351.59999999999997</v>
      </c>
      <c r="S5" s="6">
        <f t="shared" si="0"/>
        <v>171.49999999999997</v>
      </c>
      <c r="T5" s="6">
        <f t="shared" si="0"/>
        <v>275.60000000000002</v>
      </c>
      <c r="U5" s="6">
        <f t="shared" si="0"/>
        <v>15.7</v>
      </c>
      <c r="V5" s="9">
        <f t="shared" si="0"/>
        <v>4764.0200000000004</v>
      </c>
      <c r="W5" s="9">
        <f t="shared" si="0"/>
        <v>3437.6</v>
      </c>
      <c r="X5" s="9">
        <f t="shared" si="0"/>
        <v>23371.29</v>
      </c>
      <c r="Y5" s="9">
        <f t="shared" si="0"/>
        <v>31572.91</v>
      </c>
      <c r="Z5" s="9">
        <f t="shared" si="0"/>
        <v>31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0</v>
      </c>
      <c r="E66" s="1">
        <f t="shared" si="5"/>
        <v>1</v>
      </c>
      <c r="F66" s="1">
        <f t="shared" si="2"/>
        <v>1</v>
      </c>
      <c r="R66" s="1">
        <v>22.1</v>
      </c>
      <c r="S66" s="1">
        <v>10.4</v>
      </c>
      <c r="V66" s="8">
        <f>R66*(1+S66)*原始运算表格!$P$2*原始运算表格!$Q$2</f>
        <v>251.94000000000003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251.94000000000003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0</v>
      </c>
      <c r="E67" s="1">
        <f t="shared" si="5"/>
        <v>2</v>
      </c>
      <c r="F67" s="1">
        <f t="shared" si="2"/>
        <v>2</v>
      </c>
      <c r="R67" s="1">
        <v>22</v>
      </c>
      <c r="S67" s="1">
        <v>8.8000000000000007</v>
      </c>
      <c r="V67" s="8">
        <f>R67*(1+S67)*原始运算表格!$P$2*原始运算表格!$Q$2</f>
        <v>215.60000000000002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215.60000000000002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3</v>
      </c>
      <c r="F68" s="1">
        <f t="shared" si="2"/>
        <v>3</v>
      </c>
      <c r="K68" s="1">
        <v>1</v>
      </c>
      <c r="L68" s="1">
        <v>1</v>
      </c>
      <c r="N68" s="1">
        <v>1</v>
      </c>
      <c r="R68" s="1">
        <v>28.3</v>
      </c>
      <c r="S68" s="1">
        <v>17.8</v>
      </c>
      <c r="T68" s="1">
        <v>30.7</v>
      </c>
      <c r="U68" s="1">
        <v>2.9</v>
      </c>
      <c r="V68" s="8">
        <f>R68*(1+S68)*原始运算表格!$P$2*原始运算表格!$Q$2</f>
        <v>532.04000000000008</v>
      </c>
      <c r="W68" s="8">
        <f>T68*(1+U68)*原始运算表格!$R$2*原始运算表格!$S$2</f>
        <v>598.65</v>
      </c>
      <c r="X68" s="8">
        <f t="shared" si="7"/>
        <v>5653.4500000000007</v>
      </c>
      <c r="Y68" s="8">
        <f t="shared" si="8"/>
        <v>6784.14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5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1</v>
      </c>
      <c r="E69" s="1">
        <f t="shared" si="5"/>
        <v>4</v>
      </c>
      <c r="F69" s="1">
        <f t="shared" si="2"/>
        <v>4</v>
      </c>
      <c r="K69" s="1">
        <v>1</v>
      </c>
      <c r="L69" s="1">
        <v>1</v>
      </c>
      <c r="O69" s="1">
        <v>1</v>
      </c>
      <c r="R69" s="1">
        <v>30</v>
      </c>
      <c r="S69" s="1">
        <v>18.3</v>
      </c>
      <c r="T69" s="1">
        <v>16.100000000000001</v>
      </c>
      <c r="U69" s="1">
        <v>-0.1</v>
      </c>
      <c r="V69" s="8">
        <f>R69*(1+S69)*原始运算表格!$P$2*原始运算表格!$Q$2</f>
        <v>579</v>
      </c>
      <c r="W69" s="8">
        <f>T69*(1+U69)*原始运算表格!$R$2*原始运算表格!$S$2</f>
        <v>72.450000000000017</v>
      </c>
      <c r="X69" s="8">
        <f t="shared" si="7"/>
        <v>3257.2500000000005</v>
      </c>
      <c r="Y69" s="8">
        <f t="shared" si="8"/>
        <v>3908.7000000000003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5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0</v>
      </c>
      <c r="E70" s="1">
        <f t="shared" si="5"/>
        <v>5</v>
      </c>
      <c r="F70" s="1">
        <f t="shared" si="2"/>
        <v>5</v>
      </c>
      <c r="R70" s="1">
        <v>23.7</v>
      </c>
      <c r="S70" s="1">
        <v>7.3</v>
      </c>
      <c r="V70" s="8">
        <f>R70*(1+S70)*原始运算表格!$P$2*原始运算表格!$Q$2</f>
        <v>196.71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196.71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6</v>
      </c>
      <c r="F71" s="1">
        <f t="shared" ref="F71:F79" si="9">C71*E71</f>
        <v>6</v>
      </c>
      <c r="L71" s="1">
        <v>1</v>
      </c>
      <c r="R71" s="1">
        <v>23.7</v>
      </c>
      <c r="S71" s="1">
        <v>13.9</v>
      </c>
      <c r="T71" s="1">
        <v>28.9</v>
      </c>
      <c r="U71" s="1">
        <v>1.3</v>
      </c>
      <c r="V71" s="8">
        <f>R71*(1+S71)*原始运算表格!$P$2*原始运算表格!$Q$2</f>
        <v>353.13</v>
      </c>
      <c r="W71" s="8">
        <f>T71*(1+U71)*原始运算表格!$R$2*原始运算表格!$S$2</f>
        <v>332.34999999999991</v>
      </c>
      <c r="X71" s="8">
        <f t="shared" si="7"/>
        <v>1370.9599999999996</v>
      </c>
      <c r="Y71" s="8">
        <f t="shared" si="8"/>
        <v>2056.4399999999996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2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7</v>
      </c>
      <c r="F72" s="1">
        <f t="shared" si="9"/>
        <v>7</v>
      </c>
      <c r="L72" s="1">
        <v>1</v>
      </c>
      <c r="N72" s="1">
        <v>1</v>
      </c>
      <c r="O72" s="1">
        <v>1</v>
      </c>
      <c r="R72" s="1">
        <v>27</v>
      </c>
      <c r="S72" s="1">
        <v>12.7</v>
      </c>
      <c r="T72" s="1">
        <v>20</v>
      </c>
      <c r="U72" s="1">
        <v>0.9</v>
      </c>
      <c r="V72" s="8">
        <f>R72*(1+S72)*原始运算表格!$P$2*原始运算表格!$Q$2</f>
        <v>369.9</v>
      </c>
      <c r="W72" s="8">
        <f>T72*(1+U72)*原始运算表格!$R$2*原始运算表格!$S$2</f>
        <v>190</v>
      </c>
      <c r="X72" s="8">
        <f t="shared" si="7"/>
        <v>2239.6</v>
      </c>
      <c r="Y72" s="8">
        <f t="shared" si="8"/>
        <v>2799.5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4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8</v>
      </c>
      <c r="F73" s="1">
        <f t="shared" si="9"/>
        <v>8</v>
      </c>
      <c r="L73" s="1">
        <v>1</v>
      </c>
      <c r="N73" s="1">
        <v>1</v>
      </c>
      <c r="O73" s="1">
        <v>1</v>
      </c>
      <c r="R73" s="1">
        <v>26.4</v>
      </c>
      <c r="S73" s="1">
        <v>13.9</v>
      </c>
      <c r="T73" s="1">
        <v>29.2</v>
      </c>
      <c r="U73" s="1">
        <v>1.2</v>
      </c>
      <c r="V73" s="8">
        <f>R73*(1+S73)*原始运算表格!$P$2*原始运算表格!$Q$2</f>
        <v>393.36</v>
      </c>
      <c r="W73" s="8">
        <f>T73*(1+U73)*原始运算表格!$R$2*原始运算表格!$S$2</f>
        <v>321.20000000000005</v>
      </c>
      <c r="X73" s="8">
        <f t="shared" si="7"/>
        <v>2858.2400000000002</v>
      </c>
      <c r="Y73" s="8">
        <f t="shared" si="8"/>
        <v>3572.8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4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9</v>
      </c>
      <c r="F74" s="1">
        <f t="shared" si="9"/>
        <v>9</v>
      </c>
      <c r="K74" s="1">
        <v>1</v>
      </c>
      <c r="L74" s="1">
        <v>1</v>
      </c>
      <c r="N74" s="1">
        <v>1</v>
      </c>
      <c r="O74" s="1">
        <v>1</v>
      </c>
      <c r="R74" s="1">
        <v>25.9</v>
      </c>
      <c r="S74" s="1">
        <v>12.2</v>
      </c>
      <c r="T74" s="1">
        <v>23.6</v>
      </c>
      <c r="U74" s="1">
        <v>1.9</v>
      </c>
      <c r="V74" s="8">
        <f>R74*(1+S74)*原始运算表格!$P$2*原始运算表格!$Q$2</f>
        <v>341.87999999999994</v>
      </c>
      <c r="W74" s="8">
        <f>T74*(1+U74)*原始运算表格!$R$2*原始运算表格!$S$2</f>
        <v>342.2</v>
      </c>
      <c r="X74" s="8">
        <f t="shared" si="7"/>
        <v>4104.4799999999996</v>
      </c>
      <c r="Y74" s="8">
        <f t="shared" si="8"/>
        <v>4788.5599999999995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6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10</v>
      </c>
      <c r="F75" s="1">
        <f t="shared" si="9"/>
        <v>10</v>
      </c>
      <c r="K75" s="1">
        <v>1</v>
      </c>
      <c r="O75" s="1">
        <v>1</v>
      </c>
      <c r="R75" s="1">
        <v>26</v>
      </c>
      <c r="S75" s="1">
        <v>16.100000000000001</v>
      </c>
      <c r="T75" s="1">
        <v>25.7</v>
      </c>
      <c r="U75" s="1">
        <v>2.2999999999999998</v>
      </c>
      <c r="V75" s="8">
        <f>R75*(1+S75)*原始运算表格!$P$2*原始运算表格!$Q$2</f>
        <v>444.6</v>
      </c>
      <c r="W75" s="8">
        <f>T75*(1+U75)*原始运算表格!$R$2*原始运算表格!$S$2</f>
        <v>424.04999999999995</v>
      </c>
      <c r="X75" s="8">
        <f t="shared" si="7"/>
        <v>2605.9500000000003</v>
      </c>
      <c r="Y75" s="8">
        <f t="shared" si="8"/>
        <v>3474.6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3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11</v>
      </c>
      <c r="F76" s="1">
        <f t="shared" si="9"/>
        <v>11</v>
      </c>
      <c r="O76" s="1">
        <v>1</v>
      </c>
      <c r="R76" s="1">
        <v>26.2</v>
      </c>
      <c r="S76" s="1">
        <v>12.7</v>
      </c>
      <c r="T76" s="1">
        <v>33.200000000000003</v>
      </c>
      <c r="U76" s="1">
        <v>0.8</v>
      </c>
      <c r="V76" s="8">
        <f>R76*(1+S76)*原始运算表格!$P$2*原始运算表格!$Q$2</f>
        <v>358.94</v>
      </c>
      <c r="W76" s="8">
        <f>T76*(1+U76)*原始运算表格!$R$2*原始运算表格!$S$2</f>
        <v>298.8</v>
      </c>
      <c r="X76" s="8">
        <f t="shared" si="7"/>
        <v>657.74</v>
      </c>
      <c r="Y76" s="8">
        <f t="shared" si="8"/>
        <v>1315.48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1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12</v>
      </c>
      <c r="F77" s="1">
        <f t="shared" si="9"/>
        <v>12</v>
      </c>
      <c r="O77" s="1">
        <v>1</v>
      </c>
      <c r="R77" s="1">
        <v>26.2</v>
      </c>
      <c r="S77" s="1">
        <v>10.6</v>
      </c>
      <c r="T77" s="1">
        <v>27.8</v>
      </c>
      <c r="U77" s="1">
        <v>1.3</v>
      </c>
      <c r="V77" s="8">
        <f>R77*(1+S77)*原始运算表格!$P$2*原始运算表格!$Q$2</f>
        <v>303.91999999999996</v>
      </c>
      <c r="W77" s="8">
        <f>T77*(1+U77)*原始运算表格!$R$2*原始运算表格!$S$2</f>
        <v>319.7</v>
      </c>
      <c r="X77" s="8">
        <f t="shared" si="7"/>
        <v>623.61999999999978</v>
      </c>
      <c r="Y77" s="8">
        <f t="shared" si="8"/>
        <v>1247.2399999999998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1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13</v>
      </c>
      <c r="F78" s="1">
        <f t="shared" si="9"/>
        <v>13</v>
      </c>
      <c r="R78" s="1">
        <v>24.4</v>
      </c>
      <c r="S78" s="1">
        <v>10.199999999999999</v>
      </c>
      <c r="T78" s="1">
        <v>22.8</v>
      </c>
      <c r="U78" s="1">
        <v>2.1</v>
      </c>
      <c r="V78" s="8">
        <f>R78*(1+S78)*原始运算表格!$P$2*原始运算表格!$Q$2</f>
        <v>273.27999999999997</v>
      </c>
      <c r="W78" s="8">
        <f>T78*(1+U78)*原始运算表格!$R$2*原始运算表格!$S$2</f>
        <v>353.40000000000003</v>
      </c>
      <c r="X78" s="8">
        <f t="shared" si="7"/>
        <v>0</v>
      </c>
      <c r="Y78" s="8">
        <f t="shared" si="8"/>
        <v>626.68000000000006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14</v>
      </c>
      <c r="F79" s="1">
        <f t="shared" si="9"/>
        <v>14</v>
      </c>
      <c r="R79" s="1">
        <v>19.7</v>
      </c>
      <c r="S79" s="1">
        <v>6.6</v>
      </c>
      <c r="T79" s="1">
        <v>17.600000000000001</v>
      </c>
      <c r="U79" s="1">
        <v>1.1000000000000001</v>
      </c>
      <c r="V79" s="8">
        <f>R79*(1+S79)*原始运算表格!$P$2*原始运算表格!$Q$2</f>
        <v>149.72</v>
      </c>
      <c r="W79" s="8">
        <f>T79*(1+U79)*原始运算表格!$R$2*原始运算表格!$S$2</f>
        <v>184.80000000000004</v>
      </c>
      <c r="X79" s="8">
        <f t="shared" si="7"/>
        <v>0</v>
      </c>
      <c r="Y79" s="8">
        <f t="shared" si="8"/>
        <v>334.52000000000004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Z79"/>
  <sheetViews>
    <sheetView zoomScale="55" zoomScaleNormal="55" workbookViewId="0">
      <pane ySplit="6" topLeftCell="A55" activePane="bottomLeft" state="frozen"/>
      <selection pane="bottomLeft" activeCell="V1" sqref="V1:Z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85</v>
      </c>
    </row>
    <row r="5" spans="1:26" s="6" customFormat="1">
      <c r="A5" s="6" t="s">
        <v>22</v>
      </c>
      <c r="B5" s="7"/>
      <c r="C5" s="6">
        <f>SUM(C12:C105)</f>
        <v>14</v>
      </c>
      <c r="D5" s="6">
        <f>SUM(D12:D105)</f>
        <v>8</v>
      </c>
      <c r="G5" s="6">
        <f>SUM(G12:G105)</f>
        <v>1</v>
      </c>
      <c r="H5" s="6">
        <f t="shared" ref="H5:Z5" si="0">SUM(H12:H105)</f>
        <v>4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3</v>
      </c>
      <c r="M5" s="6">
        <f t="shared" si="0"/>
        <v>0</v>
      </c>
      <c r="N5" s="6">
        <f t="shared" si="0"/>
        <v>3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285.79999999999995</v>
      </c>
      <c r="S5" s="6">
        <f t="shared" si="0"/>
        <v>98.899999999999991</v>
      </c>
      <c r="T5" s="6">
        <f t="shared" si="0"/>
        <v>164.89999999999998</v>
      </c>
      <c r="U5" s="6">
        <f t="shared" si="0"/>
        <v>7.1999999999999993</v>
      </c>
      <c r="V5" s="9">
        <f t="shared" si="0"/>
        <v>2426.9300000000003</v>
      </c>
      <c r="W5" s="9">
        <f t="shared" si="0"/>
        <v>1637.45</v>
      </c>
      <c r="X5" s="9">
        <f t="shared" si="0"/>
        <v>14442.490000000002</v>
      </c>
      <c r="Y5" s="9">
        <f t="shared" si="0"/>
        <v>18506.87</v>
      </c>
      <c r="Z5" s="9">
        <f t="shared" si="0"/>
        <v>25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1</v>
      </c>
      <c r="D57" s="1">
        <v>0</v>
      </c>
      <c r="E57" s="1">
        <f t="shared" si="5"/>
        <v>1</v>
      </c>
      <c r="F57" s="1">
        <f t="shared" si="2"/>
        <v>1</v>
      </c>
      <c r="R57" s="1">
        <v>18</v>
      </c>
      <c r="S57" s="1">
        <v>4.0999999999999996</v>
      </c>
      <c r="V57" s="8">
        <f>R57*(1+S57)*原始运算表格!$P$2*原始运算表格!$Q$2</f>
        <v>91.8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91.8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0</v>
      </c>
      <c r="E58" s="1">
        <f t="shared" si="5"/>
        <v>2</v>
      </c>
      <c r="F58" s="1">
        <f t="shared" si="2"/>
        <v>2</v>
      </c>
      <c r="R58" s="1">
        <v>20.399999999999999</v>
      </c>
      <c r="S58" s="1">
        <v>9</v>
      </c>
      <c r="V58" s="8">
        <f>R58*(1+S58)*原始运算表格!$P$2*原始运算表格!$Q$2</f>
        <v>204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204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1</v>
      </c>
      <c r="E59" s="1">
        <f t="shared" si="5"/>
        <v>3</v>
      </c>
      <c r="F59" s="1">
        <f t="shared" si="2"/>
        <v>3</v>
      </c>
      <c r="H59" s="1">
        <v>1</v>
      </c>
      <c r="N59" s="1">
        <v>1</v>
      </c>
      <c r="R59" s="1">
        <v>22.2</v>
      </c>
      <c r="S59" s="1">
        <v>7.2</v>
      </c>
      <c r="T59" s="1">
        <v>22.6</v>
      </c>
      <c r="U59" s="1">
        <v>1</v>
      </c>
      <c r="V59" s="8">
        <f>R59*(1+S59)*原始运算表格!$P$2*原始运算表格!$Q$2</f>
        <v>182.04</v>
      </c>
      <c r="W59" s="8">
        <f>T59*(1+U59)*原始运算表格!$R$2*原始运算表格!$S$2</f>
        <v>226</v>
      </c>
      <c r="X59" s="8">
        <f t="shared" si="7"/>
        <v>1224.1199999999999</v>
      </c>
      <c r="Y59" s="8">
        <f t="shared" si="8"/>
        <v>1632.1599999999999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3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1</v>
      </c>
      <c r="E60" s="1">
        <f t="shared" si="5"/>
        <v>4</v>
      </c>
      <c r="F60" s="1">
        <f t="shared" si="2"/>
        <v>4</v>
      </c>
      <c r="R60" s="1">
        <v>20</v>
      </c>
      <c r="S60" s="1">
        <v>6.9</v>
      </c>
      <c r="T60" s="1">
        <v>16.600000000000001</v>
      </c>
      <c r="U60" s="1">
        <v>0.4</v>
      </c>
      <c r="V60" s="8">
        <f>R60*(1+S60)*原始运算表格!$P$2*原始运算表格!$Q$2</f>
        <v>158</v>
      </c>
      <c r="W60" s="8">
        <f>T60*(1+U60)*原始运算表格!$R$2*原始运算表格!$S$2</f>
        <v>116.20000000000002</v>
      </c>
      <c r="X60" s="8">
        <f t="shared" si="7"/>
        <v>0</v>
      </c>
      <c r="Y60" s="8">
        <f t="shared" si="8"/>
        <v>274.20000000000005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5</v>
      </c>
      <c r="F61" s="1">
        <f t="shared" si="2"/>
        <v>5</v>
      </c>
      <c r="G61" s="1">
        <v>1</v>
      </c>
      <c r="H61" s="1">
        <v>1</v>
      </c>
      <c r="L61" s="1">
        <v>1</v>
      </c>
      <c r="N61" s="1">
        <v>1</v>
      </c>
      <c r="R61" s="1">
        <v>24</v>
      </c>
      <c r="S61" s="1">
        <v>11.8</v>
      </c>
      <c r="T61" s="1">
        <v>22.5</v>
      </c>
      <c r="U61" s="1">
        <v>2.7</v>
      </c>
      <c r="V61" s="8">
        <f>R61*(1+S61)*原始运算表格!$P$2*原始运算表格!$Q$2</f>
        <v>307.20000000000005</v>
      </c>
      <c r="W61" s="8">
        <f>T61*(1+U61)*原始运算表格!$R$2*原始运算表格!$S$2</f>
        <v>416.25</v>
      </c>
      <c r="X61" s="8">
        <f t="shared" si="7"/>
        <v>9404.85</v>
      </c>
      <c r="Y61" s="8">
        <f t="shared" si="8"/>
        <v>10128.300000000001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13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6</v>
      </c>
      <c r="F62" s="1">
        <f t="shared" si="2"/>
        <v>6</v>
      </c>
      <c r="H62" s="1">
        <v>1</v>
      </c>
      <c r="I62" s="2"/>
      <c r="J62" s="2"/>
      <c r="K62" s="2"/>
      <c r="L62" s="1">
        <v>1</v>
      </c>
      <c r="M62" s="2"/>
      <c r="P62" s="2"/>
      <c r="R62" s="1">
        <v>21.9</v>
      </c>
      <c r="S62" s="1">
        <v>6.9</v>
      </c>
      <c r="T62" s="1">
        <v>24.3</v>
      </c>
      <c r="U62" s="1">
        <v>0.6</v>
      </c>
      <c r="V62" s="8">
        <f>R62*(1+S62)*原始运算表格!$P$2*原始运算表格!$Q$2</f>
        <v>173.01</v>
      </c>
      <c r="W62" s="8">
        <f>T62*(1+U62)*原始运算表格!$R$2*原始运算表格!$S$2</f>
        <v>194.4</v>
      </c>
      <c r="X62" s="8">
        <f t="shared" si="7"/>
        <v>1469.6399999999996</v>
      </c>
      <c r="Y62" s="8">
        <f t="shared" si="8"/>
        <v>1837.0499999999997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4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7</v>
      </c>
      <c r="F63" s="1">
        <f t="shared" si="2"/>
        <v>7</v>
      </c>
      <c r="I63" s="2"/>
      <c r="J63" s="2"/>
      <c r="K63" s="2"/>
      <c r="L63" s="1">
        <v>1</v>
      </c>
      <c r="M63" s="2"/>
      <c r="P63" s="2"/>
      <c r="R63" s="1">
        <v>21.2</v>
      </c>
      <c r="S63" s="1">
        <v>9.1999999999999993</v>
      </c>
      <c r="T63" s="1">
        <v>23.6</v>
      </c>
      <c r="U63" s="1">
        <v>1.6</v>
      </c>
      <c r="V63" s="8">
        <f>R63*(1+S63)*原始运算表格!$P$2*原始运算表格!$Q$2</f>
        <v>216.23999999999998</v>
      </c>
      <c r="W63" s="8">
        <f>T63*(1+U63)*原始运算表格!$R$2*原始运算表格!$S$2</f>
        <v>306.8</v>
      </c>
      <c r="X63" s="8">
        <f t="shared" si="7"/>
        <v>1046.08</v>
      </c>
      <c r="Y63" s="8">
        <f t="shared" si="8"/>
        <v>1569.12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2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0</v>
      </c>
      <c r="E64" s="1">
        <f t="shared" si="5"/>
        <v>8</v>
      </c>
      <c r="F64" s="1">
        <f t="shared" si="2"/>
        <v>8</v>
      </c>
      <c r="R64" s="1">
        <v>19.3</v>
      </c>
      <c r="S64" s="1">
        <v>2.8</v>
      </c>
      <c r="V64" s="8">
        <f>R64*(1+S64)*原始运算表格!$P$2*原始运算表格!$Q$2</f>
        <v>73.34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73.34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9</v>
      </c>
      <c r="F65" s="1">
        <f t="shared" si="2"/>
        <v>9</v>
      </c>
      <c r="H65" s="1">
        <v>1</v>
      </c>
      <c r="N65" s="1">
        <v>1</v>
      </c>
      <c r="R65" s="1">
        <v>23.2</v>
      </c>
      <c r="S65" s="1">
        <v>9</v>
      </c>
      <c r="T65" s="1">
        <v>23.6</v>
      </c>
      <c r="U65" s="1">
        <v>0.7</v>
      </c>
      <c r="V65" s="8">
        <f>R65*(1+S65)*原始运算表格!$P$2*原始运算表格!$Q$2</f>
        <v>232</v>
      </c>
      <c r="W65" s="8">
        <f>T65*(1+U65)*原始运算表格!$R$2*原始运算表格!$S$2</f>
        <v>200.60000000000002</v>
      </c>
      <c r="X65" s="8">
        <f t="shared" si="7"/>
        <v>1297.8000000000002</v>
      </c>
      <c r="Y65" s="8">
        <f t="shared" si="8"/>
        <v>1730.4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3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0</v>
      </c>
      <c r="E66" s="1">
        <f t="shared" si="5"/>
        <v>10</v>
      </c>
      <c r="F66" s="1">
        <f t="shared" si="2"/>
        <v>10</v>
      </c>
      <c r="R66" s="1">
        <v>25.9</v>
      </c>
      <c r="S66" s="1">
        <v>10.6</v>
      </c>
      <c r="V66" s="8">
        <f>R66*(1+S66)*原始运算表格!$P$2*原始运算表格!$Q$2</f>
        <v>300.44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300.44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11</v>
      </c>
      <c r="F67" s="1">
        <f t="shared" si="2"/>
        <v>11</v>
      </c>
      <c r="R67" s="1">
        <v>19.600000000000001</v>
      </c>
      <c r="S67" s="1">
        <v>6.2</v>
      </c>
      <c r="T67" s="1">
        <v>13</v>
      </c>
      <c r="U67" s="1">
        <v>0</v>
      </c>
      <c r="V67" s="8">
        <f>R67*(1+S67)*原始运算表格!$P$2*原始运算表格!$Q$2</f>
        <v>141.12</v>
      </c>
      <c r="W67" s="8">
        <f>T67*(1+U67)*原始运算表格!$R$2*原始运算表格!$S$2</f>
        <v>65</v>
      </c>
      <c r="X67" s="8">
        <f t="shared" si="7"/>
        <v>0</v>
      </c>
      <c r="Y67" s="8">
        <f t="shared" si="8"/>
        <v>206.12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12</v>
      </c>
      <c r="F68" s="1">
        <f t="shared" si="2"/>
        <v>12</v>
      </c>
      <c r="R68" s="1">
        <v>20.9</v>
      </c>
      <c r="S68" s="1">
        <v>11.6</v>
      </c>
      <c r="T68" s="1">
        <v>18.7</v>
      </c>
      <c r="U68" s="1">
        <v>0.2</v>
      </c>
      <c r="V68" s="8">
        <f>R68*(1+S68)*原始运算表格!$P$2*原始运算表格!$Q$2</f>
        <v>263.33999999999997</v>
      </c>
      <c r="W68" s="8">
        <f>T68*(1+U68)*原始运算表格!$R$2*原始运算表格!$S$2</f>
        <v>112.19999999999999</v>
      </c>
      <c r="X68" s="8">
        <f t="shared" si="7"/>
        <v>0</v>
      </c>
      <c r="Y68" s="8">
        <f t="shared" si="8"/>
        <v>375.53999999999996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0</v>
      </c>
      <c r="E69" s="1">
        <f t="shared" si="5"/>
        <v>13</v>
      </c>
      <c r="F69" s="1">
        <f t="shared" si="2"/>
        <v>13</v>
      </c>
      <c r="R69" s="1">
        <v>15.8</v>
      </c>
      <c r="S69" s="1">
        <v>2.9</v>
      </c>
      <c r="V69" s="8">
        <f>R69*(1+S69)*原始运算表格!$P$2*原始运算表格!$Q$2</f>
        <v>61.620000000000005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61.620000000000005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0</v>
      </c>
      <c r="E70" s="1">
        <f t="shared" si="5"/>
        <v>14</v>
      </c>
      <c r="F70" s="1">
        <f t="shared" si="2"/>
        <v>14</v>
      </c>
      <c r="R70" s="1">
        <v>13.4</v>
      </c>
      <c r="S70" s="1">
        <v>0.7</v>
      </c>
      <c r="V70" s="8">
        <f>R70*(1+S70)*原始运算表格!$P$2*原始运算表格!$Q$2</f>
        <v>22.78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22.78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14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14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14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14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14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14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14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14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14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Z79"/>
  <sheetViews>
    <sheetView zoomScale="55" zoomScaleNormal="55" workbookViewId="0">
      <pane ySplit="6" topLeftCell="A67" activePane="bottomLeft" state="frozen"/>
      <selection pane="bottomLeft" activeCell="B2" sqref="B2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86</v>
      </c>
    </row>
    <row r="5" spans="1:26" s="6" customFormat="1">
      <c r="A5" s="6" t="s">
        <v>22</v>
      </c>
      <c r="B5" s="7"/>
      <c r="C5" s="6">
        <f>SUM(C12:C105)</f>
        <v>11</v>
      </c>
      <c r="D5" s="6">
        <f>SUM(D12:D105)</f>
        <v>9</v>
      </c>
      <c r="G5" s="6">
        <f>SUM(G12:G105)</f>
        <v>1</v>
      </c>
      <c r="H5" s="6">
        <f t="shared" ref="H5:Z5" si="0">SUM(H12:H105)</f>
        <v>2</v>
      </c>
      <c r="I5" s="6">
        <f t="shared" si="0"/>
        <v>0</v>
      </c>
      <c r="J5" s="6">
        <f t="shared" si="0"/>
        <v>0</v>
      </c>
      <c r="K5" s="6">
        <f t="shared" si="0"/>
        <v>2</v>
      </c>
      <c r="L5" s="6">
        <f t="shared" si="0"/>
        <v>0</v>
      </c>
      <c r="M5" s="6">
        <f t="shared" si="0"/>
        <v>0</v>
      </c>
      <c r="N5" s="6">
        <f t="shared" si="0"/>
        <v>2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261.2</v>
      </c>
      <c r="S5" s="6">
        <f t="shared" si="0"/>
        <v>96.699999999999989</v>
      </c>
      <c r="T5" s="6">
        <f t="shared" si="0"/>
        <v>208</v>
      </c>
      <c r="U5" s="6">
        <f t="shared" si="0"/>
        <v>10.5</v>
      </c>
      <c r="V5" s="9">
        <f t="shared" si="0"/>
        <v>2695.76</v>
      </c>
      <c r="W5" s="9">
        <f t="shared" si="0"/>
        <v>2315.25</v>
      </c>
      <c r="X5" s="9">
        <f t="shared" si="0"/>
        <v>9811.130000000001</v>
      </c>
      <c r="Y5" s="9">
        <f t="shared" si="0"/>
        <v>14822.14</v>
      </c>
      <c r="Z5" s="9">
        <f t="shared" si="0"/>
        <v>18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0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0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0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0</v>
      </c>
      <c r="E69" s="1">
        <f t="shared" si="5"/>
        <v>1</v>
      </c>
      <c r="F69" s="1">
        <f t="shared" si="2"/>
        <v>1</v>
      </c>
      <c r="R69" s="1">
        <v>15.2</v>
      </c>
      <c r="S69" s="1">
        <v>1.9</v>
      </c>
      <c r="V69" s="8">
        <f>R69*(1+S69)*原始运算表格!$P$2*原始运算表格!$Q$2</f>
        <v>44.08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44.08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2</v>
      </c>
      <c r="F70" s="1">
        <f t="shared" si="2"/>
        <v>2</v>
      </c>
      <c r="R70" s="1">
        <v>17.8</v>
      </c>
      <c r="S70" s="1">
        <v>6.1</v>
      </c>
      <c r="T70" s="1">
        <v>24.3</v>
      </c>
      <c r="U70" s="1">
        <v>0.9</v>
      </c>
      <c r="V70" s="8">
        <f>R70*(1+S70)*原始运算表格!$P$2*原始运算表格!$Q$2</f>
        <v>126.38</v>
      </c>
      <c r="W70" s="8">
        <f>T70*(1+U70)*原始运算表格!$R$2*原始运算表格!$S$2</f>
        <v>230.85000000000002</v>
      </c>
      <c r="X70" s="8">
        <f t="shared" si="7"/>
        <v>0</v>
      </c>
      <c r="Y70" s="8">
        <f t="shared" si="8"/>
        <v>357.23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3</v>
      </c>
      <c r="F71" s="1">
        <f t="shared" ref="F71:F79" si="9">C71*E71</f>
        <v>3</v>
      </c>
      <c r="R71" s="1">
        <v>23.6</v>
      </c>
      <c r="S71" s="1">
        <v>9.4</v>
      </c>
      <c r="T71" s="1">
        <v>19.600000000000001</v>
      </c>
      <c r="U71" s="1">
        <v>1.1000000000000001</v>
      </c>
      <c r="V71" s="8">
        <f>R71*(1+S71)*原始运算表格!$P$2*原始运算表格!$Q$2</f>
        <v>245.44000000000003</v>
      </c>
      <c r="W71" s="8">
        <f>T71*(1+U71)*原始运算表格!$R$2*原始运算表格!$S$2</f>
        <v>205.8</v>
      </c>
      <c r="X71" s="8">
        <f t="shared" si="7"/>
        <v>0</v>
      </c>
      <c r="Y71" s="8">
        <f t="shared" si="8"/>
        <v>451.24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4</v>
      </c>
      <c r="F72" s="1">
        <f t="shared" si="9"/>
        <v>4</v>
      </c>
      <c r="R72" s="1">
        <v>22.9</v>
      </c>
      <c r="S72" s="1">
        <v>7.9</v>
      </c>
      <c r="T72" s="1">
        <v>22.6</v>
      </c>
      <c r="U72" s="1">
        <v>2.1</v>
      </c>
      <c r="V72" s="8">
        <f>R72*(1+S72)*原始运算表格!$P$2*原始运算表格!$Q$2</f>
        <v>203.81</v>
      </c>
      <c r="W72" s="8">
        <f>T72*(1+U72)*原始运算表格!$R$2*原始运算表格!$S$2</f>
        <v>350.3</v>
      </c>
      <c r="X72" s="8">
        <f t="shared" si="7"/>
        <v>0</v>
      </c>
      <c r="Y72" s="8">
        <f t="shared" si="8"/>
        <v>554.11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5</v>
      </c>
      <c r="F73" s="1">
        <f t="shared" si="9"/>
        <v>5</v>
      </c>
      <c r="R73" s="1">
        <v>23.9</v>
      </c>
      <c r="S73" s="1">
        <v>11.6</v>
      </c>
      <c r="T73" s="1">
        <v>25.6</v>
      </c>
      <c r="U73" s="1">
        <v>0.2</v>
      </c>
      <c r="V73" s="8">
        <f>R73*(1+S73)*原始运算表格!$P$2*原始运算表格!$Q$2</f>
        <v>301.14</v>
      </c>
      <c r="W73" s="8">
        <f>T73*(1+U73)*原始运算表格!$R$2*原始运算表格!$S$2</f>
        <v>153.6</v>
      </c>
      <c r="X73" s="8">
        <f t="shared" si="7"/>
        <v>0</v>
      </c>
      <c r="Y73" s="8">
        <f t="shared" si="8"/>
        <v>454.74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6</v>
      </c>
      <c r="F74" s="1">
        <f t="shared" si="9"/>
        <v>6</v>
      </c>
      <c r="R74" s="1">
        <v>24.7</v>
      </c>
      <c r="S74" s="1">
        <v>5.2</v>
      </c>
      <c r="T74" s="1">
        <v>24.9</v>
      </c>
      <c r="U74" s="1">
        <v>2.5</v>
      </c>
      <c r="V74" s="8">
        <f>R74*(1+S74)*原始运算表格!$P$2*原始运算表格!$Q$2</f>
        <v>153.13999999999999</v>
      </c>
      <c r="W74" s="8">
        <f>T74*(1+U74)*原始运算表格!$R$2*原始运算表格!$S$2</f>
        <v>435.74999999999994</v>
      </c>
      <c r="X74" s="8">
        <f t="shared" si="7"/>
        <v>0</v>
      </c>
      <c r="Y74" s="8">
        <f t="shared" si="8"/>
        <v>588.88999999999987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0</v>
      </c>
      <c r="E75" s="1">
        <f t="shared" si="10"/>
        <v>7</v>
      </c>
      <c r="F75" s="1">
        <f t="shared" si="9"/>
        <v>7</v>
      </c>
      <c r="H75" s="1">
        <v>1</v>
      </c>
      <c r="R75" s="1">
        <v>29.1</v>
      </c>
      <c r="S75" s="1">
        <v>10.6</v>
      </c>
      <c r="V75" s="8">
        <f>R75*(1+S75)*原始运算表格!$P$2*原始运算表格!$Q$2</f>
        <v>337.56</v>
      </c>
      <c r="W75" s="8">
        <f>T75*(1+U75)*原始运算表格!$R$2*原始运算表格!$S$2</f>
        <v>0</v>
      </c>
      <c r="X75" s="8">
        <f t="shared" si="7"/>
        <v>675.12000000000012</v>
      </c>
      <c r="Y75" s="8">
        <f t="shared" si="8"/>
        <v>1012.6800000000001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2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8</v>
      </c>
      <c r="F76" s="1">
        <f t="shared" si="9"/>
        <v>8</v>
      </c>
      <c r="N76" s="1">
        <v>1</v>
      </c>
      <c r="R76" s="1">
        <v>27.6</v>
      </c>
      <c r="S76" s="1">
        <v>14</v>
      </c>
      <c r="T76" s="1">
        <v>26.9</v>
      </c>
      <c r="U76" s="1">
        <v>2.9</v>
      </c>
      <c r="V76" s="8">
        <f>R76*(1+S76)*原始运算表格!$P$2*原始运算表格!$Q$2</f>
        <v>414</v>
      </c>
      <c r="W76" s="8">
        <f>T76*(1+U76)*原始运算表格!$R$2*原始运算表格!$S$2</f>
        <v>524.54999999999995</v>
      </c>
      <c r="X76" s="8">
        <f t="shared" si="7"/>
        <v>938.55</v>
      </c>
      <c r="Y76" s="8">
        <f t="shared" si="8"/>
        <v>1877.1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1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9</v>
      </c>
      <c r="F77" s="1">
        <f t="shared" si="9"/>
        <v>9</v>
      </c>
      <c r="G77" s="1">
        <v>1</v>
      </c>
      <c r="H77" s="1">
        <v>1</v>
      </c>
      <c r="N77" s="1">
        <v>1</v>
      </c>
      <c r="R77" s="1">
        <v>30.6</v>
      </c>
      <c r="S77" s="1">
        <v>13.1</v>
      </c>
      <c r="T77" s="1">
        <v>27.7</v>
      </c>
      <c r="U77" s="1">
        <v>0.4</v>
      </c>
      <c r="V77" s="8">
        <f>R77*(1+S77)*原始运算表格!$P$2*原始运算表格!$Q$2</f>
        <v>431.46000000000004</v>
      </c>
      <c r="W77" s="8">
        <f>T77*(1+U77)*原始运算表格!$R$2*原始运算表格!$S$2</f>
        <v>193.89999999999998</v>
      </c>
      <c r="X77" s="8">
        <f t="shared" si="7"/>
        <v>6878.96</v>
      </c>
      <c r="Y77" s="8">
        <f t="shared" si="8"/>
        <v>7504.32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11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10</v>
      </c>
      <c r="F78" s="1">
        <f t="shared" si="9"/>
        <v>10</v>
      </c>
      <c r="K78" s="1">
        <v>1</v>
      </c>
      <c r="R78" s="1">
        <v>24.7</v>
      </c>
      <c r="S78" s="1">
        <v>10.1</v>
      </c>
      <c r="T78" s="1">
        <v>20.3</v>
      </c>
      <c r="U78" s="1">
        <v>0.3</v>
      </c>
      <c r="V78" s="8">
        <f>R78*(1+S78)*原始运算表格!$P$2*原始运算表格!$Q$2</f>
        <v>274.16999999999996</v>
      </c>
      <c r="W78" s="8">
        <f>T78*(1+U78)*原始运算表格!$R$2*原始运算表格!$S$2</f>
        <v>131.94999999999999</v>
      </c>
      <c r="X78" s="8">
        <f t="shared" si="7"/>
        <v>812.2399999999999</v>
      </c>
      <c r="Y78" s="8">
        <f t="shared" si="8"/>
        <v>1218.3599999999999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2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11</v>
      </c>
      <c r="F79" s="1">
        <f t="shared" si="9"/>
        <v>11</v>
      </c>
      <c r="K79" s="1">
        <v>1</v>
      </c>
      <c r="R79" s="1">
        <v>21.1</v>
      </c>
      <c r="S79" s="1">
        <v>6.8</v>
      </c>
      <c r="T79" s="1">
        <v>16.100000000000001</v>
      </c>
      <c r="U79" s="1">
        <v>0.1</v>
      </c>
      <c r="V79" s="8">
        <f>R79*(1+S79)*原始运算表格!$P$2*原始运算表格!$Q$2</f>
        <v>164.58</v>
      </c>
      <c r="W79" s="8">
        <f>T79*(1+U79)*原始运算表格!$R$2*原始运算表格!$S$2</f>
        <v>88.550000000000026</v>
      </c>
      <c r="X79" s="8">
        <f t="shared" si="7"/>
        <v>506.26</v>
      </c>
      <c r="Y79" s="8">
        <f t="shared" si="8"/>
        <v>759.3900000000001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2</v>
      </c>
    </row>
  </sheetData>
  <phoneticPr fontId="3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Z79"/>
  <sheetViews>
    <sheetView zoomScale="70" zoomScaleNormal="70" workbookViewId="0">
      <pane ySplit="6" topLeftCell="A67" activePane="bottomLeft" state="frozen"/>
      <selection pane="bottomLeft" activeCell="B2" sqref="B2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87</v>
      </c>
    </row>
    <row r="5" spans="1:26" s="6" customFormat="1">
      <c r="A5" s="6" t="s">
        <v>22</v>
      </c>
      <c r="B5" s="7"/>
      <c r="C5" s="6">
        <f>SUM(C12:C105)</f>
        <v>10</v>
      </c>
      <c r="D5" s="6">
        <f>SUM(D12:D105)</f>
        <v>10</v>
      </c>
      <c r="G5" s="6">
        <f>SUM(G12:G105)</f>
        <v>1</v>
      </c>
      <c r="H5" s="6">
        <f t="shared" ref="H5:Z5" si="0">SUM(H12:H105)</f>
        <v>2</v>
      </c>
      <c r="I5" s="6">
        <f t="shared" si="0"/>
        <v>0</v>
      </c>
      <c r="J5" s="6">
        <f t="shared" si="0"/>
        <v>0</v>
      </c>
      <c r="K5" s="6">
        <f t="shared" si="0"/>
        <v>1</v>
      </c>
      <c r="L5" s="6">
        <f t="shared" si="0"/>
        <v>0</v>
      </c>
      <c r="M5" s="6">
        <f t="shared" si="0"/>
        <v>0</v>
      </c>
      <c r="N5" s="6">
        <f t="shared" si="0"/>
        <v>5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237.8</v>
      </c>
      <c r="S5" s="6">
        <f t="shared" si="0"/>
        <v>121.80000000000001</v>
      </c>
      <c r="T5" s="6">
        <f t="shared" si="0"/>
        <v>214.70000000000002</v>
      </c>
      <c r="U5" s="6">
        <f t="shared" si="0"/>
        <v>14.399999999999999</v>
      </c>
      <c r="V5" s="9">
        <f t="shared" si="0"/>
        <v>3318.08</v>
      </c>
      <c r="W5" s="9">
        <f t="shared" si="0"/>
        <v>2685.2</v>
      </c>
      <c r="X5" s="9">
        <f t="shared" si="0"/>
        <v>15635.959999999997</v>
      </c>
      <c r="Y5" s="9">
        <f t="shared" si="0"/>
        <v>21639.239999999998</v>
      </c>
      <c r="Z5" s="9">
        <f t="shared" si="0"/>
        <v>19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0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0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0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0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1</v>
      </c>
      <c r="F70" s="1">
        <f t="shared" si="2"/>
        <v>1</v>
      </c>
      <c r="R70" s="1">
        <v>14</v>
      </c>
      <c r="S70" s="1">
        <v>4.5</v>
      </c>
      <c r="T70" s="1">
        <v>15.8</v>
      </c>
      <c r="U70" s="1">
        <v>0.5</v>
      </c>
      <c r="V70" s="8">
        <f>R70*(1+S70)*原始运算表格!$P$2*原始运算表格!$Q$2</f>
        <v>77</v>
      </c>
      <c r="W70" s="8">
        <f>T70*(1+U70)*原始运算表格!$R$2*原始运算表格!$S$2</f>
        <v>118.50000000000001</v>
      </c>
      <c r="X70" s="8">
        <f t="shared" si="7"/>
        <v>0</v>
      </c>
      <c r="Y70" s="8">
        <f t="shared" si="8"/>
        <v>195.5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2</v>
      </c>
      <c r="F71" s="1">
        <f t="shared" ref="F71:F79" si="9">C71*E71</f>
        <v>2</v>
      </c>
      <c r="R71" s="1">
        <v>16.399999999999999</v>
      </c>
      <c r="S71" s="1">
        <v>7.1</v>
      </c>
      <c r="T71" s="1">
        <v>19.100000000000001</v>
      </c>
      <c r="U71" s="1">
        <v>2.2000000000000002</v>
      </c>
      <c r="V71" s="8">
        <f>R71*(1+S71)*原始运算表格!$P$2*原始运算表格!$Q$2</f>
        <v>132.83999999999997</v>
      </c>
      <c r="W71" s="8">
        <f>T71*(1+U71)*原始运算表格!$R$2*原始运算表格!$S$2</f>
        <v>305.60000000000002</v>
      </c>
      <c r="X71" s="8">
        <f t="shared" si="7"/>
        <v>0</v>
      </c>
      <c r="Y71" s="8">
        <f t="shared" si="8"/>
        <v>438.44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3</v>
      </c>
      <c r="F72" s="1">
        <f t="shared" si="9"/>
        <v>3</v>
      </c>
      <c r="R72" s="1">
        <v>21.1</v>
      </c>
      <c r="S72" s="1">
        <v>9.3000000000000007</v>
      </c>
      <c r="T72" s="1">
        <v>20.9</v>
      </c>
      <c r="U72" s="1">
        <v>2.4</v>
      </c>
      <c r="V72" s="8">
        <f>R72*(1+S72)*原始运算表格!$P$2*原始运算表格!$Q$2</f>
        <v>217.33000000000004</v>
      </c>
      <c r="W72" s="8">
        <f>T72*(1+U72)*原始运算表格!$R$2*原始运算表格!$S$2</f>
        <v>355.29999999999995</v>
      </c>
      <c r="X72" s="8">
        <f t="shared" si="7"/>
        <v>0</v>
      </c>
      <c r="Y72" s="8">
        <f t="shared" si="8"/>
        <v>572.63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4</v>
      </c>
      <c r="F73" s="1">
        <f t="shared" si="9"/>
        <v>4</v>
      </c>
      <c r="R73" s="1">
        <v>23</v>
      </c>
      <c r="S73" s="1">
        <v>12.8</v>
      </c>
      <c r="T73" s="1">
        <v>20.8</v>
      </c>
      <c r="U73" s="1">
        <v>0.5</v>
      </c>
      <c r="V73" s="8">
        <f>R73*(1+S73)*原始运算表格!$P$2*原始运算表格!$Q$2</f>
        <v>317.40000000000003</v>
      </c>
      <c r="W73" s="8">
        <f>T73*(1+U73)*原始运算表格!$R$2*原始运算表格!$S$2</f>
        <v>156</v>
      </c>
      <c r="X73" s="8">
        <f t="shared" si="7"/>
        <v>0</v>
      </c>
      <c r="Y73" s="8">
        <f t="shared" si="8"/>
        <v>473.40000000000003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5</v>
      </c>
      <c r="F74" s="1">
        <f t="shared" si="9"/>
        <v>5</v>
      </c>
      <c r="N74" s="1">
        <v>1</v>
      </c>
      <c r="R74" s="1">
        <v>23.5</v>
      </c>
      <c r="S74" s="1">
        <v>12.8</v>
      </c>
      <c r="T74" s="1">
        <v>18.3</v>
      </c>
      <c r="U74" s="1">
        <v>0.6</v>
      </c>
      <c r="V74" s="8">
        <f>R74*(1+S74)*原始运算表格!$P$2*原始运算表格!$Q$2</f>
        <v>324.3</v>
      </c>
      <c r="W74" s="8">
        <f>T74*(1+U74)*原始运算表格!$R$2*原始运算表格!$S$2</f>
        <v>146.4</v>
      </c>
      <c r="X74" s="8">
        <f t="shared" si="7"/>
        <v>470.7000000000001</v>
      </c>
      <c r="Y74" s="8">
        <f t="shared" si="8"/>
        <v>941.40000000000009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1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6</v>
      </c>
      <c r="F75" s="1">
        <f t="shared" si="9"/>
        <v>6</v>
      </c>
      <c r="N75" s="1">
        <v>1</v>
      </c>
      <c r="R75" s="1">
        <v>26.7</v>
      </c>
      <c r="S75" s="1">
        <v>16.399999999999999</v>
      </c>
      <c r="T75" s="1">
        <v>24.8</v>
      </c>
      <c r="U75" s="1">
        <v>2.7</v>
      </c>
      <c r="V75" s="8">
        <f>R75*(1+S75)*原始运算表格!$P$2*原始运算表格!$Q$2</f>
        <v>464.57999999999993</v>
      </c>
      <c r="W75" s="8">
        <f>T75*(1+U75)*原始运算表格!$R$2*原始运算表格!$S$2</f>
        <v>458.8</v>
      </c>
      <c r="X75" s="8">
        <f t="shared" si="7"/>
        <v>923.37999999999988</v>
      </c>
      <c r="Y75" s="8">
        <f t="shared" si="8"/>
        <v>1846.7599999999998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1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7</v>
      </c>
      <c r="F76" s="1">
        <f t="shared" si="9"/>
        <v>7</v>
      </c>
      <c r="R76" s="1">
        <v>25.3</v>
      </c>
      <c r="S76" s="1">
        <v>13.3</v>
      </c>
      <c r="T76" s="1">
        <v>21.8</v>
      </c>
      <c r="U76" s="1">
        <v>0.4</v>
      </c>
      <c r="V76" s="8">
        <f>R76*(1+S76)*原始运算表格!$P$2*原始运算表格!$Q$2</f>
        <v>361.79</v>
      </c>
      <c r="W76" s="8">
        <f>T76*(1+U76)*原始运算表格!$R$2*原始运算表格!$S$2</f>
        <v>152.6</v>
      </c>
      <c r="X76" s="8">
        <f t="shared" si="7"/>
        <v>0</v>
      </c>
      <c r="Y76" s="8">
        <f t="shared" si="8"/>
        <v>514.39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8</v>
      </c>
      <c r="F77" s="1">
        <f t="shared" si="9"/>
        <v>8</v>
      </c>
      <c r="K77" s="1">
        <v>1</v>
      </c>
      <c r="N77" s="1">
        <v>1</v>
      </c>
      <c r="R77" s="1">
        <v>27.4</v>
      </c>
      <c r="S77" s="1">
        <v>15</v>
      </c>
      <c r="T77" s="1">
        <v>23</v>
      </c>
      <c r="U77" s="1">
        <v>1.3</v>
      </c>
      <c r="V77" s="8">
        <f>R77*(1+S77)*原始运算表格!$P$2*原始运算表格!$Q$2</f>
        <v>438.4</v>
      </c>
      <c r="W77" s="8">
        <f>T77*(1+U77)*原始运算表格!$R$2*原始运算表格!$S$2</f>
        <v>264.5</v>
      </c>
      <c r="X77" s="8">
        <f t="shared" si="7"/>
        <v>2108.6999999999998</v>
      </c>
      <c r="Y77" s="8">
        <f t="shared" si="8"/>
        <v>2811.6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3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9</v>
      </c>
      <c r="F78" s="1">
        <f t="shared" si="9"/>
        <v>9</v>
      </c>
      <c r="G78" s="1">
        <v>1</v>
      </c>
      <c r="H78" s="1">
        <v>1</v>
      </c>
      <c r="N78" s="1">
        <v>1</v>
      </c>
      <c r="R78" s="1">
        <v>29.8</v>
      </c>
      <c r="S78" s="1">
        <v>15.4</v>
      </c>
      <c r="T78" s="1">
        <v>24.9</v>
      </c>
      <c r="U78" s="1">
        <v>2.1</v>
      </c>
      <c r="V78" s="8">
        <f>R78*(1+S78)*原始运算表格!$P$2*原始运算表格!$Q$2</f>
        <v>488.71999999999997</v>
      </c>
      <c r="W78" s="8">
        <f>T78*(1+U78)*原始运算表格!$R$2*原始运算表格!$S$2</f>
        <v>385.95</v>
      </c>
      <c r="X78" s="8">
        <f t="shared" si="7"/>
        <v>9621.369999999999</v>
      </c>
      <c r="Y78" s="8">
        <f t="shared" si="8"/>
        <v>10496.039999999999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11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10</v>
      </c>
      <c r="F79" s="1">
        <f t="shared" si="9"/>
        <v>10</v>
      </c>
      <c r="H79" s="1">
        <v>1</v>
      </c>
      <c r="N79" s="1">
        <v>1</v>
      </c>
      <c r="R79" s="1">
        <v>30.6</v>
      </c>
      <c r="S79" s="1">
        <v>15.2</v>
      </c>
      <c r="T79" s="1">
        <v>25.3</v>
      </c>
      <c r="U79" s="1">
        <v>1.7</v>
      </c>
      <c r="V79" s="8">
        <f>R79*(1+S79)*原始运算表格!$P$2*原始运算表格!$Q$2</f>
        <v>495.72</v>
      </c>
      <c r="W79" s="8">
        <f>T79*(1+U79)*原始运算表格!$R$2*原始运算表格!$S$2</f>
        <v>341.55</v>
      </c>
      <c r="X79" s="8">
        <f t="shared" si="7"/>
        <v>2511.8099999999995</v>
      </c>
      <c r="Y79" s="8">
        <f t="shared" si="8"/>
        <v>3349.08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3</v>
      </c>
    </row>
  </sheetData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Z79"/>
  <sheetViews>
    <sheetView zoomScale="70" zoomScaleNormal="70" workbookViewId="0">
      <pane ySplit="6" topLeftCell="A67" activePane="bottomLeft" state="frozen"/>
      <selection pane="bottomLeft" activeCell="B2" sqref="B2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88</v>
      </c>
    </row>
    <row r="5" spans="1:26" s="6" customFormat="1">
      <c r="A5" s="6" t="s">
        <v>22</v>
      </c>
      <c r="B5" s="7"/>
      <c r="C5" s="6">
        <f>SUM(C12:C105)</f>
        <v>8</v>
      </c>
      <c r="D5" s="6">
        <f>SUM(D12:D105)</f>
        <v>7</v>
      </c>
      <c r="G5" s="6">
        <f>SUM(G12:G105)</f>
        <v>0</v>
      </c>
      <c r="H5" s="6">
        <f t="shared" ref="H5:Z5" si="0">SUM(H12:H105)</f>
        <v>0</v>
      </c>
      <c r="I5" s="6">
        <f t="shared" si="0"/>
        <v>2</v>
      </c>
      <c r="J5" s="6">
        <f t="shared" si="0"/>
        <v>0</v>
      </c>
      <c r="K5" s="6">
        <f t="shared" si="0"/>
        <v>0</v>
      </c>
      <c r="L5" s="6">
        <f t="shared" si="0"/>
        <v>1</v>
      </c>
      <c r="M5" s="6">
        <f t="shared" si="0"/>
        <v>0</v>
      </c>
      <c r="N5" s="6">
        <f t="shared" si="0"/>
        <v>2</v>
      </c>
      <c r="O5" s="6">
        <f t="shared" si="0"/>
        <v>3</v>
      </c>
      <c r="P5" s="6">
        <f t="shared" si="0"/>
        <v>2</v>
      </c>
      <c r="Q5" s="6">
        <f t="shared" si="0"/>
        <v>2</v>
      </c>
      <c r="R5" s="6">
        <f t="shared" si="0"/>
        <v>179.8</v>
      </c>
      <c r="S5" s="6">
        <f t="shared" si="0"/>
        <v>65.7</v>
      </c>
      <c r="T5" s="6">
        <f t="shared" si="0"/>
        <v>160.69999999999999</v>
      </c>
      <c r="U5" s="6">
        <f t="shared" si="0"/>
        <v>17.5</v>
      </c>
      <c r="V5" s="9">
        <f t="shared" si="0"/>
        <v>1711.4200000000003</v>
      </c>
      <c r="W5" s="9">
        <f t="shared" si="0"/>
        <v>2926.55</v>
      </c>
      <c r="X5" s="9">
        <f t="shared" si="0"/>
        <v>26656.230000000003</v>
      </c>
      <c r="Y5" s="9">
        <f t="shared" si="0"/>
        <v>31294.2</v>
      </c>
      <c r="Z5" s="9">
        <f t="shared" si="0"/>
        <v>35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0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0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0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0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0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0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1</v>
      </c>
      <c r="F72" s="1">
        <f t="shared" si="9"/>
        <v>1</v>
      </c>
      <c r="R72" s="1">
        <v>16.600000000000001</v>
      </c>
      <c r="S72" s="1">
        <v>5.5</v>
      </c>
      <c r="T72" s="1">
        <v>15.1</v>
      </c>
      <c r="U72" s="1">
        <v>1.2</v>
      </c>
      <c r="V72" s="8">
        <f>R72*(1+S72)*原始运算表格!$P$2*原始运算表格!$Q$2</f>
        <v>107.9</v>
      </c>
      <c r="W72" s="8">
        <f>T72*(1+U72)*原始运算表格!$R$2*原始运算表格!$S$2</f>
        <v>166.1</v>
      </c>
      <c r="X72" s="8">
        <f t="shared" si="7"/>
        <v>0</v>
      </c>
      <c r="Y72" s="8">
        <f t="shared" si="8"/>
        <v>274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2</v>
      </c>
      <c r="F73" s="1">
        <f t="shared" si="9"/>
        <v>2</v>
      </c>
      <c r="R73" s="1">
        <v>16.399999999999999</v>
      </c>
      <c r="S73" s="1">
        <v>6.2</v>
      </c>
      <c r="T73" s="1">
        <v>18.899999999999999</v>
      </c>
      <c r="U73" s="1">
        <v>3.1</v>
      </c>
      <c r="V73" s="8">
        <f>R73*(1+S73)*原始运算表格!$P$2*原始运算表格!$Q$2</f>
        <v>118.08</v>
      </c>
      <c r="W73" s="8">
        <f>T73*(1+U73)*原始运算表格!$R$2*原始运算表格!$S$2</f>
        <v>387.44999999999993</v>
      </c>
      <c r="X73" s="8">
        <f t="shared" si="7"/>
        <v>0</v>
      </c>
      <c r="Y73" s="8">
        <f t="shared" si="8"/>
        <v>505.52999999999992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3</v>
      </c>
      <c r="F74" s="1">
        <f t="shared" si="9"/>
        <v>3</v>
      </c>
      <c r="P74" s="1">
        <v>1</v>
      </c>
      <c r="Q74" s="1">
        <v>1</v>
      </c>
      <c r="R74" s="1">
        <v>19.399999999999999</v>
      </c>
      <c r="S74" s="1">
        <v>7.7</v>
      </c>
      <c r="T74" s="1">
        <v>18.7</v>
      </c>
      <c r="U74" s="1">
        <v>2.9</v>
      </c>
      <c r="V74" s="8">
        <f>R74*(1+S74)*原始运算表格!$P$2*原始运算表格!$Q$2</f>
        <v>168.77999999999997</v>
      </c>
      <c r="W74" s="8">
        <f>T74*(1+U74)*原始运算表格!$R$2*原始运算表格!$S$2</f>
        <v>364.65</v>
      </c>
      <c r="X74" s="8">
        <f t="shared" si="7"/>
        <v>6401.16</v>
      </c>
      <c r="Y74" s="8">
        <f t="shared" si="8"/>
        <v>6934.5899999999992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12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4</v>
      </c>
      <c r="F75" s="1">
        <f t="shared" si="9"/>
        <v>4</v>
      </c>
      <c r="I75" s="1">
        <v>1</v>
      </c>
      <c r="L75" s="1">
        <v>1</v>
      </c>
      <c r="O75" s="1">
        <v>1</v>
      </c>
      <c r="R75" s="1">
        <v>22</v>
      </c>
      <c r="S75" s="1">
        <v>8.6</v>
      </c>
      <c r="T75" s="1">
        <v>19.899999999999999</v>
      </c>
      <c r="U75" s="1">
        <v>0.7</v>
      </c>
      <c r="V75" s="8">
        <f>R75*(1+S75)*原始运算表格!$P$2*原始运算表格!$Q$2</f>
        <v>211.2</v>
      </c>
      <c r="W75" s="8">
        <f>T75*(1+U75)*原始运算表格!$R$2*原始运算表格!$S$2</f>
        <v>169.14999999999998</v>
      </c>
      <c r="X75" s="8">
        <f t="shared" si="7"/>
        <v>1901.7499999999998</v>
      </c>
      <c r="Y75" s="8">
        <f t="shared" si="8"/>
        <v>2282.1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5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5</v>
      </c>
      <c r="F76" s="1">
        <f t="shared" si="9"/>
        <v>5</v>
      </c>
      <c r="I76" s="1">
        <v>1</v>
      </c>
      <c r="N76" s="1">
        <v>1</v>
      </c>
      <c r="O76" s="1">
        <v>1</v>
      </c>
      <c r="R76" s="1">
        <v>26</v>
      </c>
      <c r="S76" s="1">
        <v>13.7</v>
      </c>
      <c r="T76" s="1">
        <v>28.6</v>
      </c>
      <c r="U76" s="1">
        <v>1.9</v>
      </c>
      <c r="V76" s="8">
        <f>R76*(1+S76)*原始运算表格!$P$2*原始运算表格!$Q$2</f>
        <v>382.2</v>
      </c>
      <c r="W76" s="8">
        <f>T76*(1+U76)*原始运算表格!$R$2*原始运算表格!$S$2</f>
        <v>414.7</v>
      </c>
      <c r="X76" s="8">
        <f t="shared" si="7"/>
        <v>3187.6000000000004</v>
      </c>
      <c r="Y76" s="8">
        <f t="shared" si="8"/>
        <v>3984.5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4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6</v>
      </c>
      <c r="F77" s="1">
        <f t="shared" si="9"/>
        <v>6</v>
      </c>
      <c r="N77" s="1">
        <v>1</v>
      </c>
      <c r="O77" s="1">
        <v>1</v>
      </c>
      <c r="R77" s="1">
        <v>27.6</v>
      </c>
      <c r="S77" s="1">
        <v>13.6</v>
      </c>
      <c r="T77" s="1">
        <v>31.5</v>
      </c>
      <c r="U77" s="1">
        <v>2.8</v>
      </c>
      <c r="V77" s="8">
        <f>R77*(1+S77)*原始运算表格!$P$2*原始运算表格!$Q$2</f>
        <v>402.96000000000004</v>
      </c>
      <c r="W77" s="8">
        <f>T77*(1+U77)*原始运算表格!$R$2*原始运算表格!$S$2</f>
        <v>598.5</v>
      </c>
      <c r="X77" s="8">
        <f t="shared" si="7"/>
        <v>2002.92</v>
      </c>
      <c r="Y77" s="8">
        <f t="shared" si="8"/>
        <v>3004.38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2</v>
      </c>
    </row>
    <row r="78" spans="1:26">
      <c r="A78" s="1">
        <v>2017</v>
      </c>
      <c r="B78" s="1">
        <f>A78+1</f>
        <v>2018</v>
      </c>
      <c r="C78" s="1">
        <v>1</v>
      </c>
      <c r="D78" s="1">
        <v>0</v>
      </c>
      <c r="E78" s="1">
        <f t="shared" si="10"/>
        <v>7</v>
      </c>
      <c r="F78" s="1">
        <f t="shared" si="9"/>
        <v>7</v>
      </c>
      <c r="R78" s="1">
        <v>26</v>
      </c>
      <c r="S78" s="1">
        <v>0.9</v>
      </c>
      <c r="V78" s="8">
        <f>R78*(1+S78)*原始运算表格!$P$2*原始运算表格!$Q$2</f>
        <v>49.4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49.4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8</v>
      </c>
      <c r="F79" s="1">
        <f t="shared" si="9"/>
        <v>8</v>
      </c>
      <c r="P79" s="1">
        <v>1</v>
      </c>
      <c r="Q79" s="1">
        <v>1</v>
      </c>
      <c r="R79" s="1">
        <v>25.8</v>
      </c>
      <c r="S79" s="1">
        <v>9.5</v>
      </c>
      <c r="T79" s="1">
        <v>28</v>
      </c>
      <c r="U79" s="1">
        <v>4.9000000000000004</v>
      </c>
      <c r="V79" s="8">
        <f>R79*(1+S79)*原始运算表格!$P$2*原始运算表格!$Q$2</f>
        <v>270.90000000000003</v>
      </c>
      <c r="W79" s="8">
        <f>T79*(1+U79)*原始运算表格!$R$2*原始运算表格!$S$2</f>
        <v>826.00000000000011</v>
      </c>
      <c r="X79" s="8">
        <f t="shared" si="7"/>
        <v>13162.800000000001</v>
      </c>
      <c r="Y79" s="8">
        <f t="shared" si="8"/>
        <v>14259.7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12</v>
      </c>
    </row>
  </sheetData>
  <phoneticPr fontId="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Z79"/>
  <sheetViews>
    <sheetView zoomScale="55" zoomScaleNormal="55" workbookViewId="0">
      <pane ySplit="6" topLeftCell="A70" activePane="bottomLeft" state="frozen"/>
      <selection pane="bottomLeft" activeCell="L92" sqref="L92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89</v>
      </c>
    </row>
    <row r="5" spans="1:26" s="6" customFormat="1">
      <c r="A5" s="6" t="s">
        <v>22</v>
      </c>
      <c r="B5" s="7"/>
      <c r="C5" s="6">
        <f>SUM(C12:C105)</f>
        <v>8</v>
      </c>
      <c r="D5" s="6">
        <f>SUM(D12:D105)</f>
        <v>7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3</v>
      </c>
      <c r="Q5" s="6">
        <f t="shared" si="0"/>
        <v>0</v>
      </c>
      <c r="R5" s="6">
        <f t="shared" si="0"/>
        <v>131.30000000000001</v>
      </c>
      <c r="S5" s="6">
        <f t="shared" si="0"/>
        <v>46.8</v>
      </c>
      <c r="T5" s="6">
        <f t="shared" si="0"/>
        <v>94.100000000000009</v>
      </c>
      <c r="U5" s="6">
        <f t="shared" si="0"/>
        <v>8.6</v>
      </c>
      <c r="V5" s="9">
        <f t="shared" si="0"/>
        <v>928.81</v>
      </c>
      <c r="W5" s="9">
        <f t="shared" si="0"/>
        <v>1127.05</v>
      </c>
      <c r="X5" s="9">
        <f t="shared" si="0"/>
        <v>3691.12</v>
      </c>
      <c r="Y5" s="9">
        <f t="shared" si="0"/>
        <v>5746.98</v>
      </c>
      <c r="Z5" s="9">
        <f t="shared" si="0"/>
        <v>12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0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0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0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0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0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5"/>
        <v>0</v>
      </c>
      <c r="F71" s="1">
        <f t="shared" ref="F71:F79" si="9">C71*E71</f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0</v>
      </c>
      <c r="E72" s="1">
        <f t="shared" si="5"/>
        <v>1</v>
      </c>
      <c r="F72" s="1">
        <f t="shared" si="9"/>
        <v>1</v>
      </c>
      <c r="R72" s="1">
        <v>14.9</v>
      </c>
      <c r="S72" s="1">
        <v>1.7</v>
      </c>
      <c r="V72" s="8">
        <f>R72*(1+S72)*原始运算表格!$P$2*原始运算表格!$Q$2</f>
        <v>40.230000000000004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40.230000000000004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2</v>
      </c>
      <c r="F73" s="1">
        <f t="shared" si="9"/>
        <v>2</v>
      </c>
      <c r="R73" s="1">
        <v>12.7</v>
      </c>
      <c r="S73" s="1">
        <v>4.3</v>
      </c>
      <c r="T73" s="1">
        <v>10.1</v>
      </c>
      <c r="U73" s="1">
        <v>0.4</v>
      </c>
      <c r="V73" s="8">
        <f>R73*(1+S73)*原始运算表格!$P$2*原始运算表格!$Q$2</f>
        <v>67.309999999999988</v>
      </c>
      <c r="W73" s="8">
        <f>T73*(1+U73)*原始运算表格!$R$2*原始运算表格!$S$2</f>
        <v>70.699999999999989</v>
      </c>
      <c r="X73" s="8">
        <f t="shared" si="7"/>
        <v>0</v>
      </c>
      <c r="Y73" s="8">
        <f t="shared" si="8"/>
        <v>138.01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3</v>
      </c>
      <c r="F74" s="1">
        <f t="shared" si="9"/>
        <v>3</v>
      </c>
      <c r="R74" s="1">
        <v>14.3</v>
      </c>
      <c r="S74" s="1">
        <v>6.7</v>
      </c>
      <c r="T74" s="1">
        <v>12</v>
      </c>
      <c r="U74" s="1">
        <v>0.2</v>
      </c>
      <c r="V74" s="8">
        <f>R74*(1+S74)*原始运算表格!$P$2*原始运算表格!$Q$2</f>
        <v>110.11000000000001</v>
      </c>
      <c r="W74" s="8">
        <f>T74*(1+U74)*原始运算表格!$R$2*原始运算表格!$S$2</f>
        <v>72</v>
      </c>
      <c r="X74" s="8">
        <f t="shared" si="7"/>
        <v>0</v>
      </c>
      <c r="Y74" s="8">
        <f t="shared" si="8"/>
        <v>182.11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4</v>
      </c>
      <c r="F75" s="1">
        <f t="shared" si="9"/>
        <v>4</v>
      </c>
      <c r="P75" s="1">
        <v>1</v>
      </c>
      <c r="R75" s="1">
        <v>20.8</v>
      </c>
      <c r="S75" s="1">
        <v>8.8000000000000007</v>
      </c>
      <c r="T75" s="1">
        <v>14.8</v>
      </c>
      <c r="U75" s="1">
        <v>1.9</v>
      </c>
      <c r="V75" s="8">
        <f>R75*(1+S75)*原始运算表格!$P$2*原始运算表格!$Q$2</f>
        <v>203.84000000000003</v>
      </c>
      <c r="W75" s="8">
        <f>T75*(1+U75)*原始运算表格!$R$2*原始运算表格!$S$2</f>
        <v>214.60000000000002</v>
      </c>
      <c r="X75" s="8">
        <f t="shared" si="7"/>
        <v>1673.7600000000002</v>
      </c>
      <c r="Y75" s="8">
        <f t="shared" si="8"/>
        <v>2092.2000000000003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4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5</v>
      </c>
      <c r="F76" s="1">
        <f t="shared" si="9"/>
        <v>5</v>
      </c>
      <c r="R76" s="1">
        <v>18.600000000000001</v>
      </c>
      <c r="S76" s="1">
        <v>8</v>
      </c>
      <c r="T76" s="1">
        <v>19.5</v>
      </c>
      <c r="U76" s="1">
        <v>2.5</v>
      </c>
      <c r="V76" s="8">
        <f>R76*(1+S76)*原始运算表格!$P$2*原始运算表格!$Q$2</f>
        <v>167.4</v>
      </c>
      <c r="W76" s="8">
        <f>T76*(1+U76)*原始运算表格!$R$2*原始运算表格!$S$2</f>
        <v>341.25</v>
      </c>
      <c r="X76" s="8">
        <f t="shared" si="7"/>
        <v>0</v>
      </c>
      <c r="Y76" s="8">
        <f t="shared" si="8"/>
        <v>508.65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6</v>
      </c>
      <c r="F77" s="1">
        <f t="shared" si="9"/>
        <v>6</v>
      </c>
      <c r="P77" s="1">
        <v>1</v>
      </c>
      <c r="R77" s="1">
        <v>17.399999999999999</v>
      </c>
      <c r="S77" s="1">
        <v>7.1</v>
      </c>
      <c r="T77" s="1">
        <v>9.3000000000000007</v>
      </c>
      <c r="U77" s="1">
        <v>0.6</v>
      </c>
      <c r="V77" s="8">
        <f>R77*(1+S77)*原始运算表格!$P$2*原始运算表格!$Q$2</f>
        <v>140.93999999999997</v>
      </c>
      <c r="W77" s="8">
        <f>T77*(1+U77)*原始运算表格!$R$2*原始运算表格!$S$2</f>
        <v>74.400000000000006</v>
      </c>
      <c r="X77" s="8">
        <f t="shared" si="7"/>
        <v>861.3599999999999</v>
      </c>
      <c r="Y77" s="8">
        <f t="shared" si="8"/>
        <v>1076.6999999999998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4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7</v>
      </c>
      <c r="F78" s="1">
        <f t="shared" si="9"/>
        <v>7</v>
      </c>
      <c r="P78" s="1">
        <v>1</v>
      </c>
      <c r="R78" s="1">
        <v>16</v>
      </c>
      <c r="S78" s="1">
        <v>4.9000000000000004</v>
      </c>
      <c r="T78" s="1">
        <v>13.9</v>
      </c>
      <c r="U78" s="1">
        <v>1.8</v>
      </c>
      <c r="V78" s="8">
        <f>R78*(1+S78)*原始运算表格!$P$2*原始运算表格!$Q$2</f>
        <v>94.4</v>
      </c>
      <c r="W78" s="8">
        <f>T78*(1+U78)*原始运算表格!$R$2*原始运算表格!$S$2</f>
        <v>194.60000000000002</v>
      </c>
      <c r="X78" s="8">
        <f t="shared" si="7"/>
        <v>1156</v>
      </c>
      <c r="Y78" s="8">
        <f t="shared" si="8"/>
        <v>1445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4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8</v>
      </c>
      <c r="F79" s="1">
        <f t="shared" si="9"/>
        <v>8</v>
      </c>
      <c r="R79" s="1">
        <v>16.600000000000001</v>
      </c>
      <c r="S79" s="1">
        <v>5.3</v>
      </c>
      <c r="T79" s="1">
        <v>14.5</v>
      </c>
      <c r="U79" s="1">
        <v>1.2</v>
      </c>
      <c r="V79" s="8">
        <f>R79*(1+S79)*原始运算表格!$P$2*原始运算表格!$Q$2</f>
        <v>104.58000000000001</v>
      </c>
      <c r="W79" s="8">
        <f>T79*(1+U79)*原始运算表格!$R$2*原始运算表格!$S$2</f>
        <v>159.5</v>
      </c>
      <c r="X79" s="8">
        <f t="shared" si="7"/>
        <v>0</v>
      </c>
      <c r="Y79" s="8">
        <f t="shared" si="8"/>
        <v>264.08000000000004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Z79"/>
  <sheetViews>
    <sheetView zoomScale="55" zoomScaleNormal="55" workbookViewId="0">
      <pane ySplit="6" topLeftCell="A58" activePane="bottomLeft" state="frozen"/>
      <selection pane="bottomLeft" activeCell="Q71" sqref="Q71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90</v>
      </c>
    </row>
    <row r="5" spans="1:26" s="6" customFormat="1">
      <c r="A5" s="6" t="s">
        <v>22</v>
      </c>
      <c r="B5" s="7"/>
      <c r="C5" s="6">
        <f>SUM(C12:C105)</f>
        <v>8</v>
      </c>
      <c r="D5" s="6">
        <f>SUM(D12:D105)</f>
        <v>4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182.8</v>
      </c>
      <c r="S5" s="6">
        <f t="shared" si="0"/>
        <v>65.999999999999986</v>
      </c>
      <c r="T5" s="6">
        <f t="shared" si="0"/>
        <v>85.3</v>
      </c>
      <c r="U5" s="6">
        <f t="shared" si="0"/>
        <v>3.2</v>
      </c>
      <c r="V5" s="9">
        <f t="shared" si="0"/>
        <v>1709.4899999999998</v>
      </c>
      <c r="W5" s="9">
        <f t="shared" si="0"/>
        <v>794.1</v>
      </c>
      <c r="X5" s="9">
        <f t="shared" si="0"/>
        <v>0</v>
      </c>
      <c r="Y5" s="9">
        <f t="shared" si="0"/>
        <v>2503.59</v>
      </c>
      <c r="Z5" s="9">
        <f t="shared" si="0"/>
        <v>0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0</v>
      </c>
      <c r="E63" s="1">
        <f t="shared" si="5"/>
        <v>1</v>
      </c>
      <c r="F63" s="1">
        <f t="shared" si="2"/>
        <v>1</v>
      </c>
      <c r="I63" s="2"/>
      <c r="J63" s="2"/>
      <c r="K63" s="2"/>
      <c r="L63" s="2"/>
      <c r="M63" s="2"/>
      <c r="P63" s="2"/>
      <c r="R63" s="1">
        <v>20.6</v>
      </c>
      <c r="S63" s="1">
        <v>8.6999999999999993</v>
      </c>
      <c r="V63" s="8">
        <f>R63*(1+S63)*原始运算表格!$P$2*原始运算表格!$Q$2</f>
        <v>199.82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199.82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2</v>
      </c>
      <c r="F64" s="1">
        <f t="shared" si="2"/>
        <v>2</v>
      </c>
      <c r="R64" s="1">
        <v>21.9</v>
      </c>
      <c r="S64" s="1">
        <v>11.4</v>
      </c>
      <c r="T64" s="1">
        <v>14.9</v>
      </c>
      <c r="U64" s="1">
        <v>0.3</v>
      </c>
      <c r="V64" s="8">
        <f>R64*(1+S64)*原始运算表格!$P$2*原始运算表格!$Q$2</f>
        <v>271.56</v>
      </c>
      <c r="W64" s="8">
        <f>T64*(1+U64)*原始运算表格!$R$2*原始运算表格!$S$2</f>
        <v>96.850000000000009</v>
      </c>
      <c r="X64" s="8">
        <f t="shared" si="7"/>
        <v>0</v>
      </c>
      <c r="Y64" s="8">
        <f t="shared" si="8"/>
        <v>368.41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3</v>
      </c>
      <c r="F65" s="1">
        <f t="shared" si="2"/>
        <v>3</v>
      </c>
      <c r="R65" s="1">
        <v>23.2</v>
      </c>
      <c r="S65" s="1">
        <v>10.7</v>
      </c>
      <c r="T65" s="1">
        <v>29</v>
      </c>
      <c r="U65" s="1">
        <v>1</v>
      </c>
      <c r="V65" s="8">
        <f>R65*(1+S65)*原始运算表格!$P$2*原始运算表格!$Q$2</f>
        <v>271.44</v>
      </c>
      <c r="W65" s="8">
        <f>T65*(1+U65)*原始运算表格!$R$2*原始运算表格!$S$2</f>
        <v>290</v>
      </c>
      <c r="X65" s="8">
        <f t="shared" si="7"/>
        <v>0</v>
      </c>
      <c r="Y65" s="8">
        <f t="shared" si="8"/>
        <v>561.44000000000005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0</v>
      </c>
      <c r="E66" s="1">
        <f t="shared" si="5"/>
        <v>4</v>
      </c>
      <c r="F66" s="1">
        <f t="shared" si="2"/>
        <v>4</v>
      </c>
      <c r="R66" s="1">
        <v>25.6</v>
      </c>
      <c r="S66" s="1">
        <v>8.6</v>
      </c>
      <c r="V66" s="8">
        <f>R66*(1+S66)*原始运算表格!$P$2*原始运算表格!$Q$2</f>
        <v>245.76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245.76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5</v>
      </c>
      <c r="F67" s="1">
        <f t="shared" si="2"/>
        <v>5</v>
      </c>
      <c r="R67" s="1">
        <v>26.5</v>
      </c>
      <c r="S67" s="1">
        <v>7.4</v>
      </c>
      <c r="T67" s="1">
        <v>19.899999999999999</v>
      </c>
      <c r="U67" s="1">
        <v>0.5</v>
      </c>
      <c r="V67" s="8">
        <f>R67*(1+S67)*原始运算表格!$P$2*原始运算表格!$Q$2</f>
        <v>222.60000000000002</v>
      </c>
      <c r="W67" s="8">
        <f>T67*(1+U67)*原始运算表格!$R$2*原始运算表格!$S$2</f>
        <v>149.25</v>
      </c>
      <c r="X67" s="8">
        <f t="shared" si="7"/>
        <v>0</v>
      </c>
      <c r="Y67" s="8">
        <f t="shared" si="8"/>
        <v>371.85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0</v>
      </c>
      <c r="E68" s="1">
        <f t="shared" si="5"/>
        <v>6</v>
      </c>
      <c r="F68" s="1">
        <f t="shared" si="2"/>
        <v>6</v>
      </c>
      <c r="R68" s="1">
        <v>22.5</v>
      </c>
      <c r="S68" s="1">
        <v>8.3000000000000007</v>
      </c>
      <c r="V68" s="8">
        <f>R68*(1+S68)*原始运算表格!$P$2*原始运算表格!$Q$2</f>
        <v>209.25000000000003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209.25000000000003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1</v>
      </c>
      <c r="E69" s="1">
        <f t="shared" si="5"/>
        <v>7</v>
      </c>
      <c r="F69" s="1">
        <f t="shared" si="2"/>
        <v>7</v>
      </c>
      <c r="R69" s="1">
        <v>22.7</v>
      </c>
      <c r="S69" s="1">
        <v>10.6</v>
      </c>
      <c r="T69" s="1">
        <v>21.5</v>
      </c>
      <c r="U69" s="1">
        <v>1.4</v>
      </c>
      <c r="V69" s="8">
        <f>R69*(1+S69)*原始运算表格!$P$2*原始运算表格!$Q$2</f>
        <v>263.32</v>
      </c>
      <c r="W69" s="8">
        <f>T69*(1+U69)*原始运算表格!$R$2*原始运算表格!$S$2</f>
        <v>258</v>
      </c>
      <c r="X69" s="8">
        <f t="shared" si="7"/>
        <v>0</v>
      </c>
      <c r="Y69" s="8">
        <f t="shared" si="8"/>
        <v>521.31999999999994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7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0</v>
      </c>
      <c r="E71" s="1">
        <f t="shared" si="5"/>
        <v>8</v>
      </c>
      <c r="F71" s="1">
        <f t="shared" ref="F71:F79" si="9">C71*E71</f>
        <v>8</v>
      </c>
      <c r="R71" s="1">
        <v>19.8</v>
      </c>
      <c r="S71" s="1">
        <v>0.3</v>
      </c>
      <c r="V71" s="8">
        <f>R71*(1+S71)*原始运算表格!$P$2*原始运算表格!$Q$2</f>
        <v>25.740000000000002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25.740000000000002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5"/>
        <v>8</v>
      </c>
      <c r="F72" s="1">
        <f t="shared" si="9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7"/>
        <v>0</v>
      </c>
      <c r="Y72" s="8">
        <f t="shared" si="8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ref="E73:E79" si="10">E72+C73</f>
        <v>8</v>
      </c>
      <c r="F73" s="1">
        <f t="shared" si="9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7"/>
        <v>0</v>
      </c>
      <c r="Y73" s="8">
        <f t="shared" si="8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8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8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8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8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8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8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Z79"/>
  <sheetViews>
    <sheetView zoomScale="70" zoomScaleNormal="70" workbookViewId="0">
      <pane ySplit="6" topLeftCell="A58" activePane="bottomLeft" state="frozen"/>
      <selection pane="bottomLeft" activeCell="H71" sqref="H71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91</v>
      </c>
    </row>
    <row r="5" spans="1:26" s="6" customFormat="1">
      <c r="A5" s="6" t="s">
        <v>22</v>
      </c>
      <c r="B5" s="7"/>
      <c r="C5" s="6">
        <f>SUM(C12:C105)</f>
        <v>15</v>
      </c>
      <c r="D5" s="6">
        <f>SUM(D12:D105)</f>
        <v>9</v>
      </c>
      <c r="G5" s="6">
        <f>SUM(G12:G105)</f>
        <v>0</v>
      </c>
      <c r="H5" s="6">
        <f t="shared" ref="H5:Z5" si="0">SUM(H12:H105)</f>
        <v>2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2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307.2</v>
      </c>
      <c r="S5" s="6">
        <f t="shared" si="0"/>
        <v>96.999999999999972</v>
      </c>
      <c r="T5" s="6">
        <f t="shared" si="0"/>
        <v>181</v>
      </c>
      <c r="U5" s="6">
        <f t="shared" si="0"/>
        <v>4.5</v>
      </c>
      <c r="V5" s="9">
        <f t="shared" si="0"/>
        <v>2602.65</v>
      </c>
      <c r="W5" s="9">
        <f t="shared" si="0"/>
        <v>1492.1499999999999</v>
      </c>
      <c r="X5" s="9">
        <f t="shared" si="0"/>
        <v>3439.5800000000004</v>
      </c>
      <c r="Y5" s="9">
        <f t="shared" si="0"/>
        <v>7534.3799999999992</v>
      </c>
      <c r="Z5" s="9">
        <f t="shared" si="0"/>
        <v>6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1</v>
      </c>
      <c r="D58" s="1">
        <v>0</v>
      </c>
      <c r="E58" s="1">
        <f t="shared" si="5"/>
        <v>1</v>
      </c>
      <c r="F58" s="1">
        <f t="shared" si="2"/>
        <v>1</v>
      </c>
      <c r="R58" s="1">
        <v>17.399999999999999</v>
      </c>
      <c r="S58" s="1">
        <v>2</v>
      </c>
      <c r="V58" s="8">
        <f>R58*(1+S58)*原始运算表格!$P$2*原始运算表格!$Q$2</f>
        <v>52.199999999999996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52.199999999999996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1</v>
      </c>
      <c r="D59" s="1">
        <v>0</v>
      </c>
      <c r="E59" s="1">
        <f t="shared" si="5"/>
        <v>2</v>
      </c>
      <c r="F59" s="1">
        <f t="shared" si="2"/>
        <v>2</v>
      </c>
      <c r="R59" s="1">
        <v>20.6</v>
      </c>
      <c r="S59" s="1">
        <v>3.3</v>
      </c>
      <c r="V59" s="8">
        <f>R59*(1+S59)*原始运算表格!$P$2*原始运算表格!$Q$2</f>
        <v>88.58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88.58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1</v>
      </c>
      <c r="D60" s="1">
        <v>0</v>
      </c>
      <c r="E60" s="1">
        <f t="shared" si="5"/>
        <v>3</v>
      </c>
      <c r="F60" s="1">
        <f t="shared" si="2"/>
        <v>3</v>
      </c>
      <c r="R60" s="1">
        <v>20</v>
      </c>
      <c r="S60" s="1">
        <v>6.6</v>
      </c>
      <c r="T60" s="1">
        <v>15.3</v>
      </c>
      <c r="U60" s="1">
        <v>0.2</v>
      </c>
      <c r="V60" s="8">
        <f>R60*(1+S60)*原始运算表格!$P$2*原始运算表格!$Q$2</f>
        <v>152</v>
      </c>
      <c r="W60" s="8">
        <f>T60*(1+U60)*原始运算表格!$R$2*原始运算表格!$S$2</f>
        <v>91.8</v>
      </c>
      <c r="X60" s="8">
        <f t="shared" si="7"/>
        <v>0</v>
      </c>
      <c r="Y60" s="8">
        <f t="shared" si="8"/>
        <v>243.8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1</v>
      </c>
      <c r="D61" s="1">
        <v>1</v>
      </c>
      <c r="E61" s="1">
        <f t="shared" si="5"/>
        <v>4</v>
      </c>
      <c r="F61" s="1">
        <f t="shared" si="2"/>
        <v>4</v>
      </c>
      <c r="R61" s="1">
        <v>24.9</v>
      </c>
      <c r="S61" s="1">
        <v>12.2</v>
      </c>
      <c r="T61" s="1">
        <v>26.8</v>
      </c>
      <c r="U61" s="1">
        <v>0.5</v>
      </c>
      <c r="V61" s="8">
        <f>R61*(1+S61)*原始运算表格!$P$2*原始运算表格!$Q$2</f>
        <v>328.67999999999995</v>
      </c>
      <c r="W61" s="8">
        <f>T61*(1+U61)*原始运算表格!$R$2*原始运算表格!$S$2</f>
        <v>201</v>
      </c>
      <c r="X61" s="8">
        <f t="shared" si="7"/>
        <v>0</v>
      </c>
      <c r="Y61" s="8">
        <f t="shared" si="8"/>
        <v>529.67999999999995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5</v>
      </c>
      <c r="F62" s="1">
        <f t="shared" si="2"/>
        <v>5</v>
      </c>
      <c r="I62" s="2"/>
      <c r="J62" s="2"/>
      <c r="K62" s="2"/>
      <c r="L62" s="2"/>
      <c r="M62" s="2"/>
      <c r="N62" s="1">
        <v>1</v>
      </c>
      <c r="P62" s="2"/>
      <c r="R62" s="1">
        <v>25.1</v>
      </c>
      <c r="S62" s="1">
        <v>11.5</v>
      </c>
      <c r="T62" s="1">
        <v>25.6</v>
      </c>
      <c r="U62" s="1">
        <v>0.6</v>
      </c>
      <c r="V62" s="8">
        <f>R62*(1+S62)*原始运算表格!$P$2*原始运算表格!$Q$2</f>
        <v>313.75</v>
      </c>
      <c r="W62" s="8">
        <f>T62*(1+U62)*原始运算表格!$R$2*原始运算表格!$S$2</f>
        <v>204.80000000000004</v>
      </c>
      <c r="X62" s="8">
        <f t="shared" si="7"/>
        <v>518.55000000000007</v>
      </c>
      <c r="Y62" s="8">
        <f t="shared" si="8"/>
        <v>1037.1000000000001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1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6</v>
      </c>
      <c r="F63" s="1">
        <f t="shared" si="2"/>
        <v>6</v>
      </c>
      <c r="H63" s="1">
        <v>1</v>
      </c>
      <c r="I63" s="2"/>
      <c r="J63" s="2"/>
      <c r="K63" s="2"/>
      <c r="L63" s="2"/>
      <c r="M63" s="2"/>
      <c r="N63" s="1">
        <v>1</v>
      </c>
      <c r="P63" s="2"/>
      <c r="R63" s="1">
        <v>30.3</v>
      </c>
      <c r="S63" s="1">
        <v>16.100000000000001</v>
      </c>
      <c r="T63" s="1">
        <v>27</v>
      </c>
      <c r="U63" s="1">
        <v>1.2</v>
      </c>
      <c r="V63" s="8">
        <f>R63*(1+S63)*原始运算表格!$P$2*原始运算表格!$Q$2</f>
        <v>518.13000000000011</v>
      </c>
      <c r="W63" s="8">
        <f>T63*(1+U63)*原始运算表格!$R$2*原始运算表格!$S$2</f>
        <v>297</v>
      </c>
      <c r="X63" s="8">
        <f t="shared" si="7"/>
        <v>2445.3900000000003</v>
      </c>
      <c r="Y63" s="8">
        <f t="shared" si="8"/>
        <v>3260.5200000000004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3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7</v>
      </c>
      <c r="F64" s="1">
        <f t="shared" si="2"/>
        <v>7</v>
      </c>
      <c r="H64" s="1">
        <v>1</v>
      </c>
      <c r="R64" s="1">
        <v>25.3</v>
      </c>
      <c r="S64" s="1">
        <v>8.4</v>
      </c>
      <c r="V64" s="8">
        <f>R64*(1+S64)*原始运算表格!$P$2*原始运算表格!$Q$2</f>
        <v>237.82000000000002</v>
      </c>
      <c r="W64" s="8">
        <f>T64*(1+U64)*原始运算表格!$R$2*原始运算表格!$S$2</f>
        <v>0</v>
      </c>
      <c r="X64" s="8">
        <f t="shared" si="7"/>
        <v>475.64</v>
      </c>
      <c r="Y64" s="8">
        <f t="shared" si="8"/>
        <v>713.46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2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0</v>
      </c>
      <c r="E65" s="1">
        <f t="shared" si="5"/>
        <v>8</v>
      </c>
      <c r="F65" s="1">
        <f t="shared" si="2"/>
        <v>8</v>
      </c>
      <c r="R65" s="1">
        <v>22.9</v>
      </c>
      <c r="S65" s="1">
        <v>12</v>
      </c>
      <c r="T65" s="1">
        <v>27.2</v>
      </c>
      <c r="U65" s="1">
        <v>1</v>
      </c>
      <c r="V65" s="8">
        <f>R65*(1+S65)*原始运算表格!$P$2*原始运算表格!$Q$2</f>
        <v>297.7</v>
      </c>
      <c r="W65" s="8">
        <f>T65*(1+U65)*原始运算表格!$R$2*原始运算表格!$S$2</f>
        <v>272</v>
      </c>
      <c r="X65" s="8">
        <f t="shared" si="7"/>
        <v>0</v>
      </c>
      <c r="Y65" s="8">
        <f t="shared" si="8"/>
        <v>569.70000000000005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1</v>
      </c>
      <c r="E66" s="1">
        <f t="shared" si="5"/>
        <v>9</v>
      </c>
      <c r="F66" s="1">
        <f t="shared" si="2"/>
        <v>9</v>
      </c>
      <c r="R66" s="1">
        <v>21.9</v>
      </c>
      <c r="S66" s="1">
        <v>4.0999999999999996</v>
      </c>
      <c r="V66" s="8">
        <f>R66*(1+S66)*原始运算表格!$P$2*原始运算表格!$Q$2</f>
        <v>111.68999999999998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111.68999999999998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0</v>
      </c>
      <c r="E67" s="1">
        <f t="shared" si="5"/>
        <v>10</v>
      </c>
      <c r="F67" s="1">
        <f t="shared" si="2"/>
        <v>10</v>
      </c>
      <c r="R67" s="1">
        <v>23.2</v>
      </c>
      <c r="S67" s="1">
        <v>8.6</v>
      </c>
      <c r="T67" s="1">
        <v>21.2</v>
      </c>
      <c r="U67" s="1">
        <v>0.6</v>
      </c>
      <c r="V67" s="8">
        <f>R67*(1+S67)*原始运算表格!$P$2*原始运算表格!$Q$2</f>
        <v>222.72</v>
      </c>
      <c r="W67" s="8">
        <f>T67*(1+U67)*原始运算表格!$R$2*原始运算表格!$S$2</f>
        <v>169.60000000000002</v>
      </c>
      <c r="X67" s="8">
        <f t="shared" si="7"/>
        <v>0</v>
      </c>
      <c r="Y67" s="8">
        <f t="shared" si="8"/>
        <v>392.32000000000005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11</v>
      </c>
      <c r="F68" s="1">
        <f t="shared" si="2"/>
        <v>11</v>
      </c>
      <c r="R68" s="1">
        <v>18.399999999999999</v>
      </c>
      <c r="S68" s="1">
        <v>5.8</v>
      </c>
      <c r="T68" s="1">
        <v>24.4</v>
      </c>
      <c r="U68" s="1">
        <v>0.6</v>
      </c>
      <c r="V68" s="8">
        <f>R68*(1+S68)*原始运算表格!$P$2*原始运算表格!$Q$2</f>
        <v>125.11999999999999</v>
      </c>
      <c r="W68" s="8">
        <f>T68*(1+U68)*原始运算表格!$R$2*原始运算表格!$S$2</f>
        <v>195.2</v>
      </c>
      <c r="X68" s="8">
        <f t="shared" si="7"/>
        <v>0</v>
      </c>
      <c r="Y68" s="8">
        <f t="shared" si="8"/>
        <v>320.32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1</v>
      </c>
      <c r="E69" s="1">
        <f t="shared" si="5"/>
        <v>12</v>
      </c>
      <c r="F69" s="1">
        <f t="shared" si="2"/>
        <v>12</v>
      </c>
      <c r="R69" s="1">
        <v>16.3</v>
      </c>
      <c r="S69" s="1">
        <v>2.7</v>
      </c>
      <c r="V69" s="8">
        <f>R69*(1+S69)*原始运算表格!$P$2*原始运算表格!$Q$2</f>
        <v>60.31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60.31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0</v>
      </c>
      <c r="E70" s="1">
        <f t="shared" si="5"/>
        <v>13</v>
      </c>
      <c r="F70" s="1">
        <f t="shared" si="2"/>
        <v>13</v>
      </c>
      <c r="R70" s="1">
        <v>12.4</v>
      </c>
      <c r="S70" s="1">
        <v>0</v>
      </c>
      <c r="V70" s="8">
        <f>R70*(1+S70)*原始运算表格!$P$2*原始运算表格!$Q$2</f>
        <v>12.4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12.4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0</v>
      </c>
      <c r="E71" s="1">
        <f t="shared" si="5"/>
        <v>14</v>
      </c>
      <c r="F71" s="1">
        <f t="shared" ref="F71:F79" si="9">C71*E71</f>
        <v>14</v>
      </c>
      <c r="R71" s="1">
        <v>14.9</v>
      </c>
      <c r="S71" s="1">
        <v>2.1</v>
      </c>
      <c r="V71" s="8">
        <f>R71*(1+S71)*原始运算表格!$P$2*原始运算表格!$Q$2</f>
        <v>46.190000000000005</v>
      </c>
      <c r="W71" s="8">
        <f>T71*(1+U71)*原始运算表格!$R$2*原始运算表格!$S$2</f>
        <v>0</v>
      </c>
      <c r="X71" s="8">
        <f t="shared" si="7"/>
        <v>0</v>
      </c>
      <c r="Y71" s="8">
        <f t="shared" si="8"/>
        <v>46.190000000000005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15</v>
      </c>
      <c r="F72" s="1">
        <f t="shared" si="9"/>
        <v>15</v>
      </c>
      <c r="R72" s="1">
        <v>13.6</v>
      </c>
      <c r="S72" s="1">
        <v>1.6</v>
      </c>
      <c r="T72" s="1">
        <v>6.5</v>
      </c>
      <c r="U72" s="1">
        <v>-0.1</v>
      </c>
      <c r="V72" s="8">
        <f>R72*(1+S72)*原始运算表格!$P$2*原始运算表格!$Q$2</f>
        <v>35.36</v>
      </c>
      <c r="W72" s="8">
        <f>T72*(1+U72)*原始运算表格!$R$2*原始运算表格!$S$2</f>
        <v>29.250000000000004</v>
      </c>
      <c r="X72" s="8">
        <f t="shared" si="7"/>
        <v>0</v>
      </c>
      <c r="Y72" s="8">
        <f t="shared" si="8"/>
        <v>64.61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1</v>
      </c>
      <c r="E73" s="1">
        <f t="shared" ref="E73:E79" si="10">E72+C73</f>
        <v>15</v>
      </c>
      <c r="F73" s="1">
        <f t="shared" si="9"/>
        <v>0</v>
      </c>
      <c r="T73" s="1">
        <v>7</v>
      </c>
      <c r="U73" s="1">
        <v>-0.1</v>
      </c>
      <c r="V73" s="8">
        <f>R73*(1+S73)*原始运算表格!$P$2*原始运算表格!$Q$2</f>
        <v>0</v>
      </c>
      <c r="W73" s="8">
        <f>T73*(1+U73)*原始运算表格!$R$2*原始运算表格!$S$2</f>
        <v>31.5</v>
      </c>
      <c r="X73" s="8">
        <f t="shared" si="7"/>
        <v>0</v>
      </c>
      <c r="Y73" s="8">
        <f t="shared" si="8"/>
        <v>31.5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10"/>
        <v>15</v>
      </c>
      <c r="F74" s="1">
        <f t="shared" si="9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10"/>
        <v>15</v>
      </c>
      <c r="F75" s="1">
        <f t="shared" si="9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10"/>
        <v>15</v>
      </c>
      <c r="F76" s="1">
        <f t="shared" si="9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10"/>
        <v>15</v>
      </c>
      <c r="F77" s="1">
        <f t="shared" si="9"/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 t="shared" si="10"/>
        <v>15</v>
      </c>
      <c r="F78" s="1">
        <f t="shared" si="9"/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7"/>
        <v>0</v>
      </c>
      <c r="Y78" s="8">
        <f t="shared" si="8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15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Z79"/>
  <sheetViews>
    <sheetView zoomScale="70" zoomScaleNormal="70" workbookViewId="0">
      <pane ySplit="6" topLeftCell="A67" activePane="bottomLeft" state="frozen"/>
      <selection pane="bottomLeft" activeCell="K78" sqref="K78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92</v>
      </c>
    </row>
    <row r="5" spans="1:26" s="6" customFormat="1">
      <c r="A5" s="6" t="s">
        <v>22</v>
      </c>
      <c r="B5" s="7"/>
      <c r="C5" s="6">
        <f>SUM(C12:C105)</f>
        <v>16</v>
      </c>
      <c r="D5" s="6">
        <f>SUM(D12:D105)</f>
        <v>11</v>
      </c>
      <c r="G5" s="6">
        <f>SUM(G12:G105)</f>
        <v>0</v>
      </c>
      <c r="H5" s="6">
        <f t="shared" ref="H5:Z5" si="0">SUM(H12:H105)</f>
        <v>1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316.09999999999997</v>
      </c>
      <c r="S5" s="6">
        <f t="shared" si="0"/>
        <v>101.10000000000002</v>
      </c>
      <c r="T5" s="6">
        <f t="shared" si="0"/>
        <v>193.6</v>
      </c>
      <c r="U5" s="6">
        <f t="shared" si="0"/>
        <v>5.8000000000000007</v>
      </c>
      <c r="V5" s="9">
        <f t="shared" si="0"/>
        <v>2442.4400000000005</v>
      </c>
      <c r="W5" s="9">
        <f t="shared" si="0"/>
        <v>1638</v>
      </c>
      <c r="X5" s="9">
        <f t="shared" si="0"/>
        <v>949.2</v>
      </c>
      <c r="Y5" s="9">
        <f t="shared" si="0"/>
        <v>5029.6400000000012</v>
      </c>
      <c r="Z5" s="9">
        <f t="shared" si="0"/>
        <v>2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1</v>
      </c>
      <c r="F64" s="1">
        <f t="shared" si="2"/>
        <v>1</v>
      </c>
      <c r="R64" s="1">
        <v>17.600000000000001</v>
      </c>
      <c r="S64" s="1">
        <v>6.1</v>
      </c>
      <c r="T64" s="1">
        <v>9.8000000000000007</v>
      </c>
      <c r="U64" s="1">
        <v>-0.2</v>
      </c>
      <c r="V64" s="8">
        <f>R64*(1+S64)*原始运算表格!$P$2*原始运算表格!$Q$2</f>
        <v>124.96000000000001</v>
      </c>
      <c r="W64" s="8">
        <f>T64*(1+U64)*原始运算表格!$R$2*原始运算表格!$S$2</f>
        <v>39.200000000000003</v>
      </c>
      <c r="X64" s="8">
        <f t="shared" si="7"/>
        <v>0</v>
      </c>
      <c r="Y64" s="8">
        <f t="shared" si="8"/>
        <v>164.16000000000003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2</v>
      </c>
      <c r="F65" s="1">
        <f t="shared" si="2"/>
        <v>2</v>
      </c>
      <c r="R65" s="1">
        <v>16.7</v>
      </c>
      <c r="S65" s="1">
        <v>4.9000000000000004</v>
      </c>
      <c r="T65" s="1">
        <v>14.4</v>
      </c>
      <c r="U65" s="1">
        <v>0.1</v>
      </c>
      <c r="V65" s="8">
        <f>R65*(1+S65)*原始运算表格!$P$2*原始运算表格!$Q$2</f>
        <v>98.53</v>
      </c>
      <c r="W65" s="8">
        <f>T65*(1+U65)*原始运算表格!$R$2*原始运算表格!$S$2</f>
        <v>79.2</v>
      </c>
      <c r="X65" s="8">
        <f t="shared" si="7"/>
        <v>0</v>
      </c>
      <c r="Y65" s="8">
        <f t="shared" si="8"/>
        <v>177.73000000000002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1</v>
      </c>
      <c r="E66" s="1">
        <f t="shared" si="5"/>
        <v>3</v>
      </c>
      <c r="F66" s="1">
        <f t="shared" si="2"/>
        <v>3</v>
      </c>
      <c r="R66" s="1">
        <v>22</v>
      </c>
      <c r="S66" s="1">
        <v>9.4</v>
      </c>
      <c r="T66" s="1">
        <v>10.7</v>
      </c>
      <c r="U66" s="1">
        <v>0</v>
      </c>
      <c r="V66" s="8">
        <f>R66*(1+S66)*原始运算表格!$P$2*原始运算表格!$Q$2</f>
        <v>228.8</v>
      </c>
      <c r="W66" s="8">
        <f>T66*(1+U66)*原始运算表格!$R$2*原始运算表格!$S$2</f>
        <v>53.5</v>
      </c>
      <c r="X66" s="8">
        <f t="shared" si="7"/>
        <v>0</v>
      </c>
      <c r="Y66" s="8">
        <f t="shared" si="8"/>
        <v>282.3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4</v>
      </c>
      <c r="F67" s="1">
        <f t="shared" si="2"/>
        <v>4</v>
      </c>
      <c r="R67" s="1">
        <v>22.1</v>
      </c>
      <c r="S67" s="1">
        <v>7.3</v>
      </c>
      <c r="T67" s="1">
        <v>22.1</v>
      </c>
      <c r="U67" s="1">
        <v>0.6</v>
      </c>
      <c r="V67" s="8">
        <f>R67*(1+S67)*原始运算表格!$P$2*原始运算表格!$Q$2</f>
        <v>183.43000000000004</v>
      </c>
      <c r="W67" s="8">
        <f>T67*(1+U67)*原始运算表格!$R$2*原始运算表格!$S$2</f>
        <v>176.80000000000004</v>
      </c>
      <c r="X67" s="8">
        <f t="shared" si="7"/>
        <v>0</v>
      </c>
      <c r="Y67" s="8">
        <f t="shared" si="8"/>
        <v>360.23000000000008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5</v>
      </c>
      <c r="F68" s="1">
        <f t="shared" si="2"/>
        <v>5</v>
      </c>
      <c r="R68" s="1">
        <v>21.1</v>
      </c>
      <c r="S68" s="1">
        <v>8.1999999999999993</v>
      </c>
      <c r="T68" s="1">
        <v>14.9</v>
      </c>
      <c r="U68" s="1">
        <v>-0.1</v>
      </c>
      <c r="V68" s="8">
        <f>R68*(1+S68)*原始运算表格!$P$2*原始运算表格!$Q$2</f>
        <v>194.12</v>
      </c>
      <c r="W68" s="8">
        <f>T68*(1+U68)*原始运算表格!$R$2*原始运算表格!$S$2</f>
        <v>67.05</v>
      </c>
      <c r="X68" s="8">
        <f t="shared" si="7"/>
        <v>0</v>
      </c>
      <c r="Y68" s="8">
        <f t="shared" si="8"/>
        <v>261.17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1</v>
      </c>
      <c r="E69" s="1">
        <f t="shared" si="5"/>
        <v>6</v>
      </c>
      <c r="F69" s="1">
        <f t="shared" si="2"/>
        <v>6</v>
      </c>
      <c r="R69" s="1">
        <v>19</v>
      </c>
      <c r="S69" s="1">
        <v>5</v>
      </c>
      <c r="T69" s="1">
        <v>24.3</v>
      </c>
      <c r="U69" s="1">
        <v>2.6</v>
      </c>
      <c r="V69" s="8">
        <f>R69*(1+S69)*原始运算表格!$P$2*原始运算表格!$Q$2</f>
        <v>114</v>
      </c>
      <c r="W69" s="8">
        <f>T69*(1+U69)*原始运算表格!$R$2*原始运算表格!$S$2</f>
        <v>437.40000000000003</v>
      </c>
      <c r="X69" s="8">
        <f t="shared" si="7"/>
        <v>0</v>
      </c>
      <c r="Y69" s="8">
        <f t="shared" si="8"/>
        <v>551.40000000000009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7</v>
      </c>
      <c r="F70" s="1">
        <f t="shared" si="2"/>
        <v>7</v>
      </c>
      <c r="R70" s="1">
        <v>22.2</v>
      </c>
      <c r="S70" s="1">
        <v>7.9</v>
      </c>
      <c r="T70" s="1">
        <v>23.3</v>
      </c>
      <c r="U70" s="1">
        <v>0.7</v>
      </c>
      <c r="V70" s="8">
        <f>R70*(1+S70)*原始运算表格!$P$2*原始运算表格!$Q$2</f>
        <v>197.58</v>
      </c>
      <c r="W70" s="8">
        <f>T70*(1+U70)*原始运算表格!$R$2*原始运算表格!$S$2</f>
        <v>198.05</v>
      </c>
      <c r="X70" s="8">
        <f t="shared" si="7"/>
        <v>0</v>
      </c>
      <c r="Y70" s="8">
        <f t="shared" si="8"/>
        <v>395.63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8</v>
      </c>
      <c r="F71" s="1">
        <f t="shared" ref="F71:F79" si="9">C71*E71</f>
        <v>8</v>
      </c>
      <c r="R71" s="1">
        <v>21.7</v>
      </c>
      <c r="S71" s="1">
        <v>7.9</v>
      </c>
      <c r="T71" s="1">
        <v>22.5</v>
      </c>
      <c r="U71" s="1">
        <v>0.5</v>
      </c>
      <c r="V71" s="8">
        <f>R71*(1+S71)*原始运算表格!$P$2*原始运算表格!$Q$2</f>
        <v>193.13</v>
      </c>
      <c r="W71" s="8">
        <f>T71*(1+U71)*原始运算表格!$R$2*原始运算表格!$S$2</f>
        <v>168.75</v>
      </c>
      <c r="X71" s="8">
        <f t="shared" si="7"/>
        <v>0</v>
      </c>
      <c r="Y71" s="8">
        <f t="shared" si="8"/>
        <v>361.88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9</v>
      </c>
      <c r="F72" s="1">
        <f t="shared" si="9"/>
        <v>9</v>
      </c>
      <c r="R72" s="1">
        <v>21.1</v>
      </c>
      <c r="S72" s="1">
        <v>6.2</v>
      </c>
      <c r="T72" s="1">
        <v>21.5</v>
      </c>
      <c r="U72" s="1">
        <v>0.4</v>
      </c>
      <c r="V72" s="8">
        <f>R72*(1+S72)*原始运算表格!$P$2*原始运算表格!$Q$2</f>
        <v>151.92000000000002</v>
      </c>
      <c r="W72" s="8">
        <f>T72*(1+U72)*原始运算表格!$R$2*原始运算表格!$S$2</f>
        <v>150.5</v>
      </c>
      <c r="X72" s="8">
        <f t="shared" si="7"/>
        <v>0</v>
      </c>
      <c r="Y72" s="8">
        <f t="shared" si="8"/>
        <v>302.42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10</v>
      </c>
      <c r="F73" s="1">
        <f t="shared" si="9"/>
        <v>10</v>
      </c>
      <c r="H73" s="1">
        <v>1</v>
      </c>
      <c r="R73" s="1">
        <v>24.8</v>
      </c>
      <c r="S73" s="1">
        <v>9.5</v>
      </c>
      <c r="T73" s="1">
        <v>20.399999999999999</v>
      </c>
      <c r="U73" s="1">
        <v>1.1000000000000001</v>
      </c>
      <c r="V73" s="8">
        <f>R73*(1+S73)*原始运算表格!$P$2*原始运算表格!$Q$2</f>
        <v>260.40000000000003</v>
      </c>
      <c r="W73" s="8">
        <f>T73*(1+U73)*原始运算表格!$R$2*原始运算表格!$S$2</f>
        <v>214.2</v>
      </c>
      <c r="X73" s="8">
        <f t="shared" si="7"/>
        <v>949.2</v>
      </c>
      <c r="Y73" s="8">
        <f t="shared" si="8"/>
        <v>1423.8000000000002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2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0</v>
      </c>
      <c r="E74" s="1">
        <f t="shared" si="10"/>
        <v>11</v>
      </c>
      <c r="F74" s="1">
        <f t="shared" si="9"/>
        <v>11</v>
      </c>
      <c r="R74" s="1">
        <v>24.4</v>
      </c>
      <c r="S74" s="1">
        <v>10.7</v>
      </c>
      <c r="V74" s="8">
        <f>R74*(1+S74)*原始运算表格!$P$2*原始运算表格!$Q$2</f>
        <v>285.47999999999996</v>
      </c>
      <c r="W74" s="8">
        <f>T74*(1+U74)*原始运算表格!$R$2*原始运算表格!$S$2</f>
        <v>0</v>
      </c>
      <c r="X74" s="8">
        <f t="shared" si="7"/>
        <v>0</v>
      </c>
      <c r="Y74" s="8">
        <f t="shared" si="8"/>
        <v>285.47999999999996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0</v>
      </c>
      <c r="E75" s="1">
        <f t="shared" si="10"/>
        <v>12</v>
      </c>
      <c r="F75" s="1">
        <f t="shared" si="9"/>
        <v>12</v>
      </c>
      <c r="R75" s="1">
        <v>21.5</v>
      </c>
      <c r="S75" s="1">
        <v>2.9</v>
      </c>
      <c r="V75" s="8">
        <f>R75*(1+S75)*原始运算表格!$P$2*原始运算表格!$Q$2</f>
        <v>83.85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83.85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0</v>
      </c>
      <c r="E76" s="1">
        <f t="shared" si="10"/>
        <v>13</v>
      </c>
      <c r="F76" s="1">
        <f t="shared" si="9"/>
        <v>13</v>
      </c>
      <c r="R76" s="1">
        <v>20.3</v>
      </c>
      <c r="S76" s="1">
        <v>6.4</v>
      </c>
      <c r="V76" s="8">
        <f>R76*(1+S76)*原始运算表格!$P$2*原始运算表格!$Q$2</f>
        <v>150.22</v>
      </c>
      <c r="W76" s="8">
        <f>T76*(1+U76)*原始运算表格!$R$2*原始运算表格!$S$2</f>
        <v>0</v>
      </c>
      <c r="X76" s="8">
        <f t="shared" si="7"/>
        <v>0</v>
      </c>
      <c r="Y76" s="8">
        <f t="shared" si="8"/>
        <v>150.22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0</v>
      </c>
      <c r="E77" s="1">
        <f t="shared" si="10"/>
        <v>14</v>
      </c>
      <c r="F77" s="1">
        <f t="shared" si="9"/>
        <v>14</v>
      </c>
      <c r="R77" s="1">
        <v>17.899999999999999</v>
      </c>
      <c r="S77" s="1">
        <v>4.7</v>
      </c>
      <c r="V77" s="8">
        <f>R77*(1+S77)*原始运算表格!$P$2*原始运算表格!$Q$2</f>
        <v>102.03</v>
      </c>
      <c r="W77" s="8">
        <f>T77*(1+U77)*原始运算表格!$R$2*原始运算表格!$S$2</f>
        <v>0</v>
      </c>
      <c r="X77" s="8">
        <f t="shared" si="7"/>
        <v>0</v>
      </c>
      <c r="Y77" s="8">
        <f t="shared" si="8"/>
        <v>102.03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15</v>
      </c>
      <c r="F78" s="1">
        <f t="shared" si="9"/>
        <v>15</v>
      </c>
      <c r="R78" s="1">
        <v>12.7</v>
      </c>
      <c r="S78" s="1">
        <v>3.7</v>
      </c>
      <c r="T78" s="1">
        <v>9.6999999999999993</v>
      </c>
      <c r="U78" s="1">
        <v>0.1</v>
      </c>
      <c r="V78" s="8">
        <f>R78*(1+S78)*原始运算表格!$P$2*原始运算表格!$Q$2</f>
        <v>59.69</v>
      </c>
      <c r="W78" s="8">
        <f>T78*(1+U78)*原始运算表格!$R$2*原始运算表格!$S$2</f>
        <v>53.35</v>
      </c>
      <c r="X78" s="8">
        <f t="shared" si="7"/>
        <v>0</v>
      </c>
      <c r="Y78" s="8">
        <f t="shared" si="8"/>
        <v>113.03999999999999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1</v>
      </c>
      <c r="D79" s="1">
        <v>0</v>
      </c>
      <c r="E79" s="1">
        <f t="shared" si="10"/>
        <v>16</v>
      </c>
      <c r="F79" s="1">
        <f t="shared" si="9"/>
        <v>16</v>
      </c>
      <c r="R79" s="1">
        <v>11</v>
      </c>
      <c r="S79" s="1">
        <v>0.3</v>
      </c>
      <c r="V79" s="8">
        <f>R79*(1+S79)*原始运算表格!$P$2*原始运算表格!$Q$2</f>
        <v>14.3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14.3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Z79"/>
  <sheetViews>
    <sheetView zoomScale="70" zoomScaleNormal="70" workbookViewId="0">
      <pane ySplit="6" topLeftCell="A67" activePane="bottomLeft" state="frozen"/>
      <selection pane="bottomLeft" activeCell="O79" sqref="O79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93</v>
      </c>
    </row>
    <row r="5" spans="1:26" s="6" customFormat="1">
      <c r="A5" s="6" t="s">
        <v>22</v>
      </c>
      <c r="B5" s="7"/>
      <c r="C5" s="6">
        <f>SUM(C12:C105)</f>
        <v>9</v>
      </c>
      <c r="D5" s="6">
        <f>SUM(D12:D105)</f>
        <v>8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1</v>
      </c>
      <c r="M5" s="6">
        <f t="shared" si="0"/>
        <v>0</v>
      </c>
      <c r="N5" s="6">
        <f t="shared" si="0"/>
        <v>1</v>
      </c>
      <c r="O5" s="6">
        <f t="shared" si="0"/>
        <v>2</v>
      </c>
      <c r="P5" s="6">
        <f t="shared" si="0"/>
        <v>0</v>
      </c>
      <c r="Q5" s="6">
        <f t="shared" si="0"/>
        <v>0</v>
      </c>
      <c r="R5" s="6">
        <f t="shared" si="0"/>
        <v>162.50000000000003</v>
      </c>
      <c r="S5" s="6">
        <f t="shared" si="0"/>
        <v>65.3</v>
      </c>
      <c r="T5" s="6">
        <f t="shared" si="0"/>
        <v>141.29999999999998</v>
      </c>
      <c r="U5" s="6">
        <f t="shared" si="0"/>
        <v>8.1999999999999993</v>
      </c>
      <c r="V5" s="9">
        <f t="shared" si="0"/>
        <v>1440.3799999999999</v>
      </c>
      <c r="W5" s="9">
        <f t="shared" si="0"/>
        <v>1524.55</v>
      </c>
      <c r="X5" s="9">
        <f t="shared" si="0"/>
        <v>2376.71</v>
      </c>
      <c r="Y5" s="9">
        <f t="shared" si="0"/>
        <v>5341.6399999999994</v>
      </c>
      <c r="Z5" s="9">
        <f t="shared" si="0"/>
        <v>5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5"/>
        <v>0</v>
      </c>
      <c r="F63" s="1">
        <f t="shared" si="2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7"/>
        <v>0</v>
      </c>
      <c r="Y63" s="8">
        <f t="shared" si="8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5"/>
        <v>0</v>
      </c>
      <c r="F64" s="1">
        <f t="shared" si="2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7"/>
        <v>0</v>
      </c>
      <c r="Y64" s="8">
        <f t="shared" si="8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5"/>
        <v>0</v>
      </c>
      <c r="F65" s="1">
        <f t="shared" si="2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7"/>
        <v>0</v>
      </c>
      <c r="Y65" s="8">
        <f t="shared" si="8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5"/>
        <v>0</v>
      </c>
      <c r="F66" s="1">
        <f t="shared" si="2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7"/>
        <v>0</v>
      </c>
      <c r="Y66" s="8">
        <f t="shared" si="8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5"/>
        <v>0</v>
      </c>
      <c r="F67" s="1">
        <f t="shared" si="2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7"/>
        <v>0</v>
      </c>
      <c r="Y67" s="8">
        <f t="shared" si="8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5"/>
        <v>0</v>
      </c>
      <c r="F68" s="1">
        <f t="shared" si="2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7"/>
        <v>0</v>
      </c>
      <c r="Y68" s="8">
        <f t="shared" si="8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5"/>
        <v>0</v>
      </c>
      <c r="F69" s="1">
        <f t="shared" si="2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5"/>
        <v>0</v>
      </c>
      <c r="F70" s="1">
        <f t="shared" si="2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7"/>
        <v>0</v>
      </c>
      <c r="Y70" s="8">
        <f t="shared" si="8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1</v>
      </c>
      <c r="F71" s="1">
        <f t="shared" ref="F71:F79" si="9">C71*E71</f>
        <v>1</v>
      </c>
      <c r="R71" s="1">
        <v>13</v>
      </c>
      <c r="S71" s="1">
        <v>2.4</v>
      </c>
      <c r="T71" s="1">
        <v>10</v>
      </c>
      <c r="U71" s="1">
        <v>0</v>
      </c>
      <c r="V71" s="8">
        <f>R71*(1+S71)*原始运算表格!$P$2*原始运算表格!$Q$2</f>
        <v>44.199999999999996</v>
      </c>
      <c r="W71" s="8">
        <f>T71*(1+U71)*原始运算表格!$R$2*原始运算表格!$S$2</f>
        <v>50</v>
      </c>
      <c r="X71" s="8">
        <f t="shared" si="7"/>
        <v>0</v>
      </c>
      <c r="Y71" s="8">
        <f t="shared" si="8"/>
        <v>94.199999999999989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2</v>
      </c>
      <c r="F72" s="1">
        <f t="shared" si="9"/>
        <v>2</v>
      </c>
      <c r="R72" s="1">
        <v>16.5</v>
      </c>
      <c r="S72" s="1">
        <v>6</v>
      </c>
      <c r="T72" s="1">
        <v>12.5</v>
      </c>
      <c r="U72" s="1">
        <v>0.8</v>
      </c>
      <c r="V72" s="8">
        <f>R72*(1+S72)*原始运算表格!$P$2*原始运算表格!$Q$2</f>
        <v>115.5</v>
      </c>
      <c r="W72" s="8">
        <f>T72*(1+U72)*原始运算表格!$R$2*原始运算表格!$S$2</f>
        <v>112.5</v>
      </c>
      <c r="X72" s="8">
        <f t="shared" si="7"/>
        <v>0</v>
      </c>
      <c r="Y72" s="8">
        <f t="shared" si="8"/>
        <v>228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3</v>
      </c>
      <c r="F73" s="1">
        <f t="shared" si="9"/>
        <v>3</v>
      </c>
      <c r="R73" s="1">
        <v>16.8</v>
      </c>
      <c r="S73" s="1">
        <v>9</v>
      </c>
      <c r="T73" s="1">
        <v>16.600000000000001</v>
      </c>
      <c r="U73" s="1">
        <v>1.9</v>
      </c>
      <c r="V73" s="8">
        <f>R73*(1+S73)*原始运算表格!$P$2*原始运算表格!$Q$2</f>
        <v>168</v>
      </c>
      <c r="W73" s="8">
        <f>T73*(1+U73)*原始运算表格!$R$2*原始运算表格!$S$2</f>
        <v>240.7</v>
      </c>
      <c r="X73" s="8">
        <f t="shared" si="7"/>
        <v>0</v>
      </c>
      <c r="Y73" s="8">
        <f t="shared" si="8"/>
        <v>408.7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4</v>
      </c>
      <c r="F74" s="1">
        <f t="shared" si="9"/>
        <v>4</v>
      </c>
      <c r="O74" s="1">
        <v>1</v>
      </c>
      <c r="R74" s="1">
        <v>20.100000000000001</v>
      </c>
      <c r="S74" s="1">
        <v>10.8</v>
      </c>
      <c r="T74" s="1">
        <v>20.5</v>
      </c>
      <c r="U74" s="1">
        <v>2.7</v>
      </c>
      <c r="V74" s="8">
        <f>R74*(1+S74)*原始运算表格!$P$2*原始运算表格!$Q$2</f>
        <v>237.18000000000004</v>
      </c>
      <c r="W74" s="8">
        <f>T74*(1+U74)*原始运算表格!$R$2*原始运算表格!$S$2</f>
        <v>379.25000000000006</v>
      </c>
      <c r="X74" s="8">
        <f t="shared" si="7"/>
        <v>616.43000000000006</v>
      </c>
      <c r="Y74" s="8">
        <f t="shared" si="8"/>
        <v>1232.8600000000001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1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0</v>
      </c>
      <c r="E75" s="1">
        <f t="shared" si="10"/>
        <v>5</v>
      </c>
      <c r="F75" s="1">
        <f t="shared" si="9"/>
        <v>5</v>
      </c>
      <c r="R75" s="1">
        <v>13</v>
      </c>
      <c r="S75" s="1">
        <v>0</v>
      </c>
      <c r="V75" s="8">
        <f>R75*(1+S75)*原始运算表格!$P$2*原始运算表格!$Q$2</f>
        <v>13</v>
      </c>
      <c r="W75" s="8">
        <f>T75*(1+U75)*原始运算表格!$R$2*原始运算表格!$S$2</f>
        <v>0</v>
      </c>
      <c r="X75" s="8">
        <f t="shared" si="7"/>
        <v>0</v>
      </c>
      <c r="Y75" s="8">
        <f t="shared" si="8"/>
        <v>13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6</v>
      </c>
      <c r="F76" s="1">
        <f t="shared" si="9"/>
        <v>6</v>
      </c>
      <c r="R76" s="1">
        <v>20.9</v>
      </c>
      <c r="S76" s="1">
        <v>9.1999999999999993</v>
      </c>
      <c r="T76" s="1">
        <v>27.5</v>
      </c>
      <c r="U76" s="1">
        <v>1.6</v>
      </c>
      <c r="V76" s="8">
        <f>R76*(1+S76)*原始运算表格!$P$2*原始运算表格!$Q$2</f>
        <v>213.17999999999998</v>
      </c>
      <c r="W76" s="8">
        <f>T76*(1+U76)*原始运算表格!$R$2*原始运算表格!$S$2</f>
        <v>357.5</v>
      </c>
      <c r="X76" s="8">
        <f t="shared" si="7"/>
        <v>0</v>
      </c>
      <c r="Y76" s="8">
        <f t="shared" si="8"/>
        <v>570.67999999999995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7</v>
      </c>
      <c r="F77" s="1">
        <f t="shared" si="9"/>
        <v>7</v>
      </c>
      <c r="R77" s="1">
        <v>20.2</v>
      </c>
      <c r="S77" s="1">
        <v>7.1</v>
      </c>
      <c r="T77" s="1">
        <v>21</v>
      </c>
      <c r="U77" s="1">
        <v>0.5</v>
      </c>
      <c r="V77" s="8">
        <f>R77*(1+S77)*原始运算表格!$P$2*原始运算表格!$Q$2</f>
        <v>163.61999999999998</v>
      </c>
      <c r="W77" s="8">
        <f>T77*(1+U77)*原始运算表格!$R$2*原始运算表格!$S$2</f>
        <v>157.5</v>
      </c>
      <c r="X77" s="8">
        <f t="shared" si="7"/>
        <v>0</v>
      </c>
      <c r="Y77" s="8">
        <f t="shared" si="8"/>
        <v>321.12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 ht="17" customHeight="1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8</v>
      </c>
      <c r="F78" s="1">
        <f t="shared" si="9"/>
        <v>8</v>
      </c>
      <c r="R78" s="1">
        <v>18.7</v>
      </c>
      <c r="S78" s="1">
        <v>8.9</v>
      </c>
      <c r="T78" s="1">
        <v>14.6</v>
      </c>
      <c r="U78" s="1">
        <v>0.2</v>
      </c>
      <c r="V78" s="8">
        <f>R78*(1+S78)*原始运算表格!$P$2*原始运算表格!$Q$2</f>
        <v>185.13</v>
      </c>
      <c r="W78" s="8">
        <f>T78*(1+U78)*原始运算表格!$R$2*原始运算表格!$S$2</f>
        <v>87.6</v>
      </c>
      <c r="X78" s="8">
        <f t="shared" si="7"/>
        <v>0</v>
      </c>
      <c r="Y78" s="8">
        <f t="shared" si="8"/>
        <v>272.73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1</v>
      </c>
      <c r="D79" s="1">
        <v>1</v>
      </c>
      <c r="E79" s="1">
        <f t="shared" si="10"/>
        <v>9</v>
      </c>
      <c r="F79" s="1">
        <f t="shared" si="9"/>
        <v>9</v>
      </c>
      <c r="L79" s="1">
        <v>1</v>
      </c>
      <c r="N79" s="1">
        <v>1</v>
      </c>
      <c r="O79" s="1">
        <v>1</v>
      </c>
      <c r="R79" s="1">
        <v>23.3</v>
      </c>
      <c r="S79" s="1">
        <v>11.9</v>
      </c>
      <c r="T79" s="1">
        <v>18.600000000000001</v>
      </c>
      <c r="U79" s="1">
        <v>0.5</v>
      </c>
      <c r="V79" s="8">
        <f>R79*(1+S79)*原始运算表格!$P$2*原始运算表格!$Q$2</f>
        <v>300.57</v>
      </c>
      <c r="W79" s="8">
        <f>T79*(1+U79)*原始运算表格!$R$2*原始运算表格!$S$2</f>
        <v>139.5</v>
      </c>
      <c r="X79" s="8">
        <f t="shared" si="7"/>
        <v>1760.28</v>
      </c>
      <c r="Y79" s="8">
        <f t="shared" si="8"/>
        <v>2200.35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4</v>
      </c>
    </row>
  </sheetData>
  <phoneticPr fontId="3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Z79"/>
  <sheetViews>
    <sheetView zoomScale="70" zoomScaleNormal="70" workbookViewId="0">
      <pane ySplit="6" topLeftCell="A7" activePane="bottomLeft" state="frozen"/>
      <selection pane="bottomLeft" activeCell="A7" sqref="A7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94</v>
      </c>
    </row>
    <row r="5" spans="1:26" s="6" customFormat="1">
      <c r="A5" s="6" t="s">
        <v>22</v>
      </c>
      <c r="B5" s="7"/>
      <c r="C5" s="6">
        <f>SUM(C12:C105)</f>
        <v>18</v>
      </c>
      <c r="D5" s="6">
        <f>SUM(D12:D105)</f>
        <v>17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4</v>
      </c>
      <c r="Q5" s="6">
        <f t="shared" si="0"/>
        <v>1</v>
      </c>
      <c r="R5" s="6">
        <f t="shared" si="0"/>
        <v>321.5</v>
      </c>
      <c r="S5" s="6">
        <f t="shared" si="0"/>
        <v>111.3</v>
      </c>
      <c r="T5" s="6">
        <f t="shared" si="0"/>
        <v>283.7</v>
      </c>
      <c r="U5" s="6">
        <f t="shared" si="0"/>
        <v>13.500000000000002</v>
      </c>
      <c r="V5" s="9">
        <f t="shared" si="0"/>
        <v>2442.2800000000002</v>
      </c>
      <c r="W5" s="9">
        <f t="shared" si="0"/>
        <v>2692.35</v>
      </c>
      <c r="X5" s="9">
        <f t="shared" si="0"/>
        <v>8937.7199999999975</v>
      </c>
      <c r="Y5" s="9">
        <f t="shared" si="0"/>
        <v>14072.349999999997</v>
      </c>
      <c r="Z5" s="9">
        <f t="shared" si="0"/>
        <v>24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1</v>
      </c>
      <c r="D62" s="1">
        <v>1</v>
      </c>
      <c r="E62" s="1">
        <f t="shared" si="5"/>
        <v>1</v>
      </c>
      <c r="F62" s="1">
        <f t="shared" si="2"/>
        <v>1</v>
      </c>
      <c r="I62" s="2"/>
      <c r="J62" s="2"/>
      <c r="K62" s="2"/>
      <c r="L62" s="2"/>
      <c r="M62" s="2"/>
      <c r="R62" s="1">
        <v>11.7</v>
      </c>
      <c r="S62" s="1">
        <v>3.8</v>
      </c>
      <c r="T62" s="1">
        <v>16.399999999999999</v>
      </c>
      <c r="U62" s="1">
        <v>0.6</v>
      </c>
      <c r="V62" s="8">
        <f>R62*(1+S62)*原始运算表格!$P$2*原始运算表格!$Q$2</f>
        <v>56.16</v>
      </c>
      <c r="W62" s="8">
        <f>T62*(1+U62)*原始运算表格!$R$2*原始运算表格!$S$2</f>
        <v>131.19999999999999</v>
      </c>
      <c r="X62" s="8">
        <f t="shared" si="7"/>
        <v>0</v>
      </c>
      <c r="Y62" s="8">
        <f t="shared" si="8"/>
        <v>187.35999999999999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2</v>
      </c>
      <c r="F63" s="1">
        <f t="shared" si="2"/>
        <v>2</v>
      </c>
      <c r="I63" s="2"/>
      <c r="J63" s="2"/>
      <c r="K63" s="2"/>
      <c r="L63" s="2"/>
      <c r="M63" s="2"/>
      <c r="P63" s="1">
        <v>1</v>
      </c>
      <c r="R63" s="1">
        <v>16.5</v>
      </c>
      <c r="S63" s="1">
        <v>7.7</v>
      </c>
      <c r="T63" s="1">
        <v>11.9</v>
      </c>
      <c r="U63" s="1">
        <v>1.1000000000000001</v>
      </c>
      <c r="V63" s="8">
        <f>R63*(1+S63)*原始运算表格!$P$2*原始运算表格!$Q$2</f>
        <v>143.54999999999998</v>
      </c>
      <c r="W63" s="8">
        <f>T63*(1+U63)*原始运算表格!$R$2*原始运算表格!$S$2</f>
        <v>124.95000000000002</v>
      </c>
      <c r="X63" s="8">
        <f t="shared" si="7"/>
        <v>1074</v>
      </c>
      <c r="Y63" s="8">
        <f t="shared" si="8"/>
        <v>1342.5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4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3</v>
      </c>
      <c r="F64" s="1">
        <f t="shared" si="2"/>
        <v>3</v>
      </c>
      <c r="R64" s="1">
        <v>15.7</v>
      </c>
      <c r="S64" s="1">
        <v>7.5</v>
      </c>
      <c r="T64" s="1">
        <v>18.899999999999999</v>
      </c>
      <c r="U64" s="1">
        <v>1</v>
      </c>
      <c r="V64" s="8">
        <f>R64*(1+S64)*原始运算表格!$P$2*原始运算表格!$Q$2</f>
        <v>133.44999999999999</v>
      </c>
      <c r="W64" s="8">
        <f>T64*(1+U64)*原始运算表格!$R$2*原始运算表格!$S$2</f>
        <v>189</v>
      </c>
      <c r="X64" s="8">
        <f t="shared" si="7"/>
        <v>0</v>
      </c>
      <c r="Y64" s="8">
        <f t="shared" si="8"/>
        <v>322.45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4</v>
      </c>
      <c r="F65" s="1">
        <f t="shared" si="2"/>
        <v>4</v>
      </c>
      <c r="P65" s="1">
        <v>1</v>
      </c>
      <c r="R65" s="1">
        <v>18</v>
      </c>
      <c r="S65" s="1">
        <v>8.1</v>
      </c>
      <c r="T65" s="1">
        <v>12</v>
      </c>
      <c r="U65" s="1">
        <v>0.6</v>
      </c>
      <c r="V65" s="8">
        <f>R65*(1+S65)*原始运算表格!$P$2*原始运算表格!$Q$2</f>
        <v>163.79999999999998</v>
      </c>
      <c r="W65" s="8">
        <f>T65*(1+U65)*原始运算表格!$R$2*原始运算表格!$S$2</f>
        <v>96.000000000000014</v>
      </c>
      <c r="X65" s="8">
        <f t="shared" si="7"/>
        <v>1039.2</v>
      </c>
      <c r="Y65" s="8">
        <f t="shared" si="8"/>
        <v>1299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4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1</v>
      </c>
      <c r="E66" s="1">
        <f t="shared" si="5"/>
        <v>5</v>
      </c>
      <c r="F66" s="1">
        <f t="shared" si="2"/>
        <v>5</v>
      </c>
      <c r="R66" s="1">
        <v>20.8</v>
      </c>
      <c r="S66" s="1">
        <v>9.6</v>
      </c>
      <c r="T66" s="1">
        <v>17.5</v>
      </c>
      <c r="U66" s="1">
        <v>0.4</v>
      </c>
      <c r="V66" s="8">
        <f>R66*(1+S66)*原始运算表格!$P$2*原始运算表格!$Q$2</f>
        <v>220.48</v>
      </c>
      <c r="W66" s="8">
        <f>T66*(1+U66)*原始运算表格!$R$2*原始运算表格!$S$2</f>
        <v>122.5</v>
      </c>
      <c r="X66" s="8">
        <f t="shared" si="7"/>
        <v>0</v>
      </c>
      <c r="Y66" s="8">
        <f t="shared" si="8"/>
        <v>342.98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6</v>
      </c>
      <c r="F67" s="1">
        <f t="shared" si="2"/>
        <v>6</v>
      </c>
      <c r="P67" s="1">
        <v>1</v>
      </c>
      <c r="Q67" s="1">
        <v>1</v>
      </c>
      <c r="R67" s="1">
        <v>21.4</v>
      </c>
      <c r="S67" s="1">
        <v>9.6</v>
      </c>
      <c r="T67" s="1">
        <v>18.7</v>
      </c>
      <c r="U67" s="1">
        <v>1.6</v>
      </c>
      <c r="V67" s="8">
        <f>R67*(1+S67)*原始运算表格!$P$2*原始运算表格!$Q$2</f>
        <v>226.83999999999997</v>
      </c>
      <c r="W67" s="8">
        <f>T67*(1+U67)*原始运算表格!$R$2*原始运算表格!$S$2</f>
        <v>243.1</v>
      </c>
      <c r="X67" s="8">
        <f t="shared" si="7"/>
        <v>5639.2799999999988</v>
      </c>
      <c r="Y67" s="8">
        <f t="shared" si="8"/>
        <v>6109.2199999999993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12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7</v>
      </c>
      <c r="F68" s="1">
        <f t="shared" si="2"/>
        <v>7</v>
      </c>
      <c r="R68" s="1">
        <v>20</v>
      </c>
      <c r="S68" s="1">
        <v>7</v>
      </c>
      <c r="T68" s="1">
        <v>19.899999999999999</v>
      </c>
      <c r="U68" s="1">
        <v>1.7</v>
      </c>
      <c r="V68" s="8">
        <f>R68*(1+S68)*原始运算表格!$P$2*原始运算表格!$Q$2</f>
        <v>160</v>
      </c>
      <c r="W68" s="8">
        <f>T68*(1+U68)*原始运算表格!$R$2*原始运算表格!$S$2</f>
        <v>268.64999999999998</v>
      </c>
      <c r="X68" s="8">
        <f t="shared" si="7"/>
        <v>0</v>
      </c>
      <c r="Y68" s="8">
        <f t="shared" si="8"/>
        <v>428.65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1</v>
      </c>
      <c r="E69" s="1">
        <f t="shared" si="5"/>
        <v>8</v>
      </c>
      <c r="F69" s="1">
        <f t="shared" si="2"/>
        <v>8</v>
      </c>
      <c r="R69" s="1">
        <v>23.4</v>
      </c>
      <c r="S69" s="1">
        <v>8.6</v>
      </c>
      <c r="T69" s="1">
        <v>29.3</v>
      </c>
      <c r="U69" s="1">
        <v>0.5</v>
      </c>
      <c r="V69" s="8">
        <f>R69*(1+S69)*原始运算表格!$P$2*原始运算表格!$Q$2</f>
        <v>224.64</v>
      </c>
      <c r="W69" s="8">
        <f>T69*(1+U69)*原始运算表格!$R$2*原始运算表格!$S$2</f>
        <v>219.75</v>
      </c>
      <c r="X69" s="8">
        <f t="shared" si="7"/>
        <v>0</v>
      </c>
      <c r="Y69" s="8">
        <f t="shared" si="8"/>
        <v>444.39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9</v>
      </c>
      <c r="F70" s="1">
        <f t="shared" si="2"/>
        <v>9</v>
      </c>
      <c r="R70" s="1">
        <v>16.399999999999999</v>
      </c>
      <c r="S70" s="1">
        <v>3.6</v>
      </c>
      <c r="T70" s="1">
        <v>16.7</v>
      </c>
      <c r="U70" s="1">
        <v>0.3</v>
      </c>
      <c r="V70" s="8">
        <f>R70*(1+S70)*原始运算表格!$P$2*原始运算表格!$Q$2</f>
        <v>75.439999999999984</v>
      </c>
      <c r="W70" s="8">
        <f>T70*(1+U70)*原始运算表格!$R$2*原始运算表格!$S$2</f>
        <v>108.55000000000001</v>
      </c>
      <c r="X70" s="8">
        <f t="shared" si="7"/>
        <v>0</v>
      </c>
      <c r="Y70" s="8">
        <f t="shared" si="8"/>
        <v>183.99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10</v>
      </c>
      <c r="F71" s="1">
        <f t="shared" ref="F71:F79" si="9">C71*E71</f>
        <v>10</v>
      </c>
      <c r="R71" s="1">
        <v>20.399999999999999</v>
      </c>
      <c r="S71" s="1">
        <v>8.1999999999999993</v>
      </c>
      <c r="T71" s="1">
        <v>17.600000000000001</v>
      </c>
      <c r="U71" s="1">
        <v>0.3</v>
      </c>
      <c r="V71" s="8">
        <f>R71*(1+S71)*原始运算表格!$P$2*原始运算表格!$Q$2</f>
        <v>187.67999999999998</v>
      </c>
      <c r="W71" s="8">
        <f>T71*(1+U71)*原始运算表格!$R$2*原始运算表格!$S$2</f>
        <v>114.4</v>
      </c>
      <c r="X71" s="8">
        <f t="shared" si="7"/>
        <v>0</v>
      </c>
      <c r="Y71" s="8">
        <f t="shared" si="8"/>
        <v>302.08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11</v>
      </c>
      <c r="F72" s="1">
        <f t="shared" si="9"/>
        <v>11</v>
      </c>
      <c r="R72" s="1">
        <v>22</v>
      </c>
      <c r="S72" s="1">
        <v>7.1</v>
      </c>
      <c r="T72" s="1">
        <v>19.399999999999999</v>
      </c>
      <c r="U72" s="1">
        <v>1.4</v>
      </c>
      <c r="V72" s="8">
        <f>R72*(1+S72)*原始运算表格!$P$2*原始运算表格!$Q$2</f>
        <v>178.2</v>
      </c>
      <c r="W72" s="8">
        <f>T72*(1+U72)*原始运算表格!$R$2*原始运算表格!$S$2</f>
        <v>232.79999999999998</v>
      </c>
      <c r="X72" s="8">
        <f t="shared" si="7"/>
        <v>0</v>
      </c>
      <c r="Y72" s="8">
        <f t="shared" si="8"/>
        <v>411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12</v>
      </c>
      <c r="F73" s="1">
        <f t="shared" si="9"/>
        <v>12</v>
      </c>
      <c r="R73" s="1">
        <v>23</v>
      </c>
      <c r="S73" s="1">
        <v>9.3000000000000007</v>
      </c>
      <c r="T73" s="1">
        <v>21.5</v>
      </c>
      <c r="U73" s="1">
        <v>2.4</v>
      </c>
      <c r="V73" s="8">
        <f>R73*(1+S73)*原始运算表格!$P$2*原始运算表格!$Q$2</f>
        <v>236.9</v>
      </c>
      <c r="W73" s="8">
        <f>T73*(1+U73)*原始运算表格!$R$2*原始运算表格!$S$2</f>
        <v>365.5</v>
      </c>
      <c r="X73" s="8">
        <f t="shared" si="7"/>
        <v>0</v>
      </c>
      <c r="Y73" s="8">
        <f t="shared" si="8"/>
        <v>602.4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13</v>
      </c>
      <c r="F74" s="1">
        <f t="shared" si="9"/>
        <v>13</v>
      </c>
      <c r="P74" s="1">
        <v>1</v>
      </c>
      <c r="R74" s="1">
        <v>18.899999999999999</v>
      </c>
      <c r="S74" s="1">
        <v>5.9</v>
      </c>
      <c r="T74" s="1">
        <v>15.8</v>
      </c>
      <c r="U74" s="1">
        <v>1.1000000000000001</v>
      </c>
      <c r="V74" s="8">
        <f>R74*(1+S74)*原始运算表格!$P$2*原始运算表格!$Q$2</f>
        <v>130.41</v>
      </c>
      <c r="W74" s="8">
        <f>T74*(1+U74)*原始运算表格!$R$2*原始运算表格!$S$2</f>
        <v>165.9</v>
      </c>
      <c r="X74" s="8">
        <f t="shared" si="7"/>
        <v>1185.2399999999998</v>
      </c>
      <c r="Y74" s="8">
        <f t="shared" si="8"/>
        <v>1481.55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4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14</v>
      </c>
      <c r="F75" s="1">
        <f t="shared" si="9"/>
        <v>14</v>
      </c>
      <c r="R75" s="1">
        <v>15.9</v>
      </c>
      <c r="S75" s="1">
        <v>4.0999999999999996</v>
      </c>
      <c r="T75" s="1">
        <v>6.5</v>
      </c>
      <c r="U75" s="1">
        <v>-0.3</v>
      </c>
      <c r="V75" s="8">
        <f>R75*(1+S75)*原始运算表格!$P$2*原始运算表格!$Q$2</f>
        <v>81.089999999999989</v>
      </c>
      <c r="W75" s="8">
        <f>T75*(1+U75)*原始运算表格!$R$2*原始运算表格!$S$2</f>
        <v>22.75</v>
      </c>
      <c r="X75" s="8">
        <f t="shared" si="7"/>
        <v>0</v>
      </c>
      <c r="Y75" s="8">
        <f t="shared" si="8"/>
        <v>103.83999999999999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15</v>
      </c>
      <c r="F76" s="1">
        <f t="shared" si="9"/>
        <v>15</v>
      </c>
      <c r="R76" s="1">
        <v>16.2</v>
      </c>
      <c r="S76" s="1">
        <v>5.8</v>
      </c>
      <c r="T76" s="1">
        <v>14.3</v>
      </c>
      <c r="U76" s="1">
        <v>0.4</v>
      </c>
      <c r="V76" s="8">
        <f>R76*(1+S76)*原始运算表格!$P$2*原始运算表格!$Q$2</f>
        <v>110.16</v>
      </c>
      <c r="W76" s="8">
        <f>T76*(1+U76)*原始运算表格!$R$2*原始运算表格!$S$2</f>
        <v>100.1</v>
      </c>
      <c r="X76" s="8">
        <f t="shared" si="7"/>
        <v>0</v>
      </c>
      <c r="Y76" s="8">
        <f t="shared" si="8"/>
        <v>210.26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16</v>
      </c>
      <c r="F77" s="1">
        <f t="shared" si="9"/>
        <v>16</v>
      </c>
      <c r="R77" s="1">
        <v>13</v>
      </c>
      <c r="S77" s="1">
        <v>3</v>
      </c>
      <c r="T77" s="1">
        <v>19.5</v>
      </c>
      <c r="U77" s="1">
        <v>0.6</v>
      </c>
      <c r="V77" s="8">
        <f>R77*(1+S77)*原始运算表格!$P$2*原始运算表格!$Q$2</f>
        <v>52</v>
      </c>
      <c r="W77" s="8">
        <f>T77*(1+U77)*原始运算表格!$R$2*原始运算表格!$S$2</f>
        <v>156</v>
      </c>
      <c r="X77" s="8">
        <f t="shared" si="7"/>
        <v>0</v>
      </c>
      <c r="Y77" s="8">
        <f t="shared" si="8"/>
        <v>208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17</v>
      </c>
      <c r="F78" s="1">
        <f t="shared" si="9"/>
        <v>17</v>
      </c>
      <c r="R78" s="1">
        <v>12.7</v>
      </c>
      <c r="S78" s="1">
        <v>1.4</v>
      </c>
      <c r="T78" s="1">
        <v>7.8</v>
      </c>
      <c r="U78" s="1">
        <v>-0.2</v>
      </c>
      <c r="V78" s="8">
        <f>R78*(1+S78)*原始运算表格!$P$2*原始运算表格!$Q$2</f>
        <v>30.479999999999997</v>
      </c>
      <c r="W78" s="8">
        <f>T78*(1+U78)*原始运算表格!$R$2*原始运算表格!$S$2</f>
        <v>31.200000000000003</v>
      </c>
      <c r="X78" s="8">
        <f t="shared" si="7"/>
        <v>0</v>
      </c>
      <c r="Y78" s="8">
        <f t="shared" si="8"/>
        <v>61.68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1</v>
      </c>
      <c r="D79" s="1">
        <v>0</v>
      </c>
      <c r="E79" s="1">
        <f t="shared" si="10"/>
        <v>18</v>
      </c>
      <c r="F79" s="1">
        <f t="shared" si="9"/>
        <v>18</v>
      </c>
      <c r="R79" s="1">
        <v>15.5</v>
      </c>
      <c r="S79" s="1">
        <v>1</v>
      </c>
      <c r="V79" s="8">
        <f>R79*(1+S79)*原始运算表格!$P$2*原始运算表格!$Q$2</f>
        <v>31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31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Z79"/>
  <sheetViews>
    <sheetView zoomScale="55" zoomScaleNormal="55" workbookViewId="0">
      <pane ySplit="6" topLeftCell="A7" activePane="bottomLeft" state="frozen"/>
      <selection pane="bottomLeft" activeCell="A7" sqref="A7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 t="s">
        <v>95</v>
      </c>
    </row>
    <row r="5" spans="1:26" s="6" customFormat="1">
      <c r="A5" s="6" t="s">
        <v>22</v>
      </c>
      <c r="B5" s="7"/>
      <c r="C5" s="6">
        <f>SUM(C12:C105)</f>
        <v>16</v>
      </c>
      <c r="D5" s="6">
        <f>SUM(D12:D105)</f>
        <v>15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4</v>
      </c>
      <c r="Q5" s="6">
        <f t="shared" si="0"/>
        <v>0</v>
      </c>
      <c r="R5" s="6">
        <f t="shared" si="0"/>
        <v>317.29999999999995</v>
      </c>
      <c r="S5" s="6">
        <f t="shared" si="0"/>
        <v>106.50000000000001</v>
      </c>
      <c r="T5" s="6">
        <f t="shared" si="0"/>
        <v>282.50000000000006</v>
      </c>
      <c r="U5" s="6">
        <f t="shared" si="0"/>
        <v>20.9</v>
      </c>
      <c r="V5" s="9">
        <f t="shared" si="0"/>
        <v>2560.96</v>
      </c>
      <c r="W5" s="9">
        <f t="shared" si="0"/>
        <v>3521.8</v>
      </c>
      <c r="X5" s="9">
        <f t="shared" si="0"/>
        <v>9415.6</v>
      </c>
      <c r="Y5" s="9">
        <f t="shared" si="0"/>
        <v>15498.360000000004</v>
      </c>
      <c r="Z5" s="9">
        <f t="shared" si="0"/>
        <v>16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70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ref="E9:E72" si="5">E8+C9</f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si="2"/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si="5"/>
        <v>0</v>
      </c>
      <c r="F14" s="1">
        <f t="shared" si="2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5"/>
        <v>0</v>
      </c>
      <c r="F15" s="1">
        <f t="shared" si="2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5"/>
        <v>0</v>
      </c>
      <c r="F16" s="1">
        <f t="shared" si="2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5"/>
        <v>0</v>
      </c>
      <c r="F17" s="1">
        <f t="shared" si="2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5"/>
        <v>0</v>
      </c>
      <c r="F18" s="1">
        <f t="shared" si="2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5"/>
        <v>0</v>
      </c>
      <c r="F19" s="1">
        <f t="shared" si="2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5"/>
        <v>0</v>
      </c>
      <c r="F20" s="1">
        <f t="shared" si="2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5"/>
        <v>0</v>
      </c>
      <c r="F21" s="1">
        <f t="shared" si="2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5"/>
        <v>0</v>
      </c>
      <c r="F22" s="1">
        <f t="shared" si="2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5"/>
        <v>0</v>
      </c>
      <c r="F23" s="1">
        <f t="shared" si="2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5"/>
        <v>0</v>
      </c>
      <c r="F24" s="1">
        <f t="shared" si="2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5"/>
        <v>0</v>
      </c>
      <c r="F25" s="1">
        <f t="shared" si="2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5"/>
        <v>0</v>
      </c>
      <c r="F26" s="1">
        <f t="shared" si="2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5"/>
        <v>0</v>
      </c>
      <c r="F27" s="1">
        <f t="shared" si="2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5"/>
        <v>0</v>
      </c>
      <c r="F28" s="1">
        <f t="shared" si="2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5"/>
        <v>0</v>
      </c>
      <c r="F29" s="1">
        <f t="shared" si="2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5"/>
        <v>0</v>
      </c>
      <c r="F30" s="1">
        <f t="shared" si="2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5"/>
        <v>0</v>
      </c>
      <c r="F31" s="1">
        <f t="shared" si="2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5"/>
        <v>0</v>
      </c>
      <c r="F32" s="1">
        <f t="shared" si="2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5"/>
        <v>0</v>
      </c>
      <c r="F33" s="1">
        <f t="shared" si="2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5"/>
        <v>0</v>
      </c>
      <c r="F34" s="1">
        <f t="shared" si="2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5"/>
        <v>0</v>
      </c>
      <c r="F35" s="1">
        <f t="shared" si="2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5"/>
        <v>0</v>
      </c>
      <c r="F36" s="1">
        <f t="shared" si="2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5"/>
        <v>0</v>
      </c>
      <c r="F37" s="1">
        <f t="shared" si="2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5"/>
        <v>0</v>
      </c>
      <c r="F38" s="1">
        <f t="shared" si="2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5"/>
        <v>0</v>
      </c>
      <c r="F39" s="1">
        <f t="shared" si="2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5"/>
        <v>0</v>
      </c>
      <c r="F40" s="1">
        <f t="shared" si="2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5"/>
        <v>0</v>
      </c>
      <c r="F41" s="1">
        <f t="shared" si="2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5"/>
        <v>0</v>
      </c>
      <c r="F42" s="1">
        <f t="shared" si="2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5"/>
        <v>0</v>
      </c>
      <c r="F43" s="1">
        <f t="shared" si="2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5"/>
        <v>0</v>
      </c>
      <c r="F44" s="1">
        <f t="shared" si="2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5"/>
        <v>0</v>
      </c>
      <c r="F45" s="1">
        <f t="shared" si="2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5"/>
        <v>0</v>
      </c>
      <c r="F46" s="1">
        <f t="shared" si="2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7">Y46-W46-V46</f>
        <v>0</v>
      </c>
      <c r="Y46" s="8">
        <f t="shared" ref="Y46:Y79" si="8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5"/>
        <v>0</v>
      </c>
      <c r="F47" s="1">
        <f t="shared" si="2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7"/>
        <v>0</v>
      </c>
      <c r="Y47" s="8">
        <f t="shared" si="8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5"/>
        <v>0</v>
      </c>
      <c r="F48" s="1">
        <f t="shared" si="2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7"/>
        <v>0</v>
      </c>
      <c r="Y48" s="8">
        <f t="shared" si="8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5"/>
        <v>0</v>
      </c>
      <c r="F49" s="1">
        <f t="shared" si="2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7"/>
        <v>0</v>
      </c>
      <c r="Y49" s="8">
        <f t="shared" si="8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5"/>
        <v>0</v>
      </c>
      <c r="F50" s="1">
        <f t="shared" si="2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7"/>
        <v>0</v>
      </c>
      <c r="Y50" s="8">
        <f t="shared" si="8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5"/>
        <v>0</v>
      </c>
      <c r="F51" s="1">
        <f t="shared" si="2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7"/>
        <v>0</v>
      </c>
      <c r="Y51" s="8">
        <f t="shared" si="8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5"/>
        <v>0</v>
      </c>
      <c r="F52" s="1">
        <f t="shared" si="2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7"/>
        <v>0</v>
      </c>
      <c r="Y52" s="8">
        <f t="shared" si="8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5"/>
        <v>0</v>
      </c>
      <c r="F53" s="1">
        <f t="shared" si="2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7"/>
        <v>0</v>
      </c>
      <c r="Y53" s="8">
        <f t="shared" si="8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5"/>
        <v>0</v>
      </c>
      <c r="F54" s="1">
        <f t="shared" si="2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7"/>
        <v>0</v>
      </c>
      <c r="Y54" s="8">
        <f t="shared" si="8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5"/>
        <v>0</v>
      </c>
      <c r="F55" s="1">
        <f t="shared" si="2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7"/>
        <v>0</v>
      </c>
      <c r="Y55" s="8">
        <f t="shared" si="8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5"/>
        <v>0</v>
      </c>
      <c r="F56" s="1">
        <f t="shared" si="2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7"/>
        <v>0</v>
      </c>
      <c r="Y56" s="8">
        <f t="shared" si="8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5"/>
        <v>0</v>
      </c>
      <c r="F57" s="1">
        <f t="shared" si="2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7"/>
        <v>0</v>
      </c>
      <c r="Y57" s="8">
        <f t="shared" si="8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5"/>
        <v>0</v>
      </c>
      <c r="F58" s="1">
        <f t="shared" si="2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7"/>
        <v>0</v>
      </c>
      <c r="Y58" s="8">
        <f t="shared" si="8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5"/>
        <v>0</v>
      </c>
      <c r="F59" s="1">
        <f t="shared" si="2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7"/>
        <v>0</v>
      </c>
      <c r="Y59" s="8">
        <f t="shared" si="8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5"/>
        <v>0</v>
      </c>
      <c r="F60" s="1">
        <f t="shared" si="2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7"/>
        <v>0</v>
      </c>
      <c r="Y60" s="8">
        <f t="shared" si="8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5"/>
        <v>0</v>
      </c>
      <c r="F61" s="1">
        <f t="shared" si="2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7"/>
        <v>0</v>
      </c>
      <c r="Y61" s="8">
        <f t="shared" si="8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5"/>
        <v>0</v>
      </c>
      <c r="F62" s="1">
        <f t="shared" si="2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7"/>
        <v>0</v>
      </c>
      <c r="Y62" s="8">
        <f t="shared" si="8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1</v>
      </c>
      <c r="D63" s="1">
        <v>1</v>
      </c>
      <c r="E63" s="1">
        <f t="shared" si="5"/>
        <v>1</v>
      </c>
      <c r="F63" s="1">
        <f t="shared" si="2"/>
        <v>1</v>
      </c>
      <c r="I63" s="2"/>
      <c r="J63" s="2"/>
      <c r="K63" s="2"/>
      <c r="L63" s="2"/>
      <c r="M63" s="2"/>
      <c r="P63" s="1">
        <v>1</v>
      </c>
      <c r="R63" s="1">
        <v>14.7</v>
      </c>
      <c r="S63" s="1">
        <v>4.2</v>
      </c>
      <c r="T63" s="1">
        <v>15</v>
      </c>
      <c r="U63" s="1">
        <v>2.1</v>
      </c>
      <c r="V63" s="8">
        <f>R63*(1+S63)*原始运算表格!$P$2*原始运算表格!$Q$2</f>
        <v>76.44</v>
      </c>
      <c r="W63" s="8">
        <f>T63*(1+U63)*原始运算表格!$R$2*原始运算表格!$S$2</f>
        <v>232.5</v>
      </c>
      <c r="X63" s="8">
        <f t="shared" si="7"/>
        <v>1235.76</v>
      </c>
      <c r="Y63" s="8">
        <f t="shared" si="8"/>
        <v>1544.7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4</v>
      </c>
    </row>
    <row r="64" spans="1:26">
      <c r="A64" s="1">
        <v>2003</v>
      </c>
      <c r="B64" s="1">
        <f t="shared" si="6"/>
        <v>2004</v>
      </c>
      <c r="C64" s="1">
        <v>1</v>
      </c>
      <c r="D64" s="1">
        <v>1</v>
      </c>
      <c r="E64" s="1">
        <f t="shared" si="5"/>
        <v>2</v>
      </c>
      <c r="F64" s="1">
        <f t="shared" si="2"/>
        <v>2</v>
      </c>
      <c r="R64" s="1">
        <v>18.5</v>
      </c>
      <c r="S64" s="1">
        <v>9.1</v>
      </c>
      <c r="T64" s="1">
        <v>22.2</v>
      </c>
      <c r="U64" s="1">
        <v>1.3</v>
      </c>
      <c r="V64" s="8">
        <f>R64*(1+S64)*原始运算表格!$P$2*原始运算表格!$Q$2</f>
        <v>186.85</v>
      </c>
      <c r="W64" s="8">
        <f>T64*(1+U64)*原始运算表格!$R$2*原始运算表格!$S$2</f>
        <v>255.29999999999998</v>
      </c>
      <c r="X64" s="8">
        <f t="shared" si="7"/>
        <v>0</v>
      </c>
      <c r="Y64" s="8">
        <f t="shared" si="8"/>
        <v>442.15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1</v>
      </c>
      <c r="D65" s="1">
        <v>1</v>
      </c>
      <c r="E65" s="1">
        <f t="shared" si="5"/>
        <v>3</v>
      </c>
      <c r="F65" s="1">
        <f t="shared" si="2"/>
        <v>3</v>
      </c>
      <c r="P65" s="1">
        <v>1</v>
      </c>
      <c r="R65" s="1">
        <v>22.3</v>
      </c>
      <c r="S65" s="1">
        <v>11</v>
      </c>
      <c r="T65" s="1">
        <v>24.8</v>
      </c>
      <c r="U65" s="1">
        <v>4.2</v>
      </c>
      <c r="V65" s="8">
        <f>R65*(1+S65)*原始运算表格!$P$2*原始运算表格!$Q$2</f>
        <v>267.60000000000002</v>
      </c>
      <c r="W65" s="8">
        <f>T65*(1+U65)*原始运算表格!$R$2*原始运算表格!$S$2</f>
        <v>644.80000000000007</v>
      </c>
      <c r="X65" s="8">
        <f t="shared" si="7"/>
        <v>3649.6</v>
      </c>
      <c r="Y65" s="8">
        <f t="shared" si="8"/>
        <v>4562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4</v>
      </c>
    </row>
    <row r="66" spans="1:26">
      <c r="A66" s="1">
        <v>2005</v>
      </c>
      <c r="B66" s="1">
        <f t="shared" si="6"/>
        <v>2006</v>
      </c>
      <c r="C66" s="1">
        <v>1</v>
      </c>
      <c r="D66" s="1">
        <v>1</v>
      </c>
      <c r="E66" s="1">
        <f t="shared" si="5"/>
        <v>4</v>
      </c>
      <c r="F66" s="1">
        <f t="shared" si="2"/>
        <v>4</v>
      </c>
      <c r="R66" s="1">
        <v>22.4</v>
      </c>
      <c r="S66" s="1">
        <v>8.8000000000000007</v>
      </c>
      <c r="T66" s="1">
        <v>21.5</v>
      </c>
      <c r="U66" s="1">
        <v>1.4</v>
      </c>
      <c r="V66" s="8">
        <f>R66*(1+S66)*原始运算表格!$P$2*原始运算表格!$Q$2</f>
        <v>219.52</v>
      </c>
      <c r="W66" s="8">
        <f>T66*(1+U66)*原始运算表格!$R$2*原始运算表格!$S$2</f>
        <v>258</v>
      </c>
      <c r="X66" s="8">
        <f t="shared" si="7"/>
        <v>0</v>
      </c>
      <c r="Y66" s="8">
        <f t="shared" si="8"/>
        <v>477.52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1</v>
      </c>
      <c r="D67" s="1">
        <v>1</v>
      </c>
      <c r="E67" s="1">
        <f t="shared" si="5"/>
        <v>5</v>
      </c>
      <c r="F67" s="1">
        <f t="shared" si="2"/>
        <v>5</v>
      </c>
      <c r="P67" s="1">
        <v>1</v>
      </c>
      <c r="R67" s="1">
        <v>24.1</v>
      </c>
      <c r="S67" s="1">
        <v>10.6</v>
      </c>
      <c r="T67" s="1">
        <v>21.9</v>
      </c>
      <c r="U67" s="1">
        <v>2.6</v>
      </c>
      <c r="V67" s="8">
        <f>R67*(1+S67)*原始运算表格!$P$2*原始运算表格!$Q$2</f>
        <v>279.56</v>
      </c>
      <c r="W67" s="8">
        <f>T67*(1+U67)*原始运算表格!$R$2*原始运算表格!$S$2</f>
        <v>394.20000000000005</v>
      </c>
      <c r="X67" s="8">
        <f t="shared" si="7"/>
        <v>2695.0400000000004</v>
      </c>
      <c r="Y67" s="8">
        <f t="shared" si="8"/>
        <v>3368.8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4</v>
      </c>
    </row>
    <row r="68" spans="1:26">
      <c r="A68" s="1">
        <v>2007</v>
      </c>
      <c r="B68" s="1">
        <f t="shared" si="6"/>
        <v>2008</v>
      </c>
      <c r="C68" s="1">
        <v>1</v>
      </c>
      <c r="D68" s="1">
        <v>1</v>
      </c>
      <c r="E68" s="1">
        <f t="shared" si="5"/>
        <v>6</v>
      </c>
      <c r="F68" s="1">
        <f t="shared" si="2"/>
        <v>6</v>
      </c>
      <c r="R68" s="1">
        <v>24.3</v>
      </c>
      <c r="S68" s="1">
        <v>11.1</v>
      </c>
      <c r="T68" s="1">
        <v>17.100000000000001</v>
      </c>
      <c r="U68" s="1">
        <v>1.3</v>
      </c>
      <c r="V68" s="8">
        <f>R68*(1+S68)*原始运算表格!$P$2*原始运算表格!$Q$2</f>
        <v>294.02999999999997</v>
      </c>
      <c r="W68" s="8">
        <f>T68*(1+U68)*原始运算表格!$R$2*原始运算表格!$S$2</f>
        <v>196.64999999999998</v>
      </c>
      <c r="X68" s="8">
        <f t="shared" si="7"/>
        <v>0</v>
      </c>
      <c r="Y68" s="8">
        <f t="shared" si="8"/>
        <v>490.67999999999995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1</v>
      </c>
      <c r="D69" s="1">
        <v>0</v>
      </c>
      <c r="E69" s="1">
        <f t="shared" si="5"/>
        <v>7</v>
      </c>
      <c r="F69" s="1">
        <f t="shared" si="2"/>
        <v>7</v>
      </c>
      <c r="R69" s="1">
        <v>22.9</v>
      </c>
      <c r="S69" s="1">
        <v>5</v>
      </c>
      <c r="V69" s="8">
        <f>R69*(1+S69)*原始运算表格!$P$2*原始运算表格!$Q$2</f>
        <v>137.39999999999998</v>
      </c>
      <c r="W69" s="8">
        <f>T69*(1+U69)*原始运算表格!$R$2*原始运算表格!$S$2</f>
        <v>0</v>
      </c>
      <c r="X69" s="8">
        <f t="shared" si="7"/>
        <v>0</v>
      </c>
      <c r="Y69" s="8">
        <f t="shared" si="8"/>
        <v>137.39999999999998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1</v>
      </c>
      <c r="D70" s="1">
        <v>1</v>
      </c>
      <c r="E70" s="1">
        <f t="shared" si="5"/>
        <v>8</v>
      </c>
      <c r="F70" s="1">
        <f t="shared" si="2"/>
        <v>8</v>
      </c>
      <c r="R70" s="1">
        <v>22.5</v>
      </c>
      <c r="S70" s="1">
        <v>9.6999999999999993</v>
      </c>
      <c r="T70" s="1">
        <v>21.4</v>
      </c>
      <c r="U70" s="1">
        <v>1.1000000000000001</v>
      </c>
      <c r="V70" s="8">
        <f>R70*(1+S70)*原始运算表格!$P$2*原始运算表格!$Q$2</f>
        <v>240.74999999999997</v>
      </c>
      <c r="W70" s="8">
        <f>T70*(1+U70)*原始运算表格!$R$2*原始运算表格!$S$2</f>
        <v>224.7</v>
      </c>
      <c r="X70" s="8">
        <f t="shared" si="7"/>
        <v>0</v>
      </c>
      <c r="Y70" s="8">
        <f t="shared" si="8"/>
        <v>465.44999999999993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1</v>
      </c>
      <c r="D71" s="1">
        <v>1</v>
      </c>
      <c r="E71" s="1">
        <f t="shared" si="5"/>
        <v>9</v>
      </c>
      <c r="F71" s="1">
        <f t="shared" ref="F71:F79" si="9">C71*E71</f>
        <v>9</v>
      </c>
      <c r="R71" s="1">
        <v>21.7</v>
      </c>
      <c r="S71" s="1">
        <v>9.9</v>
      </c>
      <c r="T71" s="1">
        <v>22.3</v>
      </c>
      <c r="U71" s="1">
        <v>0.6</v>
      </c>
      <c r="V71" s="8">
        <f>R71*(1+S71)*原始运算表格!$P$2*原始运算表格!$Q$2</f>
        <v>236.53</v>
      </c>
      <c r="W71" s="8">
        <f>T71*(1+U71)*原始运算表格!$R$2*原始运算表格!$S$2</f>
        <v>178.4</v>
      </c>
      <c r="X71" s="8">
        <f t="shared" si="7"/>
        <v>0</v>
      </c>
      <c r="Y71" s="8">
        <f t="shared" si="8"/>
        <v>414.93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1</v>
      </c>
      <c r="D72" s="1">
        <v>1</v>
      </c>
      <c r="E72" s="1">
        <f t="shared" si="5"/>
        <v>10</v>
      </c>
      <c r="F72" s="1">
        <f t="shared" si="9"/>
        <v>10</v>
      </c>
      <c r="R72" s="1">
        <v>24.1</v>
      </c>
      <c r="S72" s="1">
        <v>4.2</v>
      </c>
      <c r="T72" s="1">
        <v>17</v>
      </c>
      <c r="U72" s="1">
        <v>1</v>
      </c>
      <c r="V72" s="8">
        <f>R72*(1+S72)*原始运算表格!$P$2*原始运算表格!$Q$2</f>
        <v>125.32000000000001</v>
      </c>
      <c r="W72" s="8">
        <f>T72*(1+U72)*原始运算表格!$R$2*原始运算表格!$S$2</f>
        <v>170</v>
      </c>
      <c r="X72" s="8">
        <f t="shared" si="7"/>
        <v>0</v>
      </c>
      <c r="Y72" s="8">
        <f t="shared" si="8"/>
        <v>295.32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1</v>
      </c>
      <c r="D73" s="1">
        <v>1</v>
      </c>
      <c r="E73" s="1">
        <f t="shared" ref="E73:E79" si="10">E72+C73</f>
        <v>11</v>
      </c>
      <c r="F73" s="1">
        <f t="shared" si="9"/>
        <v>11</v>
      </c>
      <c r="R73" s="1">
        <v>19</v>
      </c>
      <c r="S73" s="1">
        <v>4.5</v>
      </c>
      <c r="T73" s="1">
        <v>16.5</v>
      </c>
      <c r="U73" s="1">
        <v>1.3</v>
      </c>
      <c r="V73" s="8">
        <f>R73*(1+S73)*原始运算表格!$P$2*原始运算表格!$Q$2</f>
        <v>104.5</v>
      </c>
      <c r="W73" s="8">
        <f>T73*(1+U73)*原始运算表格!$R$2*原始运算表格!$S$2</f>
        <v>189.74999999999997</v>
      </c>
      <c r="X73" s="8">
        <f t="shared" si="7"/>
        <v>0</v>
      </c>
      <c r="Y73" s="8">
        <f t="shared" si="8"/>
        <v>294.25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1</v>
      </c>
      <c r="D74" s="1">
        <v>1</v>
      </c>
      <c r="E74" s="1">
        <f t="shared" si="10"/>
        <v>12</v>
      </c>
      <c r="F74" s="1">
        <f t="shared" si="9"/>
        <v>12</v>
      </c>
      <c r="P74" s="1">
        <v>1</v>
      </c>
      <c r="R74" s="1">
        <v>20</v>
      </c>
      <c r="S74" s="1">
        <v>5.7</v>
      </c>
      <c r="T74" s="1">
        <v>20.3</v>
      </c>
      <c r="U74" s="1">
        <v>2.2000000000000002</v>
      </c>
      <c r="V74" s="8">
        <f>R74*(1+S74)*原始运算表格!$P$2*原始运算表格!$Q$2</f>
        <v>134</v>
      </c>
      <c r="W74" s="8">
        <f>T74*(1+U74)*原始运算表格!$R$2*原始运算表格!$S$2</f>
        <v>324.80000000000007</v>
      </c>
      <c r="X74" s="8">
        <f t="shared" si="7"/>
        <v>1835.2000000000003</v>
      </c>
      <c r="Y74" s="8">
        <f t="shared" si="8"/>
        <v>2294.0000000000005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4</v>
      </c>
    </row>
    <row r="75" spans="1:26">
      <c r="A75" s="1">
        <v>2014</v>
      </c>
      <c r="B75" s="1">
        <f t="shared" si="6"/>
        <v>2015</v>
      </c>
      <c r="C75" s="1">
        <v>1</v>
      </c>
      <c r="D75" s="1">
        <v>1</v>
      </c>
      <c r="E75" s="1">
        <f t="shared" si="10"/>
        <v>13</v>
      </c>
      <c r="F75" s="1">
        <f t="shared" si="9"/>
        <v>13</v>
      </c>
      <c r="R75" s="1">
        <v>16.2</v>
      </c>
      <c r="S75" s="1">
        <v>3.7</v>
      </c>
      <c r="T75" s="1">
        <v>17.100000000000001</v>
      </c>
      <c r="U75" s="1">
        <v>0.3</v>
      </c>
      <c r="V75" s="8">
        <f>R75*(1+S75)*原始运算表格!$P$2*原始运算表格!$Q$2</f>
        <v>76.14</v>
      </c>
      <c r="W75" s="8">
        <f>T75*(1+U75)*原始运算表格!$R$2*原始运算表格!$S$2</f>
        <v>111.15000000000002</v>
      </c>
      <c r="X75" s="8">
        <f t="shared" si="7"/>
        <v>0</v>
      </c>
      <c r="Y75" s="8">
        <f t="shared" si="8"/>
        <v>187.29000000000002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1</v>
      </c>
      <c r="D76" s="1">
        <v>1</v>
      </c>
      <c r="E76" s="1">
        <f t="shared" si="10"/>
        <v>14</v>
      </c>
      <c r="F76" s="1">
        <f t="shared" si="9"/>
        <v>14</v>
      </c>
      <c r="R76" s="1">
        <v>17.8</v>
      </c>
      <c r="S76" s="1">
        <v>3.8</v>
      </c>
      <c r="T76" s="1">
        <v>16</v>
      </c>
      <c r="U76" s="1">
        <v>0.8</v>
      </c>
      <c r="V76" s="8">
        <f>R76*(1+S76)*原始运算表格!$P$2*原始运算表格!$Q$2</f>
        <v>85.44</v>
      </c>
      <c r="W76" s="8">
        <f>T76*(1+U76)*原始运算表格!$R$2*原始运算表格!$S$2</f>
        <v>144</v>
      </c>
      <c r="X76" s="8">
        <f t="shared" si="7"/>
        <v>0</v>
      </c>
      <c r="Y76" s="8">
        <f t="shared" si="8"/>
        <v>229.44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1</v>
      </c>
      <c r="D77" s="1">
        <v>1</v>
      </c>
      <c r="E77" s="1">
        <f t="shared" si="10"/>
        <v>15</v>
      </c>
      <c r="F77" s="1">
        <f t="shared" si="9"/>
        <v>15</v>
      </c>
      <c r="R77" s="1">
        <v>13.9</v>
      </c>
      <c r="S77" s="1">
        <v>3</v>
      </c>
      <c r="T77" s="1">
        <v>14.1</v>
      </c>
      <c r="U77" s="1">
        <v>0.5</v>
      </c>
      <c r="V77" s="8">
        <f>R77*(1+S77)*原始运算表格!$P$2*原始运算表格!$Q$2</f>
        <v>55.6</v>
      </c>
      <c r="W77" s="8">
        <f>T77*(1+U77)*原始运算表格!$R$2*原始运算表格!$S$2</f>
        <v>105.75</v>
      </c>
      <c r="X77" s="8">
        <f t="shared" si="7"/>
        <v>0</v>
      </c>
      <c r="Y77" s="8">
        <f t="shared" si="8"/>
        <v>161.35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1</v>
      </c>
      <c r="D78" s="1">
        <v>1</v>
      </c>
      <c r="E78" s="1">
        <f t="shared" si="10"/>
        <v>16</v>
      </c>
      <c r="F78" s="1">
        <f t="shared" si="9"/>
        <v>16</v>
      </c>
      <c r="R78" s="1">
        <v>12.9</v>
      </c>
      <c r="S78" s="1">
        <v>2.2000000000000002</v>
      </c>
      <c r="T78" s="1">
        <v>15.3</v>
      </c>
      <c r="U78" s="1">
        <v>0.2</v>
      </c>
      <c r="V78" s="8">
        <f>R78*(1+S78)*原始运算表格!$P$2*原始运算表格!$Q$2</f>
        <v>41.28</v>
      </c>
      <c r="W78" s="8">
        <f>T78*(1+U78)*原始运算表格!$R$2*原始运算表格!$S$2</f>
        <v>91.8</v>
      </c>
      <c r="X78" s="8">
        <f t="shared" si="7"/>
        <v>0</v>
      </c>
      <c r="Y78" s="8">
        <f t="shared" si="8"/>
        <v>133.07999999999998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 t="shared" si="10"/>
        <v>16</v>
      </c>
      <c r="F79" s="1">
        <f t="shared" si="9"/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7"/>
        <v>0</v>
      </c>
      <c r="Y79" s="8">
        <f t="shared" si="8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Z79"/>
  <sheetViews>
    <sheetView zoomScale="55" zoomScaleNormal="55" workbookViewId="0">
      <pane ySplit="6" topLeftCell="A7" activePane="bottomLeft" state="frozen"/>
      <selection pane="bottomLeft" sqref="A1:XFD1048576"/>
    </sheetView>
  </sheetViews>
  <sheetFormatPr defaultColWidth="9.25" defaultRowHeight="16.5"/>
  <cols>
    <col min="1" max="1" width="7.25" style="1" customWidth="1"/>
    <col min="2" max="2" width="11.5" style="1" customWidth="1"/>
    <col min="3" max="3" width="7.83203125" style="1" customWidth="1"/>
    <col min="4" max="4" width="11.25" style="1" customWidth="1"/>
    <col min="5" max="5" width="8.25" style="1" customWidth="1"/>
    <col min="6" max="6" width="11.5" style="1" customWidth="1"/>
    <col min="7" max="13" width="9.25" style="1"/>
    <col min="14" max="14" width="11.33203125" style="1" customWidth="1"/>
    <col min="15" max="16" width="9.25" style="1"/>
    <col min="17" max="17" width="10.58203125" style="1" customWidth="1"/>
    <col min="18" max="21" width="9.25" style="1"/>
    <col min="22" max="22" width="11.9140625" style="8" customWidth="1"/>
    <col min="23" max="23" width="11.08203125" style="8" customWidth="1"/>
    <col min="24" max="24" width="11.1640625" style="8" customWidth="1"/>
    <col min="25" max="26" width="9.25" style="8"/>
    <col min="27" max="16384" width="9.25" style="1"/>
  </cols>
  <sheetData>
    <row r="1" spans="1:26">
      <c r="A1" s="3"/>
      <c r="C1" s="3"/>
      <c r="D1" s="3"/>
      <c r="G1" s="5"/>
      <c r="H1" s="5"/>
      <c r="I1" s="5"/>
      <c r="J1" s="5"/>
      <c r="K1" s="5"/>
      <c r="L1" s="5"/>
      <c r="M1" s="5"/>
      <c r="N1" s="5"/>
      <c r="O1" s="5"/>
      <c r="P1" s="4"/>
      <c r="Q1" s="4"/>
      <c r="R1" s="5"/>
      <c r="S1" s="5"/>
      <c r="T1" s="4"/>
      <c r="U1" s="4"/>
    </row>
    <row r="2" spans="1:26">
      <c r="A2" s="6" t="s">
        <v>3</v>
      </c>
      <c r="B2" s="7"/>
    </row>
    <row r="5" spans="1:26" s="6" customFormat="1">
      <c r="A5" s="6" t="s">
        <v>22</v>
      </c>
      <c r="B5" s="7"/>
      <c r="C5" s="6">
        <f>SUM(C12:C105)</f>
        <v>0</v>
      </c>
      <c r="D5" s="6">
        <f>SUM(D12:D105)</f>
        <v>0</v>
      </c>
      <c r="G5" s="6">
        <f>SUM(G12:G105)</f>
        <v>0</v>
      </c>
      <c r="H5" s="6">
        <f t="shared" ref="H5:Z5" si="0">SUM(H12:H105)</f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0</v>
      </c>
      <c r="S5" s="6">
        <f t="shared" si="0"/>
        <v>0</v>
      </c>
      <c r="T5" s="6">
        <f t="shared" si="0"/>
        <v>0</v>
      </c>
      <c r="U5" s="6">
        <f t="shared" si="0"/>
        <v>0</v>
      </c>
      <c r="V5" s="9">
        <f t="shared" si="0"/>
        <v>0</v>
      </c>
      <c r="W5" s="9">
        <f t="shared" si="0"/>
        <v>0</v>
      </c>
      <c r="X5" s="9">
        <f t="shared" si="0"/>
        <v>0</v>
      </c>
      <c r="Y5" s="9">
        <f t="shared" si="0"/>
        <v>0</v>
      </c>
      <c r="Z5" s="9">
        <f t="shared" si="0"/>
        <v>0</v>
      </c>
    </row>
    <row r="6" spans="1:26">
      <c r="A6" s="1" t="s">
        <v>0</v>
      </c>
      <c r="B6" s="1" t="s">
        <v>1</v>
      </c>
      <c r="C6" s="1" t="s">
        <v>4</v>
      </c>
      <c r="D6" s="1" t="s">
        <v>21</v>
      </c>
      <c r="E6" s="1" t="s">
        <v>5</v>
      </c>
      <c r="F6" s="1" t="s">
        <v>24</v>
      </c>
      <c r="G6" s="1" t="s">
        <v>6</v>
      </c>
      <c r="H6" s="2" t="s">
        <v>8</v>
      </c>
      <c r="I6" s="1" t="s">
        <v>9</v>
      </c>
      <c r="J6" s="1" t="s">
        <v>13</v>
      </c>
      <c r="K6" s="1" t="s">
        <v>14</v>
      </c>
      <c r="L6" s="1" t="s">
        <v>15</v>
      </c>
      <c r="M6" s="1" t="s">
        <v>16</v>
      </c>
      <c r="N6" s="1" t="s">
        <v>10</v>
      </c>
      <c r="O6" s="2" t="s">
        <v>11</v>
      </c>
      <c r="P6" s="1" t="s">
        <v>12</v>
      </c>
      <c r="Q6" s="1" t="s">
        <v>7</v>
      </c>
      <c r="R6" s="1" t="s">
        <v>17</v>
      </c>
      <c r="S6" s="1" t="s">
        <v>18</v>
      </c>
      <c r="T6" s="1" t="s">
        <v>19</v>
      </c>
      <c r="U6" s="1" t="s">
        <v>20</v>
      </c>
      <c r="V6" s="8" t="s">
        <v>67</v>
      </c>
      <c r="W6" s="8" t="s">
        <v>69</v>
      </c>
      <c r="X6" s="8" t="s">
        <v>71</v>
      </c>
      <c r="Y6" s="8" t="s">
        <v>73</v>
      </c>
      <c r="Z6" s="8" t="s">
        <v>75</v>
      </c>
    </row>
    <row r="7" spans="1:26">
      <c r="A7" s="1">
        <v>1946</v>
      </c>
      <c r="B7" s="1">
        <f t="shared" ref="B7:B12" si="1">A7+1</f>
        <v>1947</v>
      </c>
      <c r="C7" s="1">
        <v>0</v>
      </c>
      <c r="D7" s="1">
        <v>0</v>
      </c>
      <c r="E7" s="1">
        <f>C7</f>
        <v>0</v>
      </c>
      <c r="F7" s="1">
        <f t="shared" ref="F7:F12" si="2">C7*E7</f>
        <v>0</v>
      </c>
      <c r="H7" s="2"/>
      <c r="O7" s="2"/>
      <c r="V7" s="8">
        <f>R7*(1+S7)*原始运算表格!$P$2*原始运算表格!$Q$2</f>
        <v>0</v>
      </c>
      <c r="W7" s="8">
        <f>T7*(1+U7)*原始运算表格!$R$2*原始运算表格!$S$2</f>
        <v>0</v>
      </c>
      <c r="X7" s="8">
        <f t="shared" ref="X7:X44" si="3">Y7-W7-V7</f>
        <v>0</v>
      </c>
      <c r="Y7" s="8">
        <f t="shared" ref="Y7:Y44" si="4">(V7+W7)*(1+Z7)</f>
        <v>0</v>
      </c>
      <c r="Z7" s="8">
        <f>G7*原始运算表格!$E$2+H7*原始运算表格!$F$2+I7*原始运算表格!$G$2+J7*原始运算表格!$H$2+K7*原始运算表格!$I$2+L7*原始运算表格!$J$2+M7*原始运算表格!$K$2+N7*原始运算表格!$L$2+O7*原始运算表格!$M$2+P7*原始运算表格!$N$2+Q7*原始运算表格!$O$2</f>
        <v>0</v>
      </c>
    </row>
    <row r="8" spans="1:26">
      <c r="A8" s="1">
        <v>1947</v>
      </c>
      <c r="B8" s="1">
        <f t="shared" si="1"/>
        <v>1948</v>
      </c>
      <c r="C8" s="1">
        <v>0</v>
      </c>
      <c r="D8" s="1">
        <v>0</v>
      </c>
      <c r="E8" s="1">
        <f t="shared" ref="E8:E13" si="5">E7+C8</f>
        <v>0</v>
      </c>
      <c r="F8" s="1">
        <f t="shared" si="2"/>
        <v>0</v>
      </c>
      <c r="H8" s="2"/>
      <c r="O8" s="2"/>
      <c r="V8" s="8">
        <f>R8*(1+S8)*原始运算表格!$P$2*原始运算表格!$Q$2</f>
        <v>0</v>
      </c>
      <c r="W8" s="8">
        <f>T8*(1+U8)*原始运算表格!$R$2*原始运算表格!$S$2</f>
        <v>0</v>
      </c>
      <c r="X8" s="8">
        <f t="shared" si="3"/>
        <v>0</v>
      </c>
      <c r="Y8" s="8">
        <f t="shared" si="4"/>
        <v>0</v>
      </c>
      <c r="Z8" s="8">
        <f>G8*原始运算表格!$E$2+H8*原始运算表格!$F$2+I8*原始运算表格!$G$2+J8*原始运算表格!$H$2+K8*原始运算表格!$I$2+L8*原始运算表格!$J$2+M8*原始运算表格!$K$2+N8*原始运算表格!$L$2+O8*原始运算表格!$M$2+P8*原始运算表格!$N$2+Q8*原始运算表格!$O$2</f>
        <v>0</v>
      </c>
    </row>
    <row r="9" spans="1:26">
      <c r="A9" s="1">
        <v>1948</v>
      </c>
      <c r="B9" s="1">
        <f t="shared" si="1"/>
        <v>1949</v>
      </c>
      <c r="C9" s="1">
        <v>0</v>
      </c>
      <c r="D9" s="1">
        <v>0</v>
      </c>
      <c r="E9" s="1">
        <f t="shared" si="5"/>
        <v>0</v>
      </c>
      <c r="F9" s="1">
        <f t="shared" si="2"/>
        <v>0</v>
      </c>
      <c r="H9" s="2"/>
      <c r="O9" s="2"/>
      <c r="V9" s="8">
        <f>R9*(1+S9)*原始运算表格!$P$2*原始运算表格!$Q$2</f>
        <v>0</v>
      </c>
      <c r="W9" s="8">
        <f>T9*(1+U9)*原始运算表格!$R$2*原始运算表格!$S$2</f>
        <v>0</v>
      </c>
      <c r="X9" s="8">
        <f t="shared" si="3"/>
        <v>0</v>
      </c>
      <c r="Y9" s="8">
        <f t="shared" si="4"/>
        <v>0</v>
      </c>
      <c r="Z9" s="8">
        <f>G9*原始运算表格!$E$2+H9*原始运算表格!$F$2+I9*原始运算表格!$G$2+J9*原始运算表格!$H$2+K9*原始运算表格!$I$2+L9*原始运算表格!$J$2+M9*原始运算表格!$K$2+N9*原始运算表格!$L$2+O9*原始运算表格!$M$2+P9*原始运算表格!$N$2+Q9*原始运算表格!$O$2</f>
        <v>0</v>
      </c>
    </row>
    <row r="10" spans="1:26">
      <c r="A10" s="1">
        <v>1949</v>
      </c>
      <c r="B10" s="1">
        <f t="shared" si="1"/>
        <v>1950</v>
      </c>
      <c r="C10" s="1">
        <v>0</v>
      </c>
      <c r="D10" s="1">
        <v>0</v>
      </c>
      <c r="E10" s="1">
        <f t="shared" si="5"/>
        <v>0</v>
      </c>
      <c r="F10" s="1">
        <f t="shared" si="2"/>
        <v>0</v>
      </c>
      <c r="H10" s="2"/>
      <c r="O10" s="2"/>
      <c r="V10" s="8">
        <f>R10*(1+S10)*原始运算表格!$P$2*原始运算表格!$Q$2</f>
        <v>0</v>
      </c>
      <c r="W10" s="8">
        <f>T10*(1+U10)*原始运算表格!$R$2*原始运算表格!$S$2</f>
        <v>0</v>
      </c>
      <c r="X10" s="8">
        <f t="shared" si="3"/>
        <v>0</v>
      </c>
      <c r="Y10" s="8">
        <f t="shared" si="4"/>
        <v>0</v>
      </c>
      <c r="Z10" s="8">
        <f>G10*原始运算表格!$E$2+H10*原始运算表格!$F$2+I10*原始运算表格!$G$2+J10*原始运算表格!$H$2+K10*原始运算表格!$I$2+L10*原始运算表格!$J$2+M10*原始运算表格!$K$2+N10*原始运算表格!$L$2+O10*原始运算表格!$M$2+P10*原始运算表格!$N$2+Q10*原始运算表格!$O$2</f>
        <v>0</v>
      </c>
    </row>
    <row r="11" spans="1:26">
      <c r="A11" s="1">
        <v>1950</v>
      </c>
      <c r="B11" s="1">
        <f t="shared" si="1"/>
        <v>1951</v>
      </c>
      <c r="C11" s="1">
        <v>0</v>
      </c>
      <c r="D11" s="1">
        <v>0</v>
      </c>
      <c r="E11" s="1">
        <f t="shared" si="5"/>
        <v>0</v>
      </c>
      <c r="F11" s="1">
        <f t="shared" si="2"/>
        <v>0</v>
      </c>
      <c r="H11" s="2"/>
      <c r="O11" s="2"/>
      <c r="V11" s="8">
        <f>R11*(1+S11)*原始运算表格!$P$2*原始运算表格!$Q$2</f>
        <v>0</v>
      </c>
      <c r="W11" s="8">
        <f>T11*(1+U11)*原始运算表格!$R$2*原始运算表格!$S$2</f>
        <v>0</v>
      </c>
      <c r="X11" s="8">
        <f t="shared" si="3"/>
        <v>0</v>
      </c>
      <c r="Y11" s="8">
        <f t="shared" si="4"/>
        <v>0</v>
      </c>
      <c r="Z11" s="8">
        <f>G11*原始运算表格!$E$2+H11*原始运算表格!$F$2+I11*原始运算表格!$G$2+J11*原始运算表格!$H$2+K11*原始运算表格!$I$2+L11*原始运算表格!$J$2+M11*原始运算表格!$K$2+N11*原始运算表格!$L$2+O11*原始运算表格!$M$2+P11*原始运算表格!$N$2+Q11*原始运算表格!$O$2</f>
        <v>0</v>
      </c>
    </row>
    <row r="12" spans="1:26">
      <c r="A12" s="1">
        <v>1951</v>
      </c>
      <c r="B12" s="1">
        <f t="shared" si="1"/>
        <v>1952</v>
      </c>
      <c r="C12" s="1">
        <v>0</v>
      </c>
      <c r="D12" s="1">
        <v>0</v>
      </c>
      <c r="E12" s="1">
        <f t="shared" si="5"/>
        <v>0</v>
      </c>
      <c r="F12" s="1">
        <f t="shared" si="2"/>
        <v>0</v>
      </c>
      <c r="V12" s="8">
        <f>R12*(1+S12)*原始运算表格!$P$2*原始运算表格!$Q$2</f>
        <v>0</v>
      </c>
      <c r="W12" s="8">
        <f>T12*(1+U12)*原始运算表格!$R$2*原始运算表格!$S$2</f>
        <v>0</v>
      </c>
      <c r="X12" s="8">
        <f t="shared" si="3"/>
        <v>0</v>
      </c>
      <c r="Y12" s="8">
        <f t="shared" si="4"/>
        <v>0</v>
      </c>
      <c r="Z12" s="8">
        <f>G12*原始运算表格!$E$2+H12*原始运算表格!$F$2+I12*原始运算表格!$G$2+J12*原始运算表格!$H$2+K12*原始运算表格!$I$2+L12*原始运算表格!$J$2+M12*原始运算表格!$K$2+N12*原始运算表格!$L$2+O12*原始运算表格!$M$2+P12*原始运算表格!$N$2+Q12*原始运算表格!$O$2</f>
        <v>0</v>
      </c>
    </row>
    <row r="13" spans="1:26">
      <c r="A13" s="1">
        <v>1952</v>
      </c>
      <c r="B13" s="1">
        <f t="shared" ref="B13:B76" si="6">A13+1</f>
        <v>1953</v>
      </c>
      <c r="C13" s="1">
        <v>0</v>
      </c>
      <c r="D13" s="1">
        <v>0</v>
      </c>
      <c r="E13" s="1">
        <f t="shared" si="5"/>
        <v>0</v>
      </c>
      <c r="F13" s="1">
        <f t="shared" ref="F13:F76" si="7">C13*E13</f>
        <v>0</v>
      </c>
      <c r="V13" s="8">
        <f>R13*(1+S13)*原始运算表格!$P$2*原始运算表格!$Q$2</f>
        <v>0</v>
      </c>
      <c r="W13" s="8">
        <f>T13*(1+U13)*原始运算表格!$R$2*原始运算表格!$S$2</f>
        <v>0</v>
      </c>
      <c r="X13" s="8">
        <f t="shared" si="3"/>
        <v>0</v>
      </c>
      <c r="Y13" s="8">
        <f t="shared" si="4"/>
        <v>0</v>
      </c>
      <c r="Z13" s="8">
        <f>G13*原始运算表格!$E$2+H13*原始运算表格!$F$2+I13*原始运算表格!$G$2+J13*原始运算表格!$H$2+K13*原始运算表格!$I$2+L13*原始运算表格!$J$2+M13*原始运算表格!$K$2+N13*原始运算表格!$L$2+O13*原始运算表格!$M$2+P13*原始运算表格!$N$2+Q13*原始运算表格!$O$2</f>
        <v>0</v>
      </c>
    </row>
    <row r="14" spans="1:26">
      <c r="A14" s="1">
        <v>1953</v>
      </c>
      <c r="B14" s="1">
        <f t="shared" si="6"/>
        <v>1954</v>
      </c>
      <c r="C14" s="1">
        <v>0</v>
      </c>
      <c r="D14" s="1">
        <v>0</v>
      </c>
      <c r="E14" s="1">
        <f t="shared" ref="E14:E77" si="8">E13+C14</f>
        <v>0</v>
      </c>
      <c r="F14" s="1">
        <f t="shared" si="7"/>
        <v>0</v>
      </c>
      <c r="V14" s="8">
        <f>R14*(1+S14)*原始运算表格!$P$2*原始运算表格!$Q$2</f>
        <v>0</v>
      </c>
      <c r="W14" s="8">
        <f>T14*(1+U14)*原始运算表格!$R$2*原始运算表格!$S$2</f>
        <v>0</v>
      </c>
      <c r="X14" s="8">
        <f t="shared" si="3"/>
        <v>0</v>
      </c>
      <c r="Y14" s="8">
        <f t="shared" si="4"/>
        <v>0</v>
      </c>
      <c r="Z14" s="8">
        <f>G14*原始运算表格!$E$2+H14*原始运算表格!$F$2+I14*原始运算表格!$G$2+J14*原始运算表格!$H$2+K14*原始运算表格!$I$2+L14*原始运算表格!$J$2+M14*原始运算表格!$K$2+N14*原始运算表格!$L$2+O14*原始运算表格!$M$2+P14*原始运算表格!$N$2+Q14*原始运算表格!$O$2</f>
        <v>0</v>
      </c>
    </row>
    <row r="15" spans="1:26">
      <c r="A15" s="1">
        <v>1954</v>
      </c>
      <c r="B15" s="1">
        <f t="shared" si="6"/>
        <v>1955</v>
      </c>
      <c r="C15" s="1">
        <v>0</v>
      </c>
      <c r="D15" s="1">
        <v>0</v>
      </c>
      <c r="E15" s="1">
        <f t="shared" si="8"/>
        <v>0</v>
      </c>
      <c r="F15" s="1">
        <f t="shared" si="7"/>
        <v>0</v>
      </c>
      <c r="V15" s="8">
        <f>R15*(1+S15)*原始运算表格!$P$2*原始运算表格!$Q$2</f>
        <v>0</v>
      </c>
      <c r="W15" s="8">
        <f>T15*(1+U15)*原始运算表格!$R$2*原始运算表格!$S$2</f>
        <v>0</v>
      </c>
      <c r="X15" s="8">
        <f t="shared" si="3"/>
        <v>0</v>
      </c>
      <c r="Y15" s="8">
        <f t="shared" si="4"/>
        <v>0</v>
      </c>
      <c r="Z15" s="8">
        <f>G15*原始运算表格!$E$2+H15*原始运算表格!$F$2+I15*原始运算表格!$G$2+J15*原始运算表格!$H$2+K15*原始运算表格!$I$2+L15*原始运算表格!$J$2+M15*原始运算表格!$K$2+N15*原始运算表格!$L$2+O15*原始运算表格!$M$2+P15*原始运算表格!$N$2+Q15*原始运算表格!$O$2</f>
        <v>0</v>
      </c>
    </row>
    <row r="16" spans="1:26">
      <c r="A16" s="1">
        <v>1955</v>
      </c>
      <c r="B16" s="1">
        <f t="shared" si="6"/>
        <v>1956</v>
      </c>
      <c r="C16" s="1">
        <v>0</v>
      </c>
      <c r="D16" s="1">
        <v>0</v>
      </c>
      <c r="E16" s="1">
        <f t="shared" si="8"/>
        <v>0</v>
      </c>
      <c r="F16" s="1">
        <f t="shared" si="7"/>
        <v>0</v>
      </c>
      <c r="V16" s="8">
        <f>R16*(1+S16)*原始运算表格!$P$2*原始运算表格!$Q$2</f>
        <v>0</v>
      </c>
      <c r="W16" s="8">
        <f>T16*(1+U16)*原始运算表格!$R$2*原始运算表格!$S$2</f>
        <v>0</v>
      </c>
      <c r="X16" s="8">
        <f t="shared" si="3"/>
        <v>0</v>
      </c>
      <c r="Y16" s="8">
        <f t="shared" si="4"/>
        <v>0</v>
      </c>
      <c r="Z16" s="8">
        <f>G16*原始运算表格!$E$2+H16*原始运算表格!$F$2+I16*原始运算表格!$G$2+J16*原始运算表格!$H$2+K16*原始运算表格!$I$2+L16*原始运算表格!$J$2+M16*原始运算表格!$K$2+N16*原始运算表格!$L$2+O16*原始运算表格!$M$2+P16*原始运算表格!$N$2+Q16*原始运算表格!$O$2</f>
        <v>0</v>
      </c>
    </row>
    <row r="17" spans="1:26">
      <c r="A17" s="1">
        <v>1956</v>
      </c>
      <c r="B17" s="1">
        <f t="shared" si="6"/>
        <v>1957</v>
      </c>
      <c r="C17" s="1">
        <v>0</v>
      </c>
      <c r="D17" s="1">
        <v>0</v>
      </c>
      <c r="E17" s="1">
        <f t="shared" si="8"/>
        <v>0</v>
      </c>
      <c r="F17" s="1">
        <f t="shared" si="7"/>
        <v>0</v>
      </c>
      <c r="V17" s="8">
        <f>R17*(1+S17)*原始运算表格!$P$2*原始运算表格!$Q$2</f>
        <v>0</v>
      </c>
      <c r="W17" s="8">
        <f>T17*(1+U17)*原始运算表格!$R$2*原始运算表格!$S$2</f>
        <v>0</v>
      </c>
      <c r="X17" s="8">
        <f t="shared" si="3"/>
        <v>0</v>
      </c>
      <c r="Y17" s="8">
        <f t="shared" si="4"/>
        <v>0</v>
      </c>
      <c r="Z17" s="8">
        <f>G17*原始运算表格!$E$2+H17*原始运算表格!$F$2+I17*原始运算表格!$G$2+J17*原始运算表格!$H$2+K17*原始运算表格!$I$2+L17*原始运算表格!$J$2+M17*原始运算表格!$K$2+N17*原始运算表格!$L$2+O17*原始运算表格!$M$2+P17*原始运算表格!$N$2+Q17*原始运算表格!$O$2</f>
        <v>0</v>
      </c>
    </row>
    <row r="18" spans="1:26">
      <c r="A18" s="1">
        <v>1957</v>
      </c>
      <c r="B18" s="1">
        <f t="shared" si="6"/>
        <v>1958</v>
      </c>
      <c r="C18" s="1">
        <v>0</v>
      </c>
      <c r="D18" s="1">
        <v>0</v>
      </c>
      <c r="E18" s="1">
        <f t="shared" si="8"/>
        <v>0</v>
      </c>
      <c r="F18" s="1">
        <f t="shared" si="7"/>
        <v>0</v>
      </c>
      <c r="V18" s="8">
        <f>R18*(1+S18)*原始运算表格!$P$2*原始运算表格!$Q$2</f>
        <v>0</v>
      </c>
      <c r="W18" s="8">
        <f>T18*(1+U18)*原始运算表格!$R$2*原始运算表格!$S$2</f>
        <v>0</v>
      </c>
      <c r="X18" s="8">
        <f t="shared" si="3"/>
        <v>0</v>
      </c>
      <c r="Y18" s="8">
        <f t="shared" si="4"/>
        <v>0</v>
      </c>
      <c r="Z18" s="8">
        <f>G18*原始运算表格!$E$2+H18*原始运算表格!$F$2+I18*原始运算表格!$G$2+J18*原始运算表格!$H$2+K18*原始运算表格!$I$2+L18*原始运算表格!$J$2+M18*原始运算表格!$K$2+N18*原始运算表格!$L$2+O18*原始运算表格!$M$2+P18*原始运算表格!$N$2+Q18*原始运算表格!$O$2</f>
        <v>0</v>
      </c>
    </row>
    <row r="19" spans="1:26">
      <c r="A19" s="1">
        <v>1958</v>
      </c>
      <c r="B19" s="1">
        <f t="shared" si="6"/>
        <v>1959</v>
      </c>
      <c r="C19" s="1">
        <v>0</v>
      </c>
      <c r="D19" s="1">
        <v>0</v>
      </c>
      <c r="E19" s="1">
        <f t="shared" si="8"/>
        <v>0</v>
      </c>
      <c r="F19" s="1">
        <f t="shared" si="7"/>
        <v>0</v>
      </c>
      <c r="V19" s="8">
        <f>R19*(1+S19)*原始运算表格!$P$2*原始运算表格!$Q$2</f>
        <v>0</v>
      </c>
      <c r="W19" s="8">
        <f>T19*(1+U19)*原始运算表格!$R$2*原始运算表格!$S$2</f>
        <v>0</v>
      </c>
      <c r="X19" s="8">
        <f t="shared" si="3"/>
        <v>0</v>
      </c>
      <c r="Y19" s="8">
        <f t="shared" si="4"/>
        <v>0</v>
      </c>
      <c r="Z19" s="8">
        <f>G19*原始运算表格!$E$2+H19*原始运算表格!$F$2+I19*原始运算表格!$G$2+J19*原始运算表格!$H$2+K19*原始运算表格!$I$2+L19*原始运算表格!$J$2+M19*原始运算表格!$K$2+N19*原始运算表格!$L$2+O19*原始运算表格!$M$2+P19*原始运算表格!$N$2+Q19*原始运算表格!$O$2</f>
        <v>0</v>
      </c>
    </row>
    <row r="20" spans="1:26">
      <c r="A20" s="1">
        <v>1959</v>
      </c>
      <c r="B20" s="1">
        <f t="shared" si="6"/>
        <v>1960</v>
      </c>
      <c r="C20" s="1">
        <v>0</v>
      </c>
      <c r="D20" s="1">
        <v>0</v>
      </c>
      <c r="E20" s="1">
        <f t="shared" si="8"/>
        <v>0</v>
      </c>
      <c r="F20" s="1">
        <f t="shared" si="7"/>
        <v>0</v>
      </c>
      <c r="V20" s="8">
        <f>R20*(1+S20)*原始运算表格!$P$2*原始运算表格!$Q$2</f>
        <v>0</v>
      </c>
      <c r="W20" s="8">
        <f>T20*(1+U20)*原始运算表格!$R$2*原始运算表格!$S$2</f>
        <v>0</v>
      </c>
      <c r="X20" s="8">
        <f t="shared" si="3"/>
        <v>0</v>
      </c>
      <c r="Y20" s="8">
        <f t="shared" si="4"/>
        <v>0</v>
      </c>
      <c r="Z20" s="8">
        <f>G20*原始运算表格!$E$2+H20*原始运算表格!$F$2+I20*原始运算表格!$G$2+J20*原始运算表格!$H$2+K20*原始运算表格!$I$2+L20*原始运算表格!$J$2+M20*原始运算表格!$K$2+N20*原始运算表格!$L$2+O20*原始运算表格!$M$2+P20*原始运算表格!$N$2+Q20*原始运算表格!$O$2</f>
        <v>0</v>
      </c>
    </row>
    <row r="21" spans="1:26">
      <c r="A21" s="1">
        <v>1960</v>
      </c>
      <c r="B21" s="1">
        <f t="shared" si="6"/>
        <v>1961</v>
      </c>
      <c r="C21" s="1">
        <v>0</v>
      </c>
      <c r="D21" s="1">
        <v>0</v>
      </c>
      <c r="E21" s="1">
        <f t="shared" si="8"/>
        <v>0</v>
      </c>
      <c r="F21" s="1">
        <f t="shared" si="7"/>
        <v>0</v>
      </c>
      <c r="V21" s="8">
        <f>R21*(1+S21)*原始运算表格!$P$2*原始运算表格!$Q$2</f>
        <v>0</v>
      </c>
      <c r="W21" s="8">
        <f>T21*(1+U21)*原始运算表格!$R$2*原始运算表格!$S$2</f>
        <v>0</v>
      </c>
      <c r="X21" s="8">
        <f t="shared" si="3"/>
        <v>0</v>
      </c>
      <c r="Y21" s="8">
        <f t="shared" si="4"/>
        <v>0</v>
      </c>
      <c r="Z21" s="8">
        <f>G21*原始运算表格!$E$2+H21*原始运算表格!$F$2+I21*原始运算表格!$G$2+J21*原始运算表格!$H$2+K21*原始运算表格!$I$2+L21*原始运算表格!$J$2+M21*原始运算表格!$K$2+N21*原始运算表格!$L$2+O21*原始运算表格!$M$2+P21*原始运算表格!$N$2+Q21*原始运算表格!$O$2</f>
        <v>0</v>
      </c>
    </row>
    <row r="22" spans="1:26">
      <c r="A22" s="1">
        <v>1961</v>
      </c>
      <c r="B22" s="1">
        <f t="shared" si="6"/>
        <v>1962</v>
      </c>
      <c r="C22" s="1">
        <v>0</v>
      </c>
      <c r="D22" s="1">
        <v>0</v>
      </c>
      <c r="E22" s="1">
        <f t="shared" si="8"/>
        <v>0</v>
      </c>
      <c r="F22" s="1">
        <f t="shared" si="7"/>
        <v>0</v>
      </c>
      <c r="V22" s="8">
        <f>R22*(1+S22)*原始运算表格!$P$2*原始运算表格!$Q$2</f>
        <v>0</v>
      </c>
      <c r="W22" s="8">
        <f>T22*(1+U22)*原始运算表格!$R$2*原始运算表格!$S$2</f>
        <v>0</v>
      </c>
      <c r="X22" s="8">
        <f t="shared" si="3"/>
        <v>0</v>
      </c>
      <c r="Y22" s="8">
        <f t="shared" si="4"/>
        <v>0</v>
      </c>
      <c r="Z22" s="8">
        <f>G22*原始运算表格!$E$2+H22*原始运算表格!$F$2+I22*原始运算表格!$G$2+J22*原始运算表格!$H$2+K22*原始运算表格!$I$2+L22*原始运算表格!$J$2+M22*原始运算表格!$K$2+N22*原始运算表格!$L$2+O22*原始运算表格!$M$2+P22*原始运算表格!$N$2+Q22*原始运算表格!$O$2</f>
        <v>0</v>
      </c>
    </row>
    <row r="23" spans="1:26">
      <c r="A23" s="1">
        <v>1962</v>
      </c>
      <c r="B23" s="1">
        <f t="shared" si="6"/>
        <v>1963</v>
      </c>
      <c r="C23" s="1">
        <v>0</v>
      </c>
      <c r="D23" s="1">
        <v>0</v>
      </c>
      <c r="E23" s="1">
        <f t="shared" si="8"/>
        <v>0</v>
      </c>
      <c r="F23" s="1">
        <f t="shared" si="7"/>
        <v>0</v>
      </c>
      <c r="V23" s="8">
        <f>R23*(1+S23)*原始运算表格!$P$2*原始运算表格!$Q$2</f>
        <v>0</v>
      </c>
      <c r="W23" s="8">
        <f>T23*(1+U23)*原始运算表格!$R$2*原始运算表格!$S$2</f>
        <v>0</v>
      </c>
      <c r="X23" s="8">
        <f t="shared" si="3"/>
        <v>0</v>
      </c>
      <c r="Y23" s="8">
        <f t="shared" si="4"/>
        <v>0</v>
      </c>
      <c r="Z23" s="8">
        <f>G23*原始运算表格!$E$2+H23*原始运算表格!$F$2+I23*原始运算表格!$G$2+J23*原始运算表格!$H$2+K23*原始运算表格!$I$2+L23*原始运算表格!$J$2+M23*原始运算表格!$K$2+N23*原始运算表格!$L$2+O23*原始运算表格!$M$2+P23*原始运算表格!$N$2+Q23*原始运算表格!$O$2</f>
        <v>0</v>
      </c>
    </row>
    <row r="24" spans="1:26">
      <c r="A24" s="1">
        <v>1963</v>
      </c>
      <c r="B24" s="1">
        <f t="shared" si="6"/>
        <v>1964</v>
      </c>
      <c r="C24" s="1">
        <v>0</v>
      </c>
      <c r="D24" s="1">
        <v>0</v>
      </c>
      <c r="E24" s="1">
        <f t="shared" si="8"/>
        <v>0</v>
      </c>
      <c r="F24" s="1">
        <f t="shared" si="7"/>
        <v>0</v>
      </c>
      <c r="V24" s="8">
        <f>R24*(1+S24)*原始运算表格!$P$2*原始运算表格!$Q$2</f>
        <v>0</v>
      </c>
      <c r="W24" s="8">
        <f>T24*(1+U24)*原始运算表格!$R$2*原始运算表格!$S$2</f>
        <v>0</v>
      </c>
      <c r="X24" s="8">
        <f t="shared" si="3"/>
        <v>0</v>
      </c>
      <c r="Y24" s="8">
        <f t="shared" si="4"/>
        <v>0</v>
      </c>
      <c r="Z24" s="8">
        <f>G24*原始运算表格!$E$2+H24*原始运算表格!$F$2+I24*原始运算表格!$G$2+J24*原始运算表格!$H$2+K24*原始运算表格!$I$2+L24*原始运算表格!$J$2+M24*原始运算表格!$K$2+N24*原始运算表格!$L$2+O24*原始运算表格!$M$2+P24*原始运算表格!$N$2+Q24*原始运算表格!$O$2</f>
        <v>0</v>
      </c>
    </row>
    <row r="25" spans="1:26">
      <c r="A25" s="1">
        <v>1964</v>
      </c>
      <c r="B25" s="1">
        <f t="shared" si="6"/>
        <v>1965</v>
      </c>
      <c r="C25" s="1">
        <v>0</v>
      </c>
      <c r="D25" s="1">
        <v>0</v>
      </c>
      <c r="E25" s="1">
        <f t="shared" si="8"/>
        <v>0</v>
      </c>
      <c r="F25" s="1">
        <f t="shared" si="7"/>
        <v>0</v>
      </c>
      <c r="V25" s="8">
        <f>R25*(1+S25)*原始运算表格!$P$2*原始运算表格!$Q$2</f>
        <v>0</v>
      </c>
      <c r="W25" s="8">
        <f>T25*(1+U25)*原始运算表格!$R$2*原始运算表格!$S$2</f>
        <v>0</v>
      </c>
      <c r="X25" s="8">
        <f t="shared" si="3"/>
        <v>0</v>
      </c>
      <c r="Y25" s="8">
        <f t="shared" si="4"/>
        <v>0</v>
      </c>
      <c r="Z25" s="8">
        <f>G25*原始运算表格!$E$2+H25*原始运算表格!$F$2+I25*原始运算表格!$G$2+J25*原始运算表格!$H$2+K25*原始运算表格!$I$2+L25*原始运算表格!$J$2+M25*原始运算表格!$K$2+N25*原始运算表格!$L$2+O25*原始运算表格!$M$2+P25*原始运算表格!$N$2+Q25*原始运算表格!$O$2</f>
        <v>0</v>
      </c>
    </row>
    <row r="26" spans="1:26">
      <c r="A26" s="1">
        <v>1965</v>
      </c>
      <c r="B26" s="1">
        <f t="shared" si="6"/>
        <v>1966</v>
      </c>
      <c r="C26" s="1">
        <v>0</v>
      </c>
      <c r="D26" s="1">
        <v>0</v>
      </c>
      <c r="E26" s="1">
        <f t="shared" si="8"/>
        <v>0</v>
      </c>
      <c r="F26" s="1">
        <f t="shared" si="7"/>
        <v>0</v>
      </c>
      <c r="V26" s="8">
        <f>R26*(1+S26)*原始运算表格!$P$2*原始运算表格!$Q$2</f>
        <v>0</v>
      </c>
      <c r="W26" s="8">
        <f>T26*(1+U26)*原始运算表格!$R$2*原始运算表格!$S$2</f>
        <v>0</v>
      </c>
      <c r="X26" s="8">
        <f t="shared" si="3"/>
        <v>0</v>
      </c>
      <c r="Y26" s="8">
        <f t="shared" si="4"/>
        <v>0</v>
      </c>
      <c r="Z26" s="8">
        <f>G26*原始运算表格!$E$2+H26*原始运算表格!$F$2+I26*原始运算表格!$G$2+J26*原始运算表格!$H$2+K26*原始运算表格!$I$2+L26*原始运算表格!$J$2+M26*原始运算表格!$K$2+N26*原始运算表格!$L$2+O26*原始运算表格!$M$2+P26*原始运算表格!$N$2+Q26*原始运算表格!$O$2</f>
        <v>0</v>
      </c>
    </row>
    <row r="27" spans="1:26">
      <c r="A27" s="1">
        <v>1966</v>
      </c>
      <c r="B27" s="1">
        <f t="shared" si="6"/>
        <v>1967</v>
      </c>
      <c r="C27" s="1">
        <v>0</v>
      </c>
      <c r="D27" s="1">
        <v>0</v>
      </c>
      <c r="E27" s="1">
        <f t="shared" si="8"/>
        <v>0</v>
      </c>
      <c r="F27" s="1">
        <f t="shared" si="7"/>
        <v>0</v>
      </c>
      <c r="V27" s="8">
        <f>R27*(1+S27)*原始运算表格!$P$2*原始运算表格!$Q$2</f>
        <v>0</v>
      </c>
      <c r="W27" s="8">
        <f>T27*(1+U27)*原始运算表格!$R$2*原始运算表格!$S$2</f>
        <v>0</v>
      </c>
      <c r="X27" s="8">
        <f t="shared" si="3"/>
        <v>0</v>
      </c>
      <c r="Y27" s="8">
        <f t="shared" si="4"/>
        <v>0</v>
      </c>
      <c r="Z27" s="8">
        <f>G27*原始运算表格!$E$2+H27*原始运算表格!$F$2+I27*原始运算表格!$G$2+J27*原始运算表格!$H$2+K27*原始运算表格!$I$2+L27*原始运算表格!$J$2+M27*原始运算表格!$K$2+N27*原始运算表格!$L$2+O27*原始运算表格!$M$2+P27*原始运算表格!$N$2+Q27*原始运算表格!$O$2</f>
        <v>0</v>
      </c>
    </row>
    <row r="28" spans="1:26">
      <c r="A28" s="1">
        <v>1967</v>
      </c>
      <c r="B28" s="1">
        <f t="shared" si="6"/>
        <v>1968</v>
      </c>
      <c r="C28" s="1">
        <v>0</v>
      </c>
      <c r="D28" s="1">
        <v>0</v>
      </c>
      <c r="E28" s="1">
        <f t="shared" si="8"/>
        <v>0</v>
      </c>
      <c r="F28" s="1">
        <f t="shared" si="7"/>
        <v>0</v>
      </c>
      <c r="V28" s="8">
        <f>R28*(1+S28)*原始运算表格!$P$2*原始运算表格!$Q$2</f>
        <v>0</v>
      </c>
      <c r="W28" s="8">
        <f>T28*(1+U28)*原始运算表格!$R$2*原始运算表格!$S$2</f>
        <v>0</v>
      </c>
      <c r="X28" s="8">
        <f t="shared" si="3"/>
        <v>0</v>
      </c>
      <c r="Y28" s="8">
        <f t="shared" si="4"/>
        <v>0</v>
      </c>
      <c r="Z28" s="8">
        <f>G28*原始运算表格!$E$2+H28*原始运算表格!$F$2+I28*原始运算表格!$G$2+J28*原始运算表格!$H$2+K28*原始运算表格!$I$2+L28*原始运算表格!$J$2+M28*原始运算表格!$K$2+N28*原始运算表格!$L$2+O28*原始运算表格!$M$2+P28*原始运算表格!$N$2+Q28*原始运算表格!$O$2</f>
        <v>0</v>
      </c>
    </row>
    <row r="29" spans="1:26">
      <c r="A29" s="1">
        <v>1968</v>
      </c>
      <c r="B29" s="1">
        <f t="shared" si="6"/>
        <v>1969</v>
      </c>
      <c r="C29" s="1">
        <v>0</v>
      </c>
      <c r="D29" s="1">
        <v>0</v>
      </c>
      <c r="E29" s="1">
        <f t="shared" si="8"/>
        <v>0</v>
      </c>
      <c r="F29" s="1">
        <f t="shared" si="7"/>
        <v>0</v>
      </c>
      <c r="V29" s="8">
        <f>R29*(1+S29)*原始运算表格!$P$2*原始运算表格!$Q$2</f>
        <v>0</v>
      </c>
      <c r="W29" s="8">
        <f>T29*(1+U29)*原始运算表格!$R$2*原始运算表格!$S$2</f>
        <v>0</v>
      </c>
      <c r="X29" s="8">
        <f t="shared" si="3"/>
        <v>0</v>
      </c>
      <c r="Y29" s="8">
        <f t="shared" si="4"/>
        <v>0</v>
      </c>
      <c r="Z29" s="8">
        <f>G29*原始运算表格!$E$2+H29*原始运算表格!$F$2+I29*原始运算表格!$G$2+J29*原始运算表格!$H$2+K29*原始运算表格!$I$2+L29*原始运算表格!$J$2+M29*原始运算表格!$K$2+N29*原始运算表格!$L$2+O29*原始运算表格!$M$2+P29*原始运算表格!$N$2+Q29*原始运算表格!$O$2</f>
        <v>0</v>
      </c>
    </row>
    <row r="30" spans="1:26">
      <c r="A30" s="1">
        <v>1969</v>
      </c>
      <c r="B30" s="1">
        <f t="shared" si="6"/>
        <v>1970</v>
      </c>
      <c r="C30" s="1">
        <v>0</v>
      </c>
      <c r="D30" s="1">
        <v>0</v>
      </c>
      <c r="E30" s="1">
        <f t="shared" si="8"/>
        <v>0</v>
      </c>
      <c r="F30" s="1">
        <f t="shared" si="7"/>
        <v>0</v>
      </c>
      <c r="V30" s="8">
        <f>R30*(1+S30)*原始运算表格!$P$2*原始运算表格!$Q$2</f>
        <v>0</v>
      </c>
      <c r="W30" s="8">
        <f>T30*(1+U30)*原始运算表格!$R$2*原始运算表格!$S$2</f>
        <v>0</v>
      </c>
      <c r="X30" s="8">
        <f t="shared" si="3"/>
        <v>0</v>
      </c>
      <c r="Y30" s="8">
        <f t="shared" si="4"/>
        <v>0</v>
      </c>
      <c r="Z30" s="8">
        <f>G30*原始运算表格!$E$2+H30*原始运算表格!$F$2+I30*原始运算表格!$G$2+J30*原始运算表格!$H$2+K30*原始运算表格!$I$2+L30*原始运算表格!$J$2+M30*原始运算表格!$K$2+N30*原始运算表格!$L$2+O30*原始运算表格!$M$2+P30*原始运算表格!$N$2+Q30*原始运算表格!$O$2</f>
        <v>0</v>
      </c>
    </row>
    <row r="31" spans="1:26">
      <c r="A31" s="1">
        <v>1970</v>
      </c>
      <c r="B31" s="1">
        <f t="shared" si="6"/>
        <v>1971</v>
      </c>
      <c r="C31" s="1">
        <v>0</v>
      </c>
      <c r="D31" s="1">
        <v>0</v>
      </c>
      <c r="E31" s="1">
        <f t="shared" si="8"/>
        <v>0</v>
      </c>
      <c r="F31" s="1">
        <f t="shared" si="7"/>
        <v>0</v>
      </c>
      <c r="V31" s="8">
        <f>R31*(1+S31)*原始运算表格!$P$2*原始运算表格!$Q$2</f>
        <v>0</v>
      </c>
      <c r="W31" s="8">
        <f>T31*(1+U31)*原始运算表格!$R$2*原始运算表格!$S$2</f>
        <v>0</v>
      </c>
      <c r="X31" s="8">
        <f t="shared" si="3"/>
        <v>0</v>
      </c>
      <c r="Y31" s="8">
        <f t="shared" si="4"/>
        <v>0</v>
      </c>
      <c r="Z31" s="8">
        <f>G31*原始运算表格!$E$2+H31*原始运算表格!$F$2+I31*原始运算表格!$G$2+J31*原始运算表格!$H$2+K31*原始运算表格!$I$2+L31*原始运算表格!$J$2+M31*原始运算表格!$K$2+N31*原始运算表格!$L$2+O31*原始运算表格!$M$2+P31*原始运算表格!$N$2+Q31*原始运算表格!$O$2</f>
        <v>0</v>
      </c>
    </row>
    <row r="32" spans="1:26">
      <c r="A32" s="1">
        <v>1971</v>
      </c>
      <c r="B32" s="1">
        <f t="shared" si="6"/>
        <v>1972</v>
      </c>
      <c r="C32" s="1">
        <v>0</v>
      </c>
      <c r="D32" s="1">
        <v>0</v>
      </c>
      <c r="E32" s="1">
        <f t="shared" si="8"/>
        <v>0</v>
      </c>
      <c r="F32" s="1">
        <f t="shared" si="7"/>
        <v>0</v>
      </c>
      <c r="V32" s="8">
        <f>R32*(1+S32)*原始运算表格!$P$2*原始运算表格!$Q$2</f>
        <v>0</v>
      </c>
      <c r="W32" s="8">
        <f>T32*(1+U32)*原始运算表格!$R$2*原始运算表格!$S$2</f>
        <v>0</v>
      </c>
      <c r="X32" s="8">
        <f t="shared" si="3"/>
        <v>0</v>
      </c>
      <c r="Y32" s="8">
        <f t="shared" si="4"/>
        <v>0</v>
      </c>
      <c r="Z32" s="8">
        <f>G32*原始运算表格!$E$2+H32*原始运算表格!$F$2+I32*原始运算表格!$G$2+J32*原始运算表格!$H$2+K32*原始运算表格!$I$2+L32*原始运算表格!$J$2+M32*原始运算表格!$K$2+N32*原始运算表格!$L$2+O32*原始运算表格!$M$2+P32*原始运算表格!$N$2+Q32*原始运算表格!$O$2</f>
        <v>0</v>
      </c>
    </row>
    <row r="33" spans="1:26">
      <c r="A33" s="1">
        <v>1972</v>
      </c>
      <c r="B33" s="1">
        <f t="shared" si="6"/>
        <v>1973</v>
      </c>
      <c r="C33" s="1">
        <v>0</v>
      </c>
      <c r="D33" s="1">
        <v>0</v>
      </c>
      <c r="E33" s="1">
        <f t="shared" si="8"/>
        <v>0</v>
      </c>
      <c r="F33" s="1">
        <f t="shared" si="7"/>
        <v>0</v>
      </c>
      <c r="V33" s="8">
        <f>R33*(1+S33)*原始运算表格!$P$2*原始运算表格!$Q$2</f>
        <v>0</v>
      </c>
      <c r="W33" s="8">
        <f>T33*(1+U33)*原始运算表格!$R$2*原始运算表格!$S$2</f>
        <v>0</v>
      </c>
      <c r="X33" s="8">
        <f t="shared" si="3"/>
        <v>0</v>
      </c>
      <c r="Y33" s="8">
        <f t="shared" si="4"/>
        <v>0</v>
      </c>
      <c r="Z33" s="8">
        <f>G33*原始运算表格!$E$2+H33*原始运算表格!$F$2+I33*原始运算表格!$G$2+J33*原始运算表格!$H$2+K33*原始运算表格!$I$2+L33*原始运算表格!$J$2+M33*原始运算表格!$K$2+N33*原始运算表格!$L$2+O33*原始运算表格!$M$2+P33*原始运算表格!$N$2+Q33*原始运算表格!$O$2</f>
        <v>0</v>
      </c>
    </row>
    <row r="34" spans="1:26">
      <c r="A34" s="1">
        <v>1973</v>
      </c>
      <c r="B34" s="1">
        <f t="shared" si="6"/>
        <v>1974</v>
      </c>
      <c r="C34" s="1">
        <v>0</v>
      </c>
      <c r="D34" s="1">
        <v>0</v>
      </c>
      <c r="E34" s="1">
        <f t="shared" si="8"/>
        <v>0</v>
      </c>
      <c r="F34" s="1">
        <f t="shared" si="7"/>
        <v>0</v>
      </c>
      <c r="V34" s="8">
        <f>R34*(1+S34)*原始运算表格!$P$2*原始运算表格!$Q$2</f>
        <v>0</v>
      </c>
      <c r="W34" s="8">
        <f>T34*(1+U34)*原始运算表格!$R$2*原始运算表格!$S$2</f>
        <v>0</v>
      </c>
      <c r="X34" s="8">
        <f t="shared" si="3"/>
        <v>0</v>
      </c>
      <c r="Y34" s="8">
        <f t="shared" si="4"/>
        <v>0</v>
      </c>
      <c r="Z34" s="8">
        <f>G34*原始运算表格!$E$2+H34*原始运算表格!$F$2+I34*原始运算表格!$G$2+J34*原始运算表格!$H$2+K34*原始运算表格!$I$2+L34*原始运算表格!$J$2+M34*原始运算表格!$K$2+N34*原始运算表格!$L$2+O34*原始运算表格!$M$2+P34*原始运算表格!$N$2+Q34*原始运算表格!$O$2</f>
        <v>0</v>
      </c>
    </row>
    <row r="35" spans="1:26">
      <c r="A35" s="1">
        <v>1974</v>
      </c>
      <c r="B35" s="1">
        <f t="shared" si="6"/>
        <v>1975</v>
      </c>
      <c r="C35" s="1">
        <v>0</v>
      </c>
      <c r="D35" s="1">
        <v>0</v>
      </c>
      <c r="E35" s="1">
        <f t="shared" si="8"/>
        <v>0</v>
      </c>
      <c r="F35" s="1">
        <f t="shared" si="7"/>
        <v>0</v>
      </c>
      <c r="V35" s="8">
        <f>R35*(1+S35)*原始运算表格!$P$2*原始运算表格!$Q$2</f>
        <v>0</v>
      </c>
      <c r="W35" s="8">
        <f>T35*(1+U35)*原始运算表格!$R$2*原始运算表格!$S$2</f>
        <v>0</v>
      </c>
      <c r="X35" s="8">
        <f t="shared" si="3"/>
        <v>0</v>
      </c>
      <c r="Y35" s="8">
        <f t="shared" si="4"/>
        <v>0</v>
      </c>
      <c r="Z35" s="8">
        <f>G35*原始运算表格!$E$2+H35*原始运算表格!$F$2+I35*原始运算表格!$G$2+J35*原始运算表格!$H$2+K35*原始运算表格!$I$2+L35*原始运算表格!$J$2+M35*原始运算表格!$K$2+N35*原始运算表格!$L$2+O35*原始运算表格!$M$2+P35*原始运算表格!$N$2+Q35*原始运算表格!$O$2</f>
        <v>0</v>
      </c>
    </row>
    <row r="36" spans="1:26">
      <c r="A36" s="1">
        <v>1975</v>
      </c>
      <c r="B36" s="1">
        <f t="shared" si="6"/>
        <v>1976</v>
      </c>
      <c r="C36" s="1">
        <v>0</v>
      </c>
      <c r="D36" s="1">
        <v>0</v>
      </c>
      <c r="E36" s="1">
        <f t="shared" si="8"/>
        <v>0</v>
      </c>
      <c r="F36" s="1">
        <f t="shared" si="7"/>
        <v>0</v>
      </c>
      <c r="V36" s="8">
        <f>R36*(1+S36)*原始运算表格!$P$2*原始运算表格!$Q$2</f>
        <v>0</v>
      </c>
      <c r="W36" s="8">
        <f>T36*(1+U36)*原始运算表格!$R$2*原始运算表格!$S$2</f>
        <v>0</v>
      </c>
      <c r="X36" s="8">
        <f t="shared" si="3"/>
        <v>0</v>
      </c>
      <c r="Y36" s="8">
        <f t="shared" si="4"/>
        <v>0</v>
      </c>
      <c r="Z36" s="8">
        <f>G36*原始运算表格!$E$2+H36*原始运算表格!$F$2+I36*原始运算表格!$G$2+J36*原始运算表格!$H$2+K36*原始运算表格!$I$2+L36*原始运算表格!$J$2+M36*原始运算表格!$K$2+N36*原始运算表格!$L$2+O36*原始运算表格!$M$2+P36*原始运算表格!$N$2+Q36*原始运算表格!$O$2</f>
        <v>0</v>
      </c>
    </row>
    <row r="37" spans="1:26">
      <c r="A37" s="1">
        <v>1976</v>
      </c>
      <c r="B37" s="1">
        <f t="shared" si="6"/>
        <v>1977</v>
      </c>
      <c r="C37" s="1">
        <v>0</v>
      </c>
      <c r="D37" s="1">
        <v>0</v>
      </c>
      <c r="E37" s="1">
        <f t="shared" si="8"/>
        <v>0</v>
      </c>
      <c r="F37" s="1">
        <f t="shared" si="7"/>
        <v>0</v>
      </c>
      <c r="V37" s="8">
        <f>R37*(1+S37)*原始运算表格!$P$2*原始运算表格!$Q$2</f>
        <v>0</v>
      </c>
      <c r="W37" s="8">
        <f>T37*(1+U37)*原始运算表格!$R$2*原始运算表格!$S$2</f>
        <v>0</v>
      </c>
      <c r="X37" s="8">
        <f t="shared" si="3"/>
        <v>0</v>
      </c>
      <c r="Y37" s="8">
        <f t="shared" si="4"/>
        <v>0</v>
      </c>
      <c r="Z37" s="8">
        <f>G37*原始运算表格!$E$2+H37*原始运算表格!$F$2+I37*原始运算表格!$G$2+J37*原始运算表格!$H$2+K37*原始运算表格!$I$2+L37*原始运算表格!$J$2+M37*原始运算表格!$K$2+N37*原始运算表格!$L$2+O37*原始运算表格!$M$2+P37*原始运算表格!$N$2+Q37*原始运算表格!$O$2</f>
        <v>0</v>
      </c>
    </row>
    <row r="38" spans="1:26">
      <c r="A38" s="1">
        <v>1977</v>
      </c>
      <c r="B38" s="1">
        <f t="shared" si="6"/>
        <v>1978</v>
      </c>
      <c r="C38" s="1">
        <v>0</v>
      </c>
      <c r="D38" s="1">
        <v>0</v>
      </c>
      <c r="E38" s="1">
        <f t="shared" si="8"/>
        <v>0</v>
      </c>
      <c r="F38" s="1">
        <f t="shared" si="7"/>
        <v>0</v>
      </c>
      <c r="V38" s="8">
        <f>R38*(1+S38)*原始运算表格!$P$2*原始运算表格!$Q$2</f>
        <v>0</v>
      </c>
      <c r="W38" s="8">
        <f>T38*(1+U38)*原始运算表格!$R$2*原始运算表格!$S$2</f>
        <v>0</v>
      </c>
      <c r="X38" s="8">
        <f t="shared" si="3"/>
        <v>0</v>
      </c>
      <c r="Y38" s="8">
        <f t="shared" si="4"/>
        <v>0</v>
      </c>
      <c r="Z38" s="8">
        <f>G38*原始运算表格!$E$2+H38*原始运算表格!$F$2+I38*原始运算表格!$G$2+J38*原始运算表格!$H$2+K38*原始运算表格!$I$2+L38*原始运算表格!$J$2+M38*原始运算表格!$K$2+N38*原始运算表格!$L$2+O38*原始运算表格!$M$2+P38*原始运算表格!$N$2+Q38*原始运算表格!$O$2</f>
        <v>0</v>
      </c>
    </row>
    <row r="39" spans="1:26">
      <c r="A39" s="1">
        <v>1978</v>
      </c>
      <c r="B39" s="1">
        <f t="shared" si="6"/>
        <v>1979</v>
      </c>
      <c r="C39" s="1">
        <v>0</v>
      </c>
      <c r="D39" s="1">
        <v>0</v>
      </c>
      <c r="E39" s="1">
        <f t="shared" si="8"/>
        <v>0</v>
      </c>
      <c r="F39" s="1">
        <f t="shared" si="7"/>
        <v>0</v>
      </c>
      <c r="V39" s="8">
        <f>R39*(1+S39)*原始运算表格!$P$2*原始运算表格!$Q$2</f>
        <v>0</v>
      </c>
      <c r="W39" s="8">
        <f>T39*(1+U39)*原始运算表格!$R$2*原始运算表格!$S$2</f>
        <v>0</v>
      </c>
      <c r="X39" s="8">
        <f t="shared" si="3"/>
        <v>0</v>
      </c>
      <c r="Y39" s="8">
        <f t="shared" si="4"/>
        <v>0</v>
      </c>
      <c r="Z39" s="8">
        <f>G39*原始运算表格!$E$2+H39*原始运算表格!$F$2+I39*原始运算表格!$G$2+J39*原始运算表格!$H$2+K39*原始运算表格!$I$2+L39*原始运算表格!$J$2+M39*原始运算表格!$K$2+N39*原始运算表格!$L$2+O39*原始运算表格!$M$2+P39*原始运算表格!$N$2+Q39*原始运算表格!$O$2</f>
        <v>0</v>
      </c>
    </row>
    <row r="40" spans="1:26">
      <c r="A40" s="1">
        <v>1979</v>
      </c>
      <c r="B40" s="1">
        <f t="shared" si="6"/>
        <v>1980</v>
      </c>
      <c r="C40" s="1">
        <v>0</v>
      </c>
      <c r="D40" s="1">
        <v>0</v>
      </c>
      <c r="E40" s="1">
        <f t="shared" si="8"/>
        <v>0</v>
      </c>
      <c r="F40" s="1">
        <f t="shared" si="7"/>
        <v>0</v>
      </c>
      <c r="V40" s="8">
        <f>R40*(1+S40)*原始运算表格!$P$2*原始运算表格!$Q$2</f>
        <v>0</v>
      </c>
      <c r="W40" s="8">
        <f>T40*(1+U40)*原始运算表格!$R$2*原始运算表格!$S$2</f>
        <v>0</v>
      </c>
      <c r="X40" s="8">
        <f t="shared" si="3"/>
        <v>0</v>
      </c>
      <c r="Y40" s="8">
        <f t="shared" si="4"/>
        <v>0</v>
      </c>
      <c r="Z40" s="8">
        <f>G40*原始运算表格!$E$2+H40*原始运算表格!$F$2+I40*原始运算表格!$G$2+J40*原始运算表格!$H$2+K40*原始运算表格!$I$2+L40*原始运算表格!$J$2+M40*原始运算表格!$K$2+N40*原始运算表格!$L$2+O40*原始运算表格!$M$2+P40*原始运算表格!$N$2+Q40*原始运算表格!$O$2</f>
        <v>0</v>
      </c>
    </row>
    <row r="41" spans="1:26">
      <c r="A41" s="1">
        <v>1980</v>
      </c>
      <c r="B41" s="1">
        <f t="shared" si="6"/>
        <v>1981</v>
      </c>
      <c r="C41" s="1">
        <v>0</v>
      </c>
      <c r="D41" s="1">
        <v>0</v>
      </c>
      <c r="E41" s="1">
        <f t="shared" si="8"/>
        <v>0</v>
      </c>
      <c r="F41" s="1">
        <f t="shared" si="7"/>
        <v>0</v>
      </c>
      <c r="V41" s="8">
        <f>R41*(1+S41)*原始运算表格!$P$2*原始运算表格!$Q$2</f>
        <v>0</v>
      </c>
      <c r="W41" s="8">
        <f>T41*(1+U41)*原始运算表格!$R$2*原始运算表格!$S$2</f>
        <v>0</v>
      </c>
      <c r="X41" s="8">
        <f t="shared" si="3"/>
        <v>0</v>
      </c>
      <c r="Y41" s="8">
        <f t="shared" si="4"/>
        <v>0</v>
      </c>
      <c r="Z41" s="8">
        <f>G41*原始运算表格!$E$2+H41*原始运算表格!$F$2+I41*原始运算表格!$G$2+J41*原始运算表格!$H$2+K41*原始运算表格!$I$2+L41*原始运算表格!$J$2+M41*原始运算表格!$K$2+N41*原始运算表格!$L$2+O41*原始运算表格!$M$2+P41*原始运算表格!$N$2+Q41*原始运算表格!$O$2</f>
        <v>0</v>
      </c>
    </row>
    <row r="42" spans="1:26">
      <c r="A42" s="1">
        <v>1981</v>
      </c>
      <c r="B42" s="1">
        <f t="shared" si="6"/>
        <v>1982</v>
      </c>
      <c r="C42" s="1">
        <v>0</v>
      </c>
      <c r="D42" s="1">
        <v>0</v>
      </c>
      <c r="E42" s="1">
        <f t="shared" si="8"/>
        <v>0</v>
      </c>
      <c r="F42" s="1">
        <f t="shared" si="7"/>
        <v>0</v>
      </c>
      <c r="V42" s="8">
        <f>R42*(1+S42)*原始运算表格!$P$2*原始运算表格!$Q$2</f>
        <v>0</v>
      </c>
      <c r="W42" s="8">
        <f>T42*(1+U42)*原始运算表格!$R$2*原始运算表格!$S$2</f>
        <v>0</v>
      </c>
      <c r="X42" s="8">
        <f t="shared" si="3"/>
        <v>0</v>
      </c>
      <c r="Y42" s="8">
        <f t="shared" si="4"/>
        <v>0</v>
      </c>
      <c r="Z42" s="8">
        <f>G42*原始运算表格!$E$2+H42*原始运算表格!$F$2+I42*原始运算表格!$G$2+J42*原始运算表格!$H$2+K42*原始运算表格!$I$2+L42*原始运算表格!$J$2+M42*原始运算表格!$K$2+N42*原始运算表格!$L$2+O42*原始运算表格!$M$2+P42*原始运算表格!$N$2+Q42*原始运算表格!$O$2</f>
        <v>0</v>
      </c>
    </row>
    <row r="43" spans="1:26">
      <c r="A43" s="1">
        <v>1982</v>
      </c>
      <c r="B43" s="1">
        <f t="shared" si="6"/>
        <v>1983</v>
      </c>
      <c r="C43" s="1">
        <v>0</v>
      </c>
      <c r="D43" s="1">
        <v>0</v>
      </c>
      <c r="E43" s="1">
        <f t="shared" si="8"/>
        <v>0</v>
      </c>
      <c r="F43" s="1">
        <f t="shared" si="7"/>
        <v>0</v>
      </c>
      <c r="V43" s="8">
        <f>R43*(1+S43)*原始运算表格!$P$2*原始运算表格!$Q$2</f>
        <v>0</v>
      </c>
      <c r="W43" s="8">
        <f>T43*(1+U43)*原始运算表格!$R$2*原始运算表格!$S$2</f>
        <v>0</v>
      </c>
      <c r="X43" s="8">
        <f t="shared" si="3"/>
        <v>0</v>
      </c>
      <c r="Y43" s="8">
        <f t="shared" si="4"/>
        <v>0</v>
      </c>
      <c r="Z43" s="8">
        <f>G43*原始运算表格!$E$2+H43*原始运算表格!$F$2+I43*原始运算表格!$G$2+J43*原始运算表格!$H$2+K43*原始运算表格!$I$2+L43*原始运算表格!$J$2+M43*原始运算表格!$K$2+N43*原始运算表格!$L$2+O43*原始运算表格!$M$2+P43*原始运算表格!$N$2+Q43*原始运算表格!$O$2</f>
        <v>0</v>
      </c>
    </row>
    <row r="44" spans="1:26">
      <c r="A44" s="1">
        <v>1983</v>
      </c>
      <c r="B44" s="1">
        <f t="shared" si="6"/>
        <v>1984</v>
      </c>
      <c r="C44" s="1">
        <v>0</v>
      </c>
      <c r="D44" s="1">
        <v>0</v>
      </c>
      <c r="E44" s="1">
        <f t="shared" si="8"/>
        <v>0</v>
      </c>
      <c r="F44" s="1">
        <f t="shared" si="7"/>
        <v>0</v>
      </c>
      <c r="V44" s="8">
        <f>R44*(1+S44)*原始运算表格!$P$2*原始运算表格!$Q$2</f>
        <v>0</v>
      </c>
      <c r="W44" s="8">
        <f>T44*(1+U44)*原始运算表格!$R$2*原始运算表格!$S$2</f>
        <v>0</v>
      </c>
      <c r="X44" s="8">
        <f t="shared" si="3"/>
        <v>0</v>
      </c>
      <c r="Y44" s="8">
        <f t="shared" si="4"/>
        <v>0</v>
      </c>
      <c r="Z44" s="8">
        <f>G44*原始运算表格!$E$2+H44*原始运算表格!$F$2+I44*原始运算表格!$G$2+J44*原始运算表格!$H$2+K44*原始运算表格!$I$2+L44*原始运算表格!$J$2+M44*原始运算表格!$K$2+N44*原始运算表格!$L$2+O44*原始运算表格!$M$2+P44*原始运算表格!$N$2+Q44*原始运算表格!$O$2</f>
        <v>0</v>
      </c>
    </row>
    <row r="45" spans="1:26">
      <c r="A45" s="1">
        <v>1984</v>
      </c>
      <c r="B45" s="1">
        <f t="shared" si="6"/>
        <v>1985</v>
      </c>
      <c r="C45" s="1">
        <v>0</v>
      </c>
      <c r="D45" s="1">
        <v>0</v>
      </c>
      <c r="E45" s="1">
        <f t="shared" si="8"/>
        <v>0</v>
      </c>
      <c r="F45" s="1">
        <f t="shared" si="7"/>
        <v>0</v>
      </c>
      <c r="V45" s="8">
        <f>R45*(1+S45)*原始运算表格!$P$2*原始运算表格!$Q$2</f>
        <v>0</v>
      </c>
      <c r="W45" s="8">
        <f>T45*(1+U45)*原始运算表格!$R$2*原始运算表格!$S$2</f>
        <v>0</v>
      </c>
      <c r="X45" s="8">
        <f>Y45-W45-V45</f>
        <v>0</v>
      </c>
      <c r="Y45" s="8">
        <f>(V45+W45)*(1+Z45)</f>
        <v>0</v>
      </c>
      <c r="Z45" s="8">
        <f>G45*原始运算表格!$E$2+H45*原始运算表格!$F$2+I45*原始运算表格!$G$2+J45*原始运算表格!$H$2+K45*原始运算表格!$I$2+L45*原始运算表格!$J$2+M45*原始运算表格!$K$2+N45*原始运算表格!$L$2+O45*原始运算表格!$M$2+P45*原始运算表格!$N$2+Q45*原始运算表格!$O$2</f>
        <v>0</v>
      </c>
    </row>
    <row r="46" spans="1:26">
      <c r="A46" s="1">
        <v>1985</v>
      </c>
      <c r="B46" s="1">
        <f t="shared" si="6"/>
        <v>1986</v>
      </c>
      <c r="C46" s="1">
        <v>0</v>
      </c>
      <c r="D46" s="1">
        <v>0</v>
      </c>
      <c r="E46" s="1">
        <f t="shared" si="8"/>
        <v>0</v>
      </c>
      <c r="F46" s="1">
        <f t="shared" si="7"/>
        <v>0</v>
      </c>
      <c r="V46" s="8">
        <f>R46*(1+S46)*原始运算表格!$P$2*原始运算表格!$Q$2</f>
        <v>0</v>
      </c>
      <c r="W46" s="8">
        <f>T46*(1+U46)*原始运算表格!$R$2*原始运算表格!$S$2</f>
        <v>0</v>
      </c>
      <c r="X46" s="8">
        <f t="shared" ref="X46:X79" si="9">Y46-W46-V46</f>
        <v>0</v>
      </c>
      <c r="Y46" s="8">
        <f t="shared" ref="Y46:Y79" si="10">(V46+W46)*(1+Z46)</f>
        <v>0</v>
      </c>
      <c r="Z46" s="8">
        <f>G46*原始运算表格!$E$2+H46*原始运算表格!$F$2+I46*原始运算表格!$G$2+J46*原始运算表格!$H$2+K46*原始运算表格!$I$2+L46*原始运算表格!$J$2+M46*原始运算表格!$K$2+N46*原始运算表格!$L$2+O46*原始运算表格!$M$2+P46*原始运算表格!$N$2+Q46*原始运算表格!$O$2</f>
        <v>0</v>
      </c>
    </row>
    <row r="47" spans="1:26">
      <c r="A47" s="1">
        <v>1986</v>
      </c>
      <c r="B47" s="1">
        <f t="shared" si="6"/>
        <v>1987</v>
      </c>
      <c r="C47" s="1">
        <v>0</v>
      </c>
      <c r="D47" s="1">
        <v>0</v>
      </c>
      <c r="E47" s="1">
        <f t="shared" si="8"/>
        <v>0</v>
      </c>
      <c r="F47" s="1">
        <f t="shared" si="7"/>
        <v>0</v>
      </c>
      <c r="V47" s="8">
        <f>R47*(1+S47)*原始运算表格!$P$2*原始运算表格!$Q$2</f>
        <v>0</v>
      </c>
      <c r="W47" s="8">
        <f>T47*(1+U47)*原始运算表格!$R$2*原始运算表格!$S$2</f>
        <v>0</v>
      </c>
      <c r="X47" s="8">
        <f t="shared" si="9"/>
        <v>0</v>
      </c>
      <c r="Y47" s="8">
        <f t="shared" si="10"/>
        <v>0</v>
      </c>
      <c r="Z47" s="8">
        <f>G47*原始运算表格!$E$2+H47*原始运算表格!$F$2+I47*原始运算表格!$G$2+J47*原始运算表格!$H$2+K47*原始运算表格!$I$2+L47*原始运算表格!$J$2+M47*原始运算表格!$K$2+N47*原始运算表格!$L$2+O47*原始运算表格!$M$2+P47*原始运算表格!$N$2+Q47*原始运算表格!$O$2</f>
        <v>0</v>
      </c>
    </row>
    <row r="48" spans="1:26">
      <c r="A48" s="1">
        <v>1987</v>
      </c>
      <c r="B48" s="1">
        <f t="shared" si="6"/>
        <v>1988</v>
      </c>
      <c r="C48" s="1">
        <v>0</v>
      </c>
      <c r="D48" s="1">
        <v>0</v>
      </c>
      <c r="E48" s="1">
        <f t="shared" si="8"/>
        <v>0</v>
      </c>
      <c r="F48" s="1">
        <f t="shared" si="7"/>
        <v>0</v>
      </c>
      <c r="V48" s="8">
        <f>R48*(1+S48)*原始运算表格!$P$2*原始运算表格!$Q$2</f>
        <v>0</v>
      </c>
      <c r="W48" s="8">
        <f>T48*(1+U48)*原始运算表格!$R$2*原始运算表格!$S$2</f>
        <v>0</v>
      </c>
      <c r="X48" s="8">
        <f t="shared" si="9"/>
        <v>0</v>
      </c>
      <c r="Y48" s="8">
        <f t="shared" si="10"/>
        <v>0</v>
      </c>
      <c r="Z48" s="8">
        <f>G48*原始运算表格!$E$2+H48*原始运算表格!$F$2+I48*原始运算表格!$G$2+J48*原始运算表格!$H$2+K48*原始运算表格!$I$2+L48*原始运算表格!$J$2+M48*原始运算表格!$K$2+N48*原始运算表格!$L$2+O48*原始运算表格!$M$2+P48*原始运算表格!$N$2+Q48*原始运算表格!$O$2</f>
        <v>0</v>
      </c>
    </row>
    <row r="49" spans="1:26">
      <c r="A49" s="1">
        <v>1988</v>
      </c>
      <c r="B49" s="1">
        <f t="shared" si="6"/>
        <v>1989</v>
      </c>
      <c r="C49" s="1">
        <v>0</v>
      </c>
      <c r="D49" s="1">
        <v>0</v>
      </c>
      <c r="E49" s="1">
        <f t="shared" si="8"/>
        <v>0</v>
      </c>
      <c r="F49" s="1">
        <f t="shared" si="7"/>
        <v>0</v>
      </c>
      <c r="V49" s="8">
        <f>R49*(1+S49)*原始运算表格!$P$2*原始运算表格!$Q$2</f>
        <v>0</v>
      </c>
      <c r="W49" s="8">
        <f>T49*(1+U49)*原始运算表格!$R$2*原始运算表格!$S$2</f>
        <v>0</v>
      </c>
      <c r="X49" s="8">
        <f t="shared" si="9"/>
        <v>0</v>
      </c>
      <c r="Y49" s="8">
        <f t="shared" si="10"/>
        <v>0</v>
      </c>
      <c r="Z49" s="8">
        <f>G49*原始运算表格!$E$2+H49*原始运算表格!$F$2+I49*原始运算表格!$G$2+J49*原始运算表格!$H$2+K49*原始运算表格!$I$2+L49*原始运算表格!$J$2+M49*原始运算表格!$K$2+N49*原始运算表格!$L$2+O49*原始运算表格!$M$2+P49*原始运算表格!$N$2+Q49*原始运算表格!$O$2</f>
        <v>0</v>
      </c>
    </row>
    <row r="50" spans="1:26">
      <c r="A50" s="1">
        <v>1989</v>
      </c>
      <c r="B50" s="1">
        <f t="shared" si="6"/>
        <v>1990</v>
      </c>
      <c r="C50" s="1">
        <v>0</v>
      </c>
      <c r="D50" s="1">
        <v>0</v>
      </c>
      <c r="E50" s="1">
        <f t="shared" si="8"/>
        <v>0</v>
      </c>
      <c r="F50" s="1">
        <f t="shared" si="7"/>
        <v>0</v>
      </c>
      <c r="V50" s="8">
        <f>R50*(1+S50)*原始运算表格!$P$2*原始运算表格!$Q$2</f>
        <v>0</v>
      </c>
      <c r="W50" s="8">
        <f>T50*(1+U50)*原始运算表格!$R$2*原始运算表格!$S$2</f>
        <v>0</v>
      </c>
      <c r="X50" s="8">
        <f t="shared" si="9"/>
        <v>0</v>
      </c>
      <c r="Y50" s="8">
        <f t="shared" si="10"/>
        <v>0</v>
      </c>
      <c r="Z50" s="8">
        <f>G50*原始运算表格!$E$2+H50*原始运算表格!$F$2+I50*原始运算表格!$G$2+J50*原始运算表格!$H$2+K50*原始运算表格!$I$2+L50*原始运算表格!$J$2+M50*原始运算表格!$K$2+N50*原始运算表格!$L$2+O50*原始运算表格!$M$2+P50*原始运算表格!$N$2+Q50*原始运算表格!$O$2</f>
        <v>0</v>
      </c>
    </row>
    <row r="51" spans="1:26">
      <c r="A51" s="1">
        <v>1990</v>
      </c>
      <c r="B51" s="1">
        <f t="shared" si="6"/>
        <v>1991</v>
      </c>
      <c r="C51" s="1">
        <v>0</v>
      </c>
      <c r="D51" s="1">
        <v>0</v>
      </c>
      <c r="E51" s="1">
        <f t="shared" si="8"/>
        <v>0</v>
      </c>
      <c r="F51" s="1">
        <f t="shared" si="7"/>
        <v>0</v>
      </c>
      <c r="V51" s="8">
        <f>R51*(1+S51)*原始运算表格!$P$2*原始运算表格!$Q$2</f>
        <v>0</v>
      </c>
      <c r="W51" s="8">
        <f>T51*(1+U51)*原始运算表格!$R$2*原始运算表格!$S$2</f>
        <v>0</v>
      </c>
      <c r="X51" s="8">
        <f t="shared" si="9"/>
        <v>0</v>
      </c>
      <c r="Y51" s="8">
        <f t="shared" si="10"/>
        <v>0</v>
      </c>
      <c r="Z51" s="8">
        <f>G51*原始运算表格!$E$2+H51*原始运算表格!$F$2+I51*原始运算表格!$G$2+J51*原始运算表格!$H$2+K51*原始运算表格!$I$2+L51*原始运算表格!$J$2+M51*原始运算表格!$K$2+N51*原始运算表格!$L$2+O51*原始运算表格!$M$2+P51*原始运算表格!$N$2+Q51*原始运算表格!$O$2</f>
        <v>0</v>
      </c>
    </row>
    <row r="52" spans="1:26">
      <c r="A52" s="1">
        <v>1991</v>
      </c>
      <c r="B52" s="1">
        <f t="shared" si="6"/>
        <v>1992</v>
      </c>
      <c r="C52" s="1">
        <v>0</v>
      </c>
      <c r="D52" s="1">
        <v>0</v>
      </c>
      <c r="E52" s="1">
        <f t="shared" si="8"/>
        <v>0</v>
      </c>
      <c r="F52" s="1">
        <f t="shared" si="7"/>
        <v>0</v>
      </c>
      <c r="V52" s="8">
        <f>R52*(1+S52)*原始运算表格!$P$2*原始运算表格!$Q$2</f>
        <v>0</v>
      </c>
      <c r="W52" s="8">
        <f>T52*(1+U52)*原始运算表格!$R$2*原始运算表格!$S$2</f>
        <v>0</v>
      </c>
      <c r="X52" s="8">
        <f t="shared" si="9"/>
        <v>0</v>
      </c>
      <c r="Y52" s="8">
        <f t="shared" si="10"/>
        <v>0</v>
      </c>
      <c r="Z52" s="8">
        <f>G52*原始运算表格!$E$2+H52*原始运算表格!$F$2+I52*原始运算表格!$G$2+J52*原始运算表格!$H$2+K52*原始运算表格!$I$2+L52*原始运算表格!$J$2+M52*原始运算表格!$K$2+N52*原始运算表格!$L$2+O52*原始运算表格!$M$2+P52*原始运算表格!$N$2+Q52*原始运算表格!$O$2</f>
        <v>0</v>
      </c>
    </row>
    <row r="53" spans="1:26">
      <c r="A53" s="1">
        <v>1992</v>
      </c>
      <c r="B53" s="1">
        <f t="shared" si="6"/>
        <v>1993</v>
      </c>
      <c r="C53" s="1">
        <v>0</v>
      </c>
      <c r="D53" s="1">
        <v>0</v>
      </c>
      <c r="E53" s="1">
        <f t="shared" si="8"/>
        <v>0</v>
      </c>
      <c r="F53" s="1">
        <f t="shared" si="7"/>
        <v>0</v>
      </c>
      <c r="V53" s="8">
        <f>R53*(1+S53)*原始运算表格!$P$2*原始运算表格!$Q$2</f>
        <v>0</v>
      </c>
      <c r="W53" s="8">
        <f>T53*(1+U53)*原始运算表格!$R$2*原始运算表格!$S$2</f>
        <v>0</v>
      </c>
      <c r="X53" s="8">
        <f t="shared" si="9"/>
        <v>0</v>
      </c>
      <c r="Y53" s="8">
        <f t="shared" si="10"/>
        <v>0</v>
      </c>
      <c r="Z53" s="8">
        <f>G53*原始运算表格!$E$2+H53*原始运算表格!$F$2+I53*原始运算表格!$G$2+J53*原始运算表格!$H$2+K53*原始运算表格!$I$2+L53*原始运算表格!$J$2+M53*原始运算表格!$K$2+N53*原始运算表格!$L$2+O53*原始运算表格!$M$2+P53*原始运算表格!$N$2+Q53*原始运算表格!$O$2</f>
        <v>0</v>
      </c>
    </row>
    <row r="54" spans="1:26">
      <c r="A54" s="1">
        <v>1993</v>
      </c>
      <c r="B54" s="1">
        <f t="shared" si="6"/>
        <v>1994</v>
      </c>
      <c r="C54" s="1">
        <v>0</v>
      </c>
      <c r="D54" s="1">
        <v>0</v>
      </c>
      <c r="E54" s="1">
        <f t="shared" si="8"/>
        <v>0</v>
      </c>
      <c r="F54" s="1">
        <f t="shared" si="7"/>
        <v>0</v>
      </c>
      <c r="V54" s="8">
        <f>R54*(1+S54)*原始运算表格!$P$2*原始运算表格!$Q$2</f>
        <v>0</v>
      </c>
      <c r="W54" s="8">
        <f>T54*(1+U54)*原始运算表格!$R$2*原始运算表格!$S$2</f>
        <v>0</v>
      </c>
      <c r="X54" s="8">
        <f t="shared" si="9"/>
        <v>0</v>
      </c>
      <c r="Y54" s="8">
        <f t="shared" si="10"/>
        <v>0</v>
      </c>
      <c r="Z54" s="8">
        <f>G54*原始运算表格!$E$2+H54*原始运算表格!$F$2+I54*原始运算表格!$G$2+J54*原始运算表格!$H$2+K54*原始运算表格!$I$2+L54*原始运算表格!$J$2+M54*原始运算表格!$K$2+N54*原始运算表格!$L$2+O54*原始运算表格!$M$2+P54*原始运算表格!$N$2+Q54*原始运算表格!$O$2</f>
        <v>0</v>
      </c>
    </row>
    <row r="55" spans="1:26">
      <c r="A55" s="1">
        <v>1994</v>
      </c>
      <c r="B55" s="1">
        <f t="shared" si="6"/>
        <v>1995</v>
      </c>
      <c r="C55" s="1">
        <v>0</v>
      </c>
      <c r="D55" s="1">
        <v>0</v>
      </c>
      <c r="E55" s="1">
        <f t="shared" si="8"/>
        <v>0</v>
      </c>
      <c r="F55" s="1">
        <f t="shared" si="7"/>
        <v>0</v>
      </c>
      <c r="V55" s="8">
        <f>R55*(1+S55)*原始运算表格!$P$2*原始运算表格!$Q$2</f>
        <v>0</v>
      </c>
      <c r="W55" s="8">
        <f>T55*(1+U55)*原始运算表格!$R$2*原始运算表格!$S$2</f>
        <v>0</v>
      </c>
      <c r="X55" s="8">
        <f t="shared" si="9"/>
        <v>0</v>
      </c>
      <c r="Y55" s="8">
        <f t="shared" si="10"/>
        <v>0</v>
      </c>
      <c r="Z55" s="8">
        <f>G55*原始运算表格!$E$2+H55*原始运算表格!$F$2+I55*原始运算表格!$G$2+J55*原始运算表格!$H$2+K55*原始运算表格!$I$2+L55*原始运算表格!$J$2+M55*原始运算表格!$K$2+N55*原始运算表格!$L$2+O55*原始运算表格!$M$2+P55*原始运算表格!$N$2+Q55*原始运算表格!$O$2</f>
        <v>0</v>
      </c>
    </row>
    <row r="56" spans="1:26">
      <c r="A56" s="1">
        <v>1995</v>
      </c>
      <c r="B56" s="1">
        <f t="shared" si="6"/>
        <v>1996</v>
      </c>
      <c r="C56" s="1">
        <v>0</v>
      </c>
      <c r="D56" s="1">
        <v>0</v>
      </c>
      <c r="E56" s="1">
        <f t="shared" si="8"/>
        <v>0</v>
      </c>
      <c r="F56" s="1">
        <f t="shared" si="7"/>
        <v>0</v>
      </c>
      <c r="V56" s="8">
        <f>R56*(1+S56)*原始运算表格!$P$2*原始运算表格!$Q$2</f>
        <v>0</v>
      </c>
      <c r="W56" s="8">
        <f>T56*(1+U56)*原始运算表格!$R$2*原始运算表格!$S$2</f>
        <v>0</v>
      </c>
      <c r="X56" s="8">
        <f t="shared" si="9"/>
        <v>0</v>
      </c>
      <c r="Y56" s="8">
        <f t="shared" si="10"/>
        <v>0</v>
      </c>
      <c r="Z56" s="8">
        <f>G56*原始运算表格!$E$2+H56*原始运算表格!$F$2+I56*原始运算表格!$G$2+J56*原始运算表格!$H$2+K56*原始运算表格!$I$2+L56*原始运算表格!$J$2+M56*原始运算表格!$K$2+N56*原始运算表格!$L$2+O56*原始运算表格!$M$2+P56*原始运算表格!$N$2+Q56*原始运算表格!$O$2</f>
        <v>0</v>
      </c>
    </row>
    <row r="57" spans="1:26">
      <c r="A57" s="1">
        <v>1996</v>
      </c>
      <c r="B57" s="1">
        <f t="shared" si="6"/>
        <v>1997</v>
      </c>
      <c r="C57" s="1">
        <v>0</v>
      </c>
      <c r="D57" s="1">
        <v>0</v>
      </c>
      <c r="E57" s="1">
        <f t="shared" si="8"/>
        <v>0</v>
      </c>
      <c r="F57" s="1">
        <f t="shared" si="7"/>
        <v>0</v>
      </c>
      <c r="V57" s="8">
        <f>R57*(1+S57)*原始运算表格!$P$2*原始运算表格!$Q$2</f>
        <v>0</v>
      </c>
      <c r="W57" s="8">
        <f>T57*(1+U57)*原始运算表格!$R$2*原始运算表格!$S$2</f>
        <v>0</v>
      </c>
      <c r="X57" s="8">
        <f t="shared" si="9"/>
        <v>0</v>
      </c>
      <c r="Y57" s="8">
        <f t="shared" si="10"/>
        <v>0</v>
      </c>
      <c r="Z57" s="8">
        <f>G57*原始运算表格!$E$2+H57*原始运算表格!$F$2+I57*原始运算表格!$G$2+J57*原始运算表格!$H$2+K57*原始运算表格!$I$2+L57*原始运算表格!$J$2+M57*原始运算表格!$K$2+N57*原始运算表格!$L$2+O57*原始运算表格!$M$2+P57*原始运算表格!$N$2+Q57*原始运算表格!$O$2</f>
        <v>0</v>
      </c>
    </row>
    <row r="58" spans="1:26">
      <c r="A58" s="1">
        <v>1997</v>
      </c>
      <c r="B58" s="1">
        <f t="shared" si="6"/>
        <v>1998</v>
      </c>
      <c r="C58" s="1">
        <v>0</v>
      </c>
      <c r="D58" s="1">
        <v>0</v>
      </c>
      <c r="E58" s="1">
        <f t="shared" si="8"/>
        <v>0</v>
      </c>
      <c r="F58" s="1">
        <f t="shared" si="7"/>
        <v>0</v>
      </c>
      <c r="V58" s="8">
        <f>R58*(1+S58)*原始运算表格!$P$2*原始运算表格!$Q$2</f>
        <v>0</v>
      </c>
      <c r="W58" s="8">
        <f>T58*(1+U58)*原始运算表格!$R$2*原始运算表格!$S$2</f>
        <v>0</v>
      </c>
      <c r="X58" s="8">
        <f t="shared" si="9"/>
        <v>0</v>
      </c>
      <c r="Y58" s="8">
        <f t="shared" si="10"/>
        <v>0</v>
      </c>
      <c r="Z58" s="8">
        <f>G58*原始运算表格!$E$2+H58*原始运算表格!$F$2+I58*原始运算表格!$G$2+J58*原始运算表格!$H$2+K58*原始运算表格!$I$2+L58*原始运算表格!$J$2+M58*原始运算表格!$K$2+N58*原始运算表格!$L$2+O58*原始运算表格!$M$2+P58*原始运算表格!$N$2+Q58*原始运算表格!$O$2</f>
        <v>0</v>
      </c>
    </row>
    <row r="59" spans="1:26">
      <c r="A59" s="1">
        <v>1998</v>
      </c>
      <c r="B59" s="1">
        <f t="shared" si="6"/>
        <v>1999</v>
      </c>
      <c r="C59" s="1">
        <v>0</v>
      </c>
      <c r="D59" s="1">
        <v>0</v>
      </c>
      <c r="E59" s="1">
        <f t="shared" si="8"/>
        <v>0</v>
      </c>
      <c r="F59" s="1">
        <f t="shared" si="7"/>
        <v>0</v>
      </c>
      <c r="V59" s="8">
        <f>R59*(1+S59)*原始运算表格!$P$2*原始运算表格!$Q$2</f>
        <v>0</v>
      </c>
      <c r="W59" s="8">
        <f>T59*(1+U59)*原始运算表格!$R$2*原始运算表格!$S$2</f>
        <v>0</v>
      </c>
      <c r="X59" s="8">
        <f t="shared" si="9"/>
        <v>0</v>
      </c>
      <c r="Y59" s="8">
        <f t="shared" si="10"/>
        <v>0</v>
      </c>
      <c r="Z59" s="8">
        <f>G59*原始运算表格!$E$2+H59*原始运算表格!$F$2+I59*原始运算表格!$G$2+J59*原始运算表格!$H$2+K59*原始运算表格!$I$2+L59*原始运算表格!$J$2+M59*原始运算表格!$K$2+N59*原始运算表格!$L$2+O59*原始运算表格!$M$2+P59*原始运算表格!$N$2+Q59*原始运算表格!$O$2</f>
        <v>0</v>
      </c>
    </row>
    <row r="60" spans="1:26">
      <c r="A60" s="1">
        <v>1999</v>
      </c>
      <c r="B60" s="1">
        <f t="shared" si="6"/>
        <v>2000</v>
      </c>
      <c r="C60" s="1">
        <v>0</v>
      </c>
      <c r="D60" s="1">
        <v>0</v>
      </c>
      <c r="E60" s="1">
        <f t="shared" si="8"/>
        <v>0</v>
      </c>
      <c r="F60" s="1">
        <f t="shared" si="7"/>
        <v>0</v>
      </c>
      <c r="V60" s="8">
        <f>R60*(1+S60)*原始运算表格!$P$2*原始运算表格!$Q$2</f>
        <v>0</v>
      </c>
      <c r="W60" s="8">
        <f>T60*(1+U60)*原始运算表格!$R$2*原始运算表格!$S$2</f>
        <v>0</v>
      </c>
      <c r="X60" s="8">
        <f t="shared" si="9"/>
        <v>0</v>
      </c>
      <c r="Y60" s="8">
        <f t="shared" si="10"/>
        <v>0</v>
      </c>
      <c r="Z60" s="8">
        <f>G60*原始运算表格!$E$2+H60*原始运算表格!$F$2+I60*原始运算表格!$G$2+J60*原始运算表格!$H$2+K60*原始运算表格!$I$2+L60*原始运算表格!$J$2+M60*原始运算表格!$K$2+N60*原始运算表格!$L$2+O60*原始运算表格!$M$2+P60*原始运算表格!$N$2+Q60*原始运算表格!$O$2</f>
        <v>0</v>
      </c>
    </row>
    <row r="61" spans="1:26">
      <c r="A61" s="1">
        <v>2000</v>
      </c>
      <c r="B61" s="1">
        <f t="shared" si="6"/>
        <v>2001</v>
      </c>
      <c r="C61" s="1">
        <v>0</v>
      </c>
      <c r="D61" s="1">
        <v>0</v>
      </c>
      <c r="E61" s="1">
        <f t="shared" si="8"/>
        <v>0</v>
      </c>
      <c r="F61" s="1">
        <f t="shared" si="7"/>
        <v>0</v>
      </c>
      <c r="V61" s="8">
        <f>R61*(1+S61)*原始运算表格!$P$2*原始运算表格!$Q$2</f>
        <v>0</v>
      </c>
      <c r="W61" s="8">
        <f>T61*(1+U61)*原始运算表格!$R$2*原始运算表格!$S$2</f>
        <v>0</v>
      </c>
      <c r="X61" s="8">
        <f t="shared" si="9"/>
        <v>0</v>
      </c>
      <c r="Y61" s="8">
        <f t="shared" si="10"/>
        <v>0</v>
      </c>
      <c r="Z61" s="8">
        <f>G61*原始运算表格!$E$2+H61*原始运算表格!$F$2+I61*原始运算表格!$G$2+J61*原始运算表格!$H$2+K61*原始运算表格!$I$2+L61*原始运算表格!$J$2+M61*原始运算表格!$K$2+N61*原始运算表格!$L$2+O61*原始运算表格!$M$2+P61*原始运算表格!$N$2+Q61*原始运算表格!$O$2</f>
        <v>0</v>
      </c>
    </row>
    <row r="62" spans="1:26">
      <c r="A62" s="1">
        <v>2001</v>
      </c>
      <c r="B62" s="1">
        <f t="shared" si="6"/>
        <v>2002</v>
      </c>
      <c r="C62" s="1">
        <v>0</v>
      </c>
      <c r="D62" s="1">
        <v>0</v>
      </c>
      <c r="E62" s="1">
        <f t="shared" si="8"/>
        <v>0</v>
      </c>
      <c r="F62" s="1">
        <f t="shared" si="7"/>
        <v>0</v>
      </c>
      <c r="I62" s="2"/>
      <c r="J62" s="2"/>
      <c r="K62" s="2"/>
      <c r="L62" s="2"/>
      <c r="M62" s="2"/>
      <c r="P62" s="2"/>
      <c r="V62" s="8">
        <f>R62*(1+S62)*原始运算表格!$P$2*原始运算表格!$Q$2</f>
        <v>0</v>
      </c>
      <c r="W62" s="8">
        <f>T62*(1+U62)*原始运算表格!$R$2*原始运算表格!$S$2</f>
        <v>0</v>
      </c>
      <c r="X62" s="8">
        <f t="shared" si="9"/>
        <v>0</v>
      </c>
      <c r="Y62" s="8">
        <f t="shared" si="10"/>
        <v>0</v>
      </c>
      <c r="Z62" s="8">
        <f>G62*原始运算表格!$E$2+H62*原始运算表格!$F$2+I62*原始运算表格!$G$2+J62*原始运算表格!$H$2+K62*原始运算表格!$I$2+L62*原始运算表格!$J$2+M62*原始运算表格!$K$2+N62*原始运算表格!$L$2+O62*原始运算表格!$M$2+P62*原始运算表格!$N$2+Q62*原始运算表格!$O$2</f>
        <v>0</v>
      </c>
    </row>
    <row r="63" spans="1:26">
      <c r="A63" s="1">
        <v>2002</v>
      </c>
      <c r="B63" s="1">
        <f t="shared" si="6"/>
        <v>2003</v>
      </c>
      <c r="C63" s="1">
        <v>0</v>
      </c>
      <c r="D63" s="1">
        <v>0</v>
      </c>
      <c r="E63" s="1">
        <f t="shared" si="8"/>
        <v>0</v>
      </c>
      <c r="F63" s="1">
        <f t="shared" si="7"/>
        <v>0</v>
      </c>
      <c r="I63" s="2"/>
      <c r="J63" s="2"/>
      <c r="K63" s="2"/>
      <c r="L63" s="2"/>
      <c r="M63" s="2"/>
      <c r="P63" s="2"/>
      <c r="V63" s="8">
        <f>R63*(1+S63)*原始运算表格!$P$2*原始运算表格!$Q$2</f>
        <v>0</v>
      </c>
      <c r="W63" s="8">
        <f>T63*(1+U63)*原始运算表格!$R$2*原始运算表格!$S$2</f>
        <v>0</v>
      </c>
      <c r="X63" s="8">
        <f t="shared" si="9"/>
        <v>0</v>
      </c>
      <c r="Y63" s="8">
        <f t="shared" si="10"/>
        <v>0</v>
      </c>
      <c r="Z63" s="8">
        <f>G63*原始运算表格!$E$2+H63*原始运算表格!$F$2+I63*原始运算表格!$G$2+J63*原始运算表格!$H$2+K63*原始运算表格!$I$2+L63*原始运算表格!$J$2+M63*原始运算表格!$K$2+N63*原始运算表格!$L$2+O63*原始运算表格!$M$2+P63*原始运算表格!$N$2+Q63*原始运算表格!$O$2</f>
        <v>0</v>
      </c>
    </row>
    <row r="64" spans="1:26">
      <c r="A64" s="1">
        <v>2003</v>
      </c>
      <c r="B64" s="1">
        <f t="shared" si="6"/>
        <v>2004</v>
      </c>
      <c r="C64" s="1">
        <v>0</v>
      </c>
      <c r="D64" s="1">
        <v>0</v>
      </c>
      <c r="E64" s="1">
        <f t="shared" si="8"/>
        <v>0</v>
      </c>
      <c r="F64" s="1">
        <f t="shared" si="7"/>
        <v>0</v>
      </c>
      <c r="V64" s="8">
        <f>R64*(1+S64)*原始运算表格!$P$2*原始运算表格!$Q$2</f>
        <v>0</v>
      </c>
      <c r="W64" s="8">
        <f>T64*(1+U64)*原始运算表格!$R$2*原始运算表格!$S$2</f>
        <v>0</v>
      </c>
      <c r="X64" s="8">
        <f t="shared" si="9"/>
        <v>0</v>
      </c>
      <c r="Y64" s="8">
        <f t="shared" si="10"/>
        <v>0</v>
      </c>
      <c r="Z64" s="8">
        <f>G64*原始运算表格!$E$2+H64*原始运算表格!$F$2+I64*原始运算表格!$G$2+J64*原始运算表格!$H$2+K64*原始运算表格!$I$2+L64*原始运算表格!$J$2+M64*原始运算表格!$K$2+N64*原始运算表格!$L$2+O64*原始运算表格!$M$2+P64*原始运算表格!$N$2+Q64*原始运算表格!$O$2</f>
        <v>0</v>
      </c>
    </row>
    <row r="65" spans="1:26">
      <c r="A65" s="1">
        <v>2004</v>
      </c>
      <c r="B65" s="1">
        <f t="shared" si="6"/>
        <v>2005</v>
      </c>
      <c r="C65" s="1">
        <v>0</v>
      </c>
      <c r="D65" s="1">
        <v>0</v>
      </c>
      <c r="E65" s="1">
        <f t="shared" si="8"/>
        <v>0</v>
      </c>
      <c r="F65" s="1">
        <f t="shared" si="7"/>
        <v>0</v>
      </c>
      <c r="V65" s="8">
        <f>R65*(1+S65)*原始运算表格!$P$2*原始运算表格!$Q$2</f>
        <v>0</v>
      </c>
      <c r="W65" s="8">
        <f>T65*(1+U65)*原始运算表格!$R$2*原始运算表格!$S$2</f>
        <v>0</v>
      </c>
      <c r="X65" s="8">
        <f t="shared" si="9"/>
        <v>0</v>
      </c>
      <c r="Y65" s="8">
        <f t="shared" si="10"/>
        <v>0</v>
      </c>
      <c r="Z65" s="8">
        <f>G65*原始运算表格!$E$2+H65*原始运算表格!$F$2+I65*原始运算表格!$G$2+J65*原始运算表格!$H$2+K65*原始运算表格!$I$2+L65*原始运算表格!$J$2+M65*原始运算表格!$K$2+N65*原始运算表格!$L$2+O65*原始运算表格!$M$2+P65*原始运算表格!$N$2+Q65*原始运算表格!$O$2</f>
        <v>0</v>
      </c>
    </row>
    <row r="66" spans="1:26">
      <c r="A66" s="1">
        <v>2005</v>
      </c>
      <c r="B66" s="1">
        <f t="shared" si="6"/>
        <v>2006</v>
      </c>
      <c r="C66" s="1">
        <v>0</v>
      </c>
      <c r="D66" s="1">
        <v>0</v>
      </c>
      <c r="E66" s="1">
        <f t="shared" si="8"/>
        <v>0</v>
      </c>
      <c r="F66" s="1">
        <f t="shared" si="7"/>
        <v>0</v>
      </c>
      <c r="V66" s="8">
        <f>R66*(1+S66)*原始运算表格!$P$2*原始运算表格!$Q$2</f>
        <v>0</v>
      </c>
      <c r="W66" s="8">
        <f>T66*(1+U66)*原始运算表格!$R$2*原始运算表格!$S$2</f>
        <v>0</v>
      </c>
      <c r="X66" s="8">
        <f t="shared" si="9"/>
        <v>0</v>
      </c>
      <c r="Y66" s="8">
        <f t="shared" si="10"/>
        <v>0</v>
      </c>
      <c r="Z66" s="8">
        <f>G66*原始运算表格!$E$2+H66*原始运算表格!$F$2+I66*原始运算表格!$G$2+J66*原始运算表格!$H$2+K66*原始运算表格!$I$2+L66*原始运算表格!$J$2+M66*原始运算表格!$K$2+N66*原始运算表格!$L$2+O66*原始运算表格!$M$2+P66*原始运算表格!$N$2+Q66*原始运算表格!$O$2</f>
        <v>0</v>
      </c>
    </row>
    <row r="67" spans="1:26">
      <c r="A67" s="1">
        <v>2006</v>
      </c>
      <c r="B67" s="1">
        <f t="shared" si="6"/>
        <v>2007</v>
      </c>
      <c r="C67" s="1">
        <v>0</v>
      </c>
      <c r="D67" s="1">
        <v>0</v>
      </c>
      <c r="E67" s="1">
        <f t="shared" si="8"/>
        <v>0</v>
      </c>
      <c r="F67" s="1">
        <f t="shared" si="7"/>
        <v>0</v>
      </c>
      <c r="V67" s="8">
        <f>R67*(1+S67)*原始运算表格!$P$2*原始运算表格!$Q$2</f>
        <v>0</v>
      </c>
      <c r="W67" s="8">
        <f>T67*(1+U67)*原始运算表格!$R$2*原始运算表格!$S$2</f>
        <v>0</v>
      </c>
      <c r="X67" s="8">
        <f t="shared" si="9"/>
        <v>0</v>
      </c>
      <c r="Y67" s="8">
        <f t="shared" si="10"/>
        <v>0</v>
      </c>
      <c r="Z67" s="8">
        <f>G67*原始运算表格!$E$2+H67*原始运算表格!$F$2+I67*原始运算表格!$G$2+J67*原始运算表格!$H$2+K67*原始运算表格!$I$2+L67*原始运算表格!$J$2+M67*原始运算表格!$K$2+N67*原始运算表格!$L$2+O67*原始运算表格!$M$2+P67*原始运算表格!$N$2+Q67*原始运算表格!$O$2</f>
        <v>0</v>
      </c>
    </row>
    <row r="68" spans="1:26">
      <c r="A68" s="1">
        <v>2007</v>
      </c>
      <c r="B68" s="1">
        <f t="shared" si="6"/>
        <v>2008</v>
      </c>
      <c r="C68" s="1">
        <v>0</v>
      </c>
      <c r="D68" s="1">
        <v>0</v>
      </c>
      <c r="E68" s="1">
        <f t="shared" si="8"/>
        <v>0</v>
      </c>
      <c r="F68" s="1">
        <f t="shared" si="7"/>
        <v>0</v>
      </c>
      <c r="V68" s="8">
        <f>R68*(1+S68)*原始运算表格!$P$2*原始运算表格!$Q$2</f>
        <v>0</v>
      </c>
      <c r="W68" s="8">
        <f>T68*(1+U68)*原始运算表格!$R$2*原始运算表格!$S$2</f>
        <v>0</v>
      </c>
      <c r="X68" s="8">
        <f t="shared" si="9"/>
        <v>0</v>
      </c>
      <c r="Y68" s="8">
        <f t="shared" si="10"/>
        <v>0</v>
      </c>
      <c r="Z68" s="8">
        <f>G68*原始运算表格!$E$2+H68*原始运算表格!$F$2+I68*原始运算表格!$G$2+J68*原始运算表格!$H$2+K68*原始运算表格!$I$2+L68*原始运算表格!$J$2+M68*原始运算表格!$K$2+N68*原始运算表格!$L$2+O68*原始运算表格!$M$2+P68*原始运算表格!$N$2+Q68*原始运算表格!$O$2</f>
        <v>0</v>
      </c>
    </row>
    <row r="69" spans="1:26">
      <c r="A69" s="1">
        <v>2008</v>
      </c>
      <c r="B69" s="1">
        <f t="shared" si="6"/>
        <v>2009</v>
      </c>
      <c r="C69" s="1">
        <v>0</v>
      </c>
      <c r="D69" s="1">
        <v>0</v>
      </c>
      <c r="E69" s="1">
        <f t="shared" si="8"/>
        <v>0</v>
      </c>
      <c r="F69" s="1">
        <f t="shared" si="7"/>
        <v>0</v>
      </c>
      <c r="V69" s="8">
        <f>R69*(1+S69)*原始运算表格!$P$2*原始运算表格!$Q$2</f>
        <v>0</v>
      </c>
      <c r="W69" s="8">
        <f>T69*(1+U69)*原始运算表格!$R$2*原始运算表格!$S$2</f>
        <v>0</v>
      </c>
      <c r="X69" s="8">
        <f t="shared" si="9"/>
        <v>0</v>
      </c>
      <c r="Y69" s="8">
        <f t="shared" si="10"/>
        <v>0</v>
      </c>
      <c r="Z69" s="8">
        <f>G69*原始运算表格!$E$2+H69*原始运算表格!$F$2+I69*原始运算表格!$G$2+J69*原始运算表格!$H$2+K69*原始运算表格!$I$2+L69*原始运算表格!$J$2+M69*原始运算表格!$K$2+N69*原始运算表格!$L$2+O69*原始运算表格!$M$2+P69*原始运算表格!$N$2+Q69*原始运算表格!$O$2</f>
        <v>0</v>
      </c>
    </row>
    <row r="70" spans="1:26">
      <c r="A70" s="1">
        <v>2009</v>
      </c>
      <c r="B70" s="1">
        <f t="shared" si="6"/>
        <v>2010</v>
      </c>
      <c r="C70" s="1">
        <v>0</v>
      </c>
      <c r="D70" s="1">
        <v>0</v>
      </c>
      <c r="E70" s="1">
        <f t="shared" si="8"/>
        <v>0</v>
      </c>
      <c r="F70" s="1">
        <f t="shared" si="7"/>
        <v>0</v>
      </c>
      <c r="V70" s="8">
        <f>R70*(1+S70)*原始运算表格!$P$2*原始运算表格!$Q$2</f>
        <v>0</v>
      </c>
      <c r="W70" s="8">
        <f>T70*(1+U70)*原始运算表格!$R$2*原始运算表格!$S$2</f>
        <v>0</v>
      </c>
      <c r="X70" s="8">
        <f t="shared" si="9"/>
        <v>0</v>
      </c>
      <c r="Y70" s="8">
        <f t="shared" si="10"/>
        <v>0</v>
      </c>
      <c r="Z70" s="8">
        <f>G70*原始运算表格!$E$2+H70*原始运算表格!$F$2+I70*原始运算表格!$G$2+J70*原始运算表格!$H$2+K70*原始运算表格!$I$2+L70*原始运算表格!$J$2+M70*原始运算表格!$K$2+N70*原始运算表格!$L$2+O70*原始运算表格!$M$2+P70*原始运算表格!$N$2+Q70*原始运算表格!$O$2</f>
        <v>0</v>
      </c>
    </row>
    <row r="71" spans="1:26">
      <c r="A71" s="1">
        <v>2010</v>
      </c>
      <c r="B71" s="1">
        <f t="shared" si="6"/>
        <v>2011</v>
      </c>
      <c r="C71" s="1">
        <v>0</v>
      </c>
      <c r="D71" s="1">
        <v>0</v>
      </c>
      <c r="E71" s="1">
        <f t="shared" si="8"/>
        <v>0</v>
      </c>
      <c r="F71" s="1">
        <f t="shared" si="7"/>
        <v>0</v>
      </c>
      <c r="V71" s="8">
        <f>R71*(1+S71)*原始运算表格!$P$2*原始运算表格!$Q$2</f>
        <v>0</v>
      </c>
      <c r="W71" s="8">
        <f>T71*(1+U71)*原始运算表格!$R$2*原始运算表格!$S$2</f>
        <v>0</v>
      </c>
      <c r="X71" s="8">
        <f t="shared" si="9"/>
        <v>0</v>
      </c>
      <c r="Y71" s="8">
        <f t="shared" si="10"/>
        <v>0</v>
      </c>
      <c r="Z71" s="8">
        <f>G71*原始运算表格!$E$2+H71*原始运算表格!$F$2+I71*原始运算表格!$G$2+J71*原始运算表格!$H$2+K71*原始运算表格!$I$2+L71*原始运算表格!$J$2+M71*原始运算表格!$K$2+N71*原始运算表格!$L$2+O71*原始运算表格!$M$2+P71*原始运算表格!$N$2+Q71*原始运算表格!$O$2</f>
        <v>0</v>
      </c>
    </row>
    <row r="72" spans="1:26">
      <c r="A72" s="1">
        <v>2011</v>
      </c>
      <c r="B72" s="1">
        <f t="shared" si="6"/>
        <v>2012</v>
      </c>
      <c r="C72" s="1">
        <v>0</v>
      </c>
      <c r="D72" s="1">
        <v>0</v>
      </c>
      <c r="E72" s="1">
        <f t="shared" si="8"/>
        <v>0</v>
      </c>
      <c r="F72" s="1">
        <f t="shared" si="7"/>
        <v>0</v>
      </c>
      <c r="V72" s="8">
        <f>R72*(1+S72)*原始运算表格!$P$2*原始运算表格!$Q$2</f>
        <v>0</v>
      </c>
      <c r="W72" s="8">
        <f>T72*(1+U72)*原始运算表格!$R$2*原始运算表格!$S$2</f>
        <v>0</v>
      </c>
      <c r="X72" s="8">
        <f t="shared" si="9"/>
        <v>0</v>
      </c>
      <c r="Y72" s="8">
        <f t="shared" si="10"/>
        <v>0</v>
      </c>
      <c r="Z72" s="8">
        <f>G72*原始运算表格!$E$2+H72*原始运算表格!$F$2+I72*原始运算表格!$G$2+J72*原始运算表格!$H$2+K72*原始运算表格!$I$2+L72*原始运算表格!$J$2+M72*原始运算表格!$K$2+N72*原始运算表格!$L$2+O72*原始运算表格!$M$2+P72*原始运算表格!$N$2+Q72*原始运算表格!$O$2</f>
        <v>0</v>
      </c>
    </row>
    <row r="73" spans="1:26">
      <c r="A73" s="1">
        <v>2012</v>
      </c>
      <c r="B73" s="1">
        <f t="shared" si="6"/>
        <v>2013</v>
      </c>
      <c r="C73" s="1">
        <v>0</v>
      </c>
      <c r="D73" s="1">
        <v>0</v>
      </c>
      <c r="E73" s="1">
        <f t="shared" si="8"/>
        <v>0</v>
      </c>
      <c r="F73" s="1">
        <f t="shared" si="7"/>
        <v>0</v>
      </c>
      <c r="V73" s="8">
        <f>R73*(1+S73)*原始运算表格!$P$2*原始运算表格!$Q$2</f>
        <v>0</v>
      </c>
      <c r="W73" s="8">
        <f>T73*(1+U73)*原始运算表格!$R$2*原始运算表格!$S$2</f>
        <v>0</v>
      </c>
      <c r="X73" s="8">
        <f t="shared" si="9"/>
        <v>0</v>
      </c>
      <c r="Y73" s="8">
        <f t="shared" si="10"/>
        <v>0</v>
      </c>
      <c r="Z73" s="8">
        <f>G73*原始运算表格!$E$2+H73*原始运算表格!$F$2+I73*原始运算表格!$G$2+J73*原始运算表格!$H$2+K73*原始运算表格!$I$2+L73*原始运算表格!$J$2+M73*原始运算表格!$K$2+N73*原始运算表格!$L$2+O73*原始运算表格!$M$2+P73*原始运算表格!$N$2+Q73*原始运算表格!$O$2</f>
        <v>0</v>
      </c>
    </row>
    <row r="74" spans="1:26">
      <c r="A74" s="1">
        <v>2013</v>
      </c>
      <c r="B74" s="1">
        <f t="shared" si="6"/>
        <v>2014</v>
      </c>
      <c r="C74" s="1">
        <v>0</v>
      </c>
      <c r="D74" s="1">
        <v>0</v>
      </c>
      <c r="E74" s="1">
        <f t="shared" si="8"/>
        <v>0</v>
      </c>
      <c r="F74" s="1">
        <f t="shared" si="7"/>
        <v>0</v>
      </c>
      <c r="V74" s="8">
        <f>R74*(1+S74)*原始运算表格!$P$2*原始运算表格!$Q$2</f>
        <v>0</v>
      </c>
      <c r="W74" s="8">
        <f>T74*(1+U74)*原始运算表格!$R$2*原始运算表格!$S$2</f>
        <v>0</v>
      </c>
      <c r="X74" s="8">
        <f t="shared" si="9"/>
        <v>0</v>
      </c>
      <c r="Y74" s="8">
        <f t="shared" si="10"/>
        <v>0</v>
      </c>
      <c r="Z74" s="8">
        <f>G74*原始运算表格!$E$2+H74*原始运算表格!$F$2+I74*原始运算表格!$G$2+J74*原始运算表格!$H$2+K74*原始运算表格!$I$2+L74*原始运算表格!$J$2+M74*原始运算表格!$K$2+N74*原始运算表格!$L$2+O74*原始运算表格!$M$2+P74*原始运算表格!$N$2+Q74*原始运算表格!$O$2</f>
        <v>0</v>
      </c>
    </row>
    <row r="75" spans="1:26">
      <c r="A75" s="1">
        <v>2014</v>
      </c>
      <c r="B75" s="1">
        <f t="shared" si="6"/>
        <v>2015</v>
      </c>
      <c r="C75" s="1">
        <v>0</v>
      </c>
      <c r="D75" s="1">
        <v>0</v>
      </c>
      <c r="E75" s="1">
        <f t="shared" si="8"/>
        <v>0</v>
      </c>
      <c r="F75" s="1">
        <f t="shared" si="7"/>
        <v>0</v>
      </c>
      <c r="V75" s="8">
        <f>R75*(1+S75)*原始运算表格!$P$2*原始运算表格!$Q$2</f>
        <v>0</v>
      </c>
      <c r="W75" s="8">
        <f>T75*(1+U75)*原始运算表格!$R$2*原始运算表格!$S$2</f>
        <v>0</v>
      </c>
      <c r="X75" s="8">
        <f t="shared" si="9"/>
        <v>0</v>
      </c>
      <c r="Y75" s="8">
        <f t="shared" si="10"/>
        <v>0</v>
      </c>
      <c r="Z75" s="8">
        <f>G75*原始运算表格!$E$2+H75*原始运算表格!$F$2+I75*原始运算表格!$G$2+J75*原始运算表格!$H$2+K75*原始运算表格!$I$2+L75*原始运算表格!$J$2+M75*原始运算表格!$K$2+N75*原始运算表格!$L$2+O75*原始运算表格!$M$2+P75*原始运算表格!$N$2+Q75*原始运算表格!$O$2</f>
        <v>0</v>
      </c>
    </row>
    <row r="76" spans="1:26">
      <c r="A76" s="1">
        <v>2015</v>
      </c>
      <c r="B76" s="1">
        <f t="shared" si="6"/>
        <v>2016</v>
      </c>
      <c r="C76" s="1">
        <v>0</v>
      </c>
      <c r="D76" s="1">
        <v>0</v>
      </c>
      <c r="E76" s="1">
        <f t="shared" si="8"/>
        <v>0</v>
      </c>
      <c r="F76" s="1">
        <f t="shared" si="7"/>
        <v>0</v>
      </c>
      <c r="V76" s="8">
        <f>R76*(1+S76)*原始运算表格!$P$2*原始运算表格!$Q$2</f>
        <v>0</v>
      </c>
      <c r="W76" s="8">
        <f>T76*(1+U76)*原始运算表格!$R$2*原始运算表格!$S$2</f>
        <v>0</v>
      </c>
      <c r="X76" s="8">
        <f t="shared" si="9"/>
        <v>0</v>
      </c>
      <c r="Y76" s="8">
        <f t="shared" si="10"/>
        <v>0</v>
      </c>
      <c r="Z76" s="8">
        <f>G76*原始运算表格!$E$2+H76*原始运算表格!$F$2+I76*原始运算表格!$G$2+J76*原始运算表格!$H$2+K76*原始运算表格!$I$2+L76*原始运算表格!$J$2+M76*原始运算表格!$K$2+N76*原始运算表格!$L$2+O76*原始运算表格!$M$2+P76*原始运算表格!$N$2+Q76*原始运算表格!$O$2</f>
        <v>0</v>
      </c>
    </row>
    <row r="77" spans="1:26">
      <c r="A77" s="1">
        <v>2016</v>
      </c>
      <c r="B77" s="1">
        <f>A77+1</f>
        <v>2017</v>
      </c>
      <c r="C77" s="1">
        <v>0</v>
      </c>
      <c r="D77" s="1">
        <v>0</v>
      </c>
      <c r="E77" s="1">
        <f t="shared" si="8"/>
        <v>0</v>
      </c>
      <c r="F77" s="1">
        <f>C77*E77</f>
        <v>0</v>
      </c>
      <c r="V77" s="8">
        <f>R77*(1+S77)*原始运算表格!$P$2*原始运算表格!$Q$2</f>
        <v>0</v>
      </c>
      <c r="W77" s="8">
        <f>T77*(1+U77)*原始运算表格!$R$2*原始运算表格!$S$2</f>
        <v>0</v>
      </c>
      <c r="X77" s="8">
        <f t="shared" si="9"/>
        <v>0</v>
      </c>
      <c r="Y77" s="8">
        <f t="shared" si="10"/>
        <v>0</v>
      </c>
      <c r="Z77" s="8">
        <f>G77*原始运算表格!$E$2+H77*原始运算表格!$F$2+I77*原始运算表格!$G$2+J77*原始运算表格!$H$2+K77*原始运算表格!$I$2+L77*原始运算表格!$J$2+M77*原始运算表格!$K$2+N77*原始运算表格!$L$2+O77*原始运算表格!$M$2+P77*原始运算表格!$N$2+Q77*原始运算表格!$O$2</f>
        <v>0</v>
      </c>
    </row>
    <row r="78" spans="1:26">
      <c r="A78" s="1">
        <v>2017</v>
      </c>
      <c r="B78" s="1">
        <f>A78+1</f>
        <v>2018</v>
      </c>
      <c r="C78" s="1">
        <v>0</v>
      </c>
      <c r="D78" s="1">
        <v>0</v>
      </c>
      <c r="E78" s="1">
        <f>E77+C78</f>
        <v>0</v>
      </c>
      <c r="F78" s="1">
        <f>C78*E78</f>
        <v>0</v>
      </c>
      <c r="V78" s="8">
        <f>R78*(1+S78)*原始运算表格!$P$2*原始运算表格!$Q$2</f>
        <v>0</v>
      </c>
      <c r="W78" s="8">
        <f>T78*(1+U78)*原始运算表格!$R$2*原始运算表格!$S$2</f>
        <v>0</v>
      </c>
      <c r="X78" s="8">
        <f t="shared" si="9"/>
        <v>0</v>
      </c>
      <c r="Y78" s="8">
        <f t="shared" si="10"/>
        <v>0</v>
      </c>
      <c r="Z78" s="8">
        <f>G78*原始运算表格!$E$2+H78*原始运算表格!$F$2+I78*原始运算表格!$G$2+J78*原始运算表格!$H$2+K78*原始运算表格!$I$2+L78*原始运算表格!$J$2+M78*原始运算表格!$K$2+N78*原始运算表格!$L$2+O78*原始运算表格!$M$2+P78*原始运算表格!$N$2+Q78*原始运算表格!$O$2</f>
        <v>0</v>
      </c>
    </row>
    <row r="79" spans="1:26">
      <c r="A79" s="1">
        <v>2018</v>
      </c>
      <c r="B79" s="1">
        <f>A79+1</f>
        <v>2019</v>
      </c>
      <c r="C79" s="1">
        <v>0</v>
      </c>
      <c r="D79" s="1">
        <v>0</v>
      </c>
      <c r="E79" s="1">
        <f>E78+C79</f>
        <v>0</v>
      </c>
      <c r="F79" s="1">
        <f>C79*E79</f>
        <v>0</v>
      </c>
      <c r="V79" s="8">
        <f>R79*(1+S79)*原始运算表格!$P$2*原始运算表格!$Q$2</f>
        <v>0</v>
      </c>
      <c r="W79" s="8">
        <f>T79*(1+U79)*原始运算表格!$R$2*原始运算表格!$S$2</f>
        <v>0</v>
      </c>
      <c r="X79" s="8">
        <f t="shared" si="9"/>
        <v>0</v>
      </c>
      <c r="Y79" s="8">
        <f t="shared" si="10"/>
        <v>0</v>
      </c>
      <c r="Z79" s="8">
        <f>G79*原始运算表格!$E$2+H79*原始运算表格!$F$2+I79*原始运算表格!$G$2+J79*原始运算表格!$H$2+K79*原始运算表格!$I$2+L79*原始运算表格!$J$2+M79*原始运算表格!$K$2+N79*原始运算表格!$L$2+O79*原始运算表格!$M$2+P79*原始运算表格!$N$2+Q79*原始运算表格!$O$2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注意事项</vt:lpstr>
      <vt:lpstr>总积分展示</vt:lpstr>
      <vt:lpstr>原始运算表格</vt:lpstr>
      <vt:lpstr>每年积分汇总1</vt:lpstr>
      <vt:lpstr>每年积分汇总2</vt:lpstr>
      <vt:lpstr>C01</vt:lpstr>
      <vt:lpstr>C02</vt:lpstr>
      <vt:lpstr>C03</vt:lpstr>
      <vt:lpstr>C04</vt:lpstr>
      <vt:lpstr>C05</vt:lpstr>
      <vt:lpstr>C06</vt:lpstr>
      <vt:lpstr>C07</vt:lpstr>
      <vt:lpstr>C08</vt:lpstr>
      <vt:lpstr>C09</vt:lpstr>
      <vt:lpstr>C10</vt:lpstr>
      <vt:lpstr>C11</vt:lpstr>
      <vt:lpstr>C12</vt:lpstr>
      <vt:lpstr>C13</vt:lpstr>
      <vt:lpstr>C14</vt:lpstr>
      <vt:lpstr>C15</vt:lpstr>
      <vt:lpstr>C16</vt:lpstr>
      <vt:lpstr>C17</vt:lpstr>
      <vt:lpstr>C18</vt:lpstr>
      <vt:lpstr>C19</vt:lpstr>
      <vt:lpstr>C20</vt:lpstr>
      <vt:lpstr>C21</vt:lpstr>
      <vt:lpstr>C22</vt:lpstr>
      <vt:lpstr>C23</vt:lpstr>
      <vt:lpstr>C24</vt:lpstr>
      <vt:lpstr>C25</vt:lpstr>
      <vt:lpstr>C26</vt:lpstr>
      <vt:lpstr>C27</vt:lpstr>
      <vt:lpstr>C28</vt:lpstr>
      <vt:lpstr>C29</vt:lpstr>
      <vt:lpstr>C30</vt:lpstr>
      <vt:lpstr>C31</vt:lpstr>
      <vt:lpstr>C32</vt:lpstr>
      <vt:lpstr>C33</vt:lpstr>
      <vt:lpstr>C34</vt:lpstr>
      <vt:lpstr>C35</vt:lpstr>
      <vt:lpstr>C36</vt:lpstr>
      <vt:lpstr>C37</vt:lpstr>
      <vt:lpstr>C38</vt:lpstr>
      <vt:lpstr>C39</vt:lpstr>
      <vt:lpstr>C40</vt:lpstr>
      <vt:lpstr>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SPt68</dc:creator>
  <cp:lastModifiedBy>SPt68_Safe</cp:lastModifiedBy>
  <dcterms:created xsi:type="dcterms:W3CDTF">2019-06-14T15:38:17Z</dcterms:created>
  <dcterms:modified xsi:type="dcterms:W3CDTF">2019-08-01T01:06:04Z</dcterms:modified>
</cp:coreProperties>
</file>